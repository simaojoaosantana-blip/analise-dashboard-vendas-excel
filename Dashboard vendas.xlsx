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phael\Documents\Youtube\008.Dashboard\"/>
    </mc:Choice>
  </mc:AlternateContent>
  <xr:revisionPtr revIDLastSave="0" documentId="13_ncr:1_{A8931015-3B00-449B-B0AA-A31E0E311B23}" xr6:coauthVersionLast="47" xr6:coauthVersionMax="47" xr10:uidLastSave="{00000000-0000-0000-0000-000000000000}"/>
  <bookViews>
    <workbookView xWindow="-108" yWindow="-108" windowWidth="23256" windowHeight="12576" activeTab="5" xr2:uid="{63A6B7C2-212F-4B65-B1FE-C9C0E6141DAF}"/>
  </bookViews>
  <sheets>
    <sheet name="ExtraçãoDados" sheetId="1" r:id="rId1"/>
    <sheet name="Planilha1" sheetId="28" r:id="rId2"/>
    <sheet name="Planilha2" sheetId="29" r:id="rId3"/>
    <sheet name="Planilha3" sheetId="30" r:id="rId4"/>
    <sheet name="Planilha4" sheetId="31" r:id="rId5"/>
    <sheet name="Dashboard" sheetId="19" r:id="rId6"/>
  </sheets>
  <definedNames>
    <definedName name="_xlnm._FilterDatabase" localSheetId="0" hidden="1">ExtraçãoDados!$B$6:$M$2111</definedName>
    <definedName name="_xlchart.v5.0" hidden="1">Planilha4!$D$3</definedName>
    <definedName name="_xlchart.v5.1" hidden="1">Planilha4!$D$4:$D$30</definedName>
    <definedName name="_xlchart.v5.2" hidden="1">Planilha4!$E$3</definedName>
    <definedName name="_xlchart.v5.3" hidden="1">Planilha4!$E$4:$E$30</definedName>
    <definedName name="_xlchart.v5.4" hidden="1">Planilha4!$D$3</definedName>
    <definedName name="_xlchart.v5.5" hidden="1">Planilha4!$D$4:$D$30</definedName>
    <definedName name="_xlchart.v5.6" hidden="1">Planilha4!$E$3</definedName>
    <definedName name="_xlchart.v5.7" hidden="1">Planilha4!$E$4:$E$30</definedName>
    <definedName name="_xlcn.WorksheetConnection_Planilha2E3F131" hidden="1">Planilha2!$E$3:$F$13</definedName>
    <definedName name="SegmentaçãodeDados_Anos">#N/A</definedName>
    <definedName name="SegmentaçãodeDados_Produto">#N/A</definedName>
  </definedNames>
  <calcPr calcId="191029"/>
  <pivotCaches>
    <pivotCache cacheId="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Planilha2!$E$3:$F$13"/>
        </x15:modelTables>
      </x15:dataModel>
    </ext>
  </extLst>
</workbook>
</file>

<file path=xl/calcChain.xml><?xml version="1.0" encoding="utf-8"?>
<calcChain xmlns="http://schemas.openxmlformats.org/spreadsheetml/2006/main">
  <c r="K1769" i="1" l="1"/>
  <c r="L1769" i="1" s="1"/>
  <c r="K1861" i="1"/>
  <c r="L1861" i="1" s="1"/>
  <c r="K1352" i="1"/>
  <c r="L1352" i="1" s="1"/>
  <c r="K1259" i="1"/>
  <c r="L1259" i="1" s="1"/>
  <c r="K1743" i="1"/>
  <c r="L1743" i="1" s="1"/>
  <c r="K1581" i="1"/>
  <c r="L1581" i="1" s="1"/>
  <c r="K1499" i="1"/>
  <c r="L1499" i="1" s="1"/>
  <c r="K1675" i="1"/>
  <c r="L1675" i="1" s="1"/>
  <c r="K1590" i="1"/>
  <c r="L1590" i="1" s="1"/>
  <c r="K1421" i="1"/>
  <c r="L1421" i="1" s="1"/>
  <c r="K547" i="1"/>
  <c r="L547" i="1" s="1"/>
  <c r="K546" i="1"/>
  <c r="L546" i="1" s="1"/>
  <c r="K545" i="1"/>
  <c r="L545" i="1" s="1"/>
  <c r="K544" i="1"/>
  <c r="L544" i="1" s="1"/>
  <c r="K543" i="1"/>
  <c r="L543" i="1" s="1"/>
  <c r="K542" i="1"/>
  <c r="L542" i="1" s="1"/>
  <c r="K541" i="1"/>
  <c r="L541" i="1" s="1"/>
  <c r="K540" i="1"/>
  <c r="L540" i="1" s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K530" i="1"/>
  <c r="L530" i="1" s="1"/>
  <c r="K529" i="1"/>
  <c r="L529" i="1" s="1"/>
  <c r="K528" i="1"/>
  <c r="L528" i="1" s="1"/>
  <c r="K527" i="1"/>
  <c r="L527" i="1" s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K516" i="1"/>
  <c r="L516" i="1" s="1"/>
  <c r="K515" i="1"/>
  <c r="L515" i="1" s="1"/>
  <c r="K514" i="1"/>
  <c r="L514" i="1" s="1"/>
  <c r="K513" i="1"/>
  <c r="L513" i="1" s="1"/>
  <c r="K512" i="1"/>
  <c r="L512" i="1" s="1"/>
  <c r="K511" i="1"/>
  <c r="L511" i="1" s="1"/>
  <c r="K510" i="1"/>
  <c r="L510" i="1" s="1"/>
  <c r="K509" i="1"/>
  <c r="L509" i="1" s="1"/>
  <c r="K508" i="1"/>
  <c r="L508" i="1" s="1"/>
  <c r="K507" i="1"/>
  <c r="L507" i="1" s="1"/>
  <c r="K506" i="1"/>
  <c r="L506" i="1" s="1"/>
  <c r="K505" i="1"/>
  <c r="L505" i="1" s="1"/>
  <c r="K504" i="1"/>
  <c r="L504" i="1" s="1"/>
  <c r="K503" i="1"/>
  <c r="L503" i="1" s="1"/>
  <c r="K502" i="1"/>
  <c r="L502" i="1" s="1"/>
  <c r="K501" i="1"/>
  <c r="L501" i="1" s="1"/>
  <c r="K500" i="1"/>
  <c r="L500" i="1" s="1"/>
  <c r="K499" i="1"/>
  <c r="L499" i="1" s="1"/>
  <c r="K498" i="1"/>
  <c r="L498" i="1" s="1"/>
  <c r="K497" i="1"/>
  <c r="L497" i="1" s="1"/>
  <c r="K496" i="1"/>
  <c r="L496" i="1" s="1"/>
  <c r="K495" i="1"/>
  <c r="L495" i="1" s="1"/>
  <c r="K494" i="1"/>
  <c r="L494" i="1" s="1"/>
  <c r="K493" i="1"/>
  <c r="L493" i="1" s="1"/>
  <c r="K492" i="1"/>
  <c r="L492" i="1" s="1"/>
  <c r="K491" i="1"/>
  <c r="L491" i="1" s="1"/>
  <c r="K489" i="1"/>
  <c r="L489" i="1" s="1"/>
  <c r="K490" i="1"/>
  <c r="L490" i="1" s="1"/>
  <c r="K488" i="1"/>
  <c r="L488" i="1" s="1"/>
  <c r="K487" i="1"/>
  <c r="L487" i="1" s="1"/>
  <c r="K486" i="1"/>
  <c r="L486" i="1" s="1"/>
  <c r="K485" i="1"/>
  <c r="L485" i="1" s="1"/>
  <c r="K484" i="1"/>
  <c r="L484" i="1" s="1"/>
  <c r="K483" i="1"/>
  <c r="L483" i="1" s="1"/>
  <c r="K482" i="1"/>
  <c r="L482" i="1" s="1"/>
  <c r="K481" i="1"/>
  <c r="L481" i="1" s="1"/>
  <c r="K480" i="1"/>
  <c r="L480" i="1" s="1"/>
  <c r="K479" i="1"/>
  <c r="L479" i="1" s="1"/>
  <c r="K478" i="1"/>
  <c r="L478" i="1" s="1"/>
  <c r="K477" i="1"/>
  <c r="L477" i="1" s="1"/>
  <c r="K476" i="1"/>
  <c r="L476" i="1" s="1"/>
  <c r="K475" i="1"/>
  <c r="L475" i="1" s="1"/>
  <c r="K474" i="1"/>
  <c r="L474" i="1" s="1"/>
  <c r="K473" i="1"/>
  <c r="L473" i="1" s="1"/>
  <c r="K472" i="1"/>
  <c r="L472" i="1" s="1"/>
  <c r="K471" i="1"/>
  <c r="L471" i="1" s="1"/>
  <c r="K470" i="1"/>
  <c r="L470" i="1" s="1"/>
  <c r="K469" i="1"/>
  <c r="L469" i="1" s="1"/>
  <c r="K468" i="1"/>
  <c r="L468" i="1" s="1"/>
  <c r="K467" i="1"/>
  <c r="L467" i="1" s="1"/>
  <c r="K466" i="1"/>
  <c r="L466" i="1" s="1"/>
  <c r="K465" i="1"/>
  <c r="L465" i="1" s="1"/>
  <c r="K464" i="1"/>
  <c r="L464" i="1" s="1"/>
  <c r="K463" i="1"/>
  <c r="L463" i="1" s="1"/>
  <c r="K462" i="1"/>
  <c r="L462" i="1" s="1"/>
  <c r="K461" i="1"/>
  <c r="L461" i="1" s="1"/>
  <c r="K1136" i="1"/>
  <c r="L1136" i="1" s="1"/>
  <c r="K1135" i="1"/>
  <c r="L1135" i="1" s="1"/>
  <c r="K1134" i="1"/>
  <c r="L1134" i="1" s="1"/>
  <c r="K1133" i="1"/>
  <c r="L1133" i="1" s="1"/>
  <c r="K1132" i="1"/>
  <c r="L1132" i="1" s="1"/>
  <c r="K1131" i="1"/>
  <c r="L1131" i="1" s="1"/>
  <c r="K1130" i="1"/>
  <c r="L1130" i="1" s="1"/>
  <c r="K1129" i="1"/>
  <c r="L1129" i="1" s="1"/>
  <c r="K1128" i="1"/>
  <c r="L1128" i="1" s="1"/>
  <c r="K1127" i="1"/>
  <c r="L1127" i="1" s="1"/>
  <c r="K1126" i="1"/>
  <c r="L1126" i="1" s="1"/>
  <c r="K1125" i="1"/>
  <c r="L1125" i="1" s="1"/>
  <c r="K1124" i="1"/>
  <c r="L1124" i="1" s="1"/>
  <c r="K1123" i="1"/>
  <c r="L1123" i="1" s="1"/>
  <c r="K1122" i="1"/>
  <c r="L1122" i="1" s="1"/>
  <c r="K1121" i="1"/>
  <c r="L1121" i="1" s="1"/>
  <c r="K1120" i="1"/>
  <c r="L1120" i="1" s="1"/>
  <c r="K1119" i="1"/>
  <c r="L1119" i="1" s="1"/>
  <c r="K1118" i="1"/>
  <c r="L1118" i="1" s="1"/>
  <c r="K1117" i="1"/>
  <c r="L1117" i="1" s="1"/>
  <c r="K1116" i="1"/>
  <c r="L1116" i="1" s="1"/>
  <c r="K1115" i="1"/>
  <c r="L1115" i="1" s="1"/>
  <c r="K1114" i="1"/>
  <c r="L1114" i="1" s="1"/>
  <c r="K1113" i="1"/>
  <c r="L1113" i="1" s="1"/>
  <c r="K1112" i="1"/>
  <c r="L1112" i="1" s="1"/>
  <c r="K1111" i="1"/>
  <c r="L1111" i="1" s="1"/>
  <c r="K1110" i="1"/>
  <c r="L1110" i="1" s="1"/>
  <c r="K1109" i="1"/>
  <c r="L1109" i="1" s="1"/>
  <c r="K1108" i="1"/>
  <c r="L1108" i="1" s="1"/>
  <c r="K1107" i="1"/>
  <c r="L1107" i="1" s="1"/>
  <c r="K1106" i="1"/>
  <c r="L1106" i="1" s="1"/>
  <c r="K1105" i="1"/>
  <c r="L1105" i="1" s="1"/>
  <c r="K1104" i="1"/>
  <c r="L1104" i="1" s="1"/>
  <c r="K1103" i="1"/>
  <c r="L1103" i="1" s="1"/>
  <c r="K1102" i="1"/>
  <c r="L1102" i="1" s="1"/>
  <c r="K1101" i="1"/>
  <c r="L1101" i="1" s="1"/>
  <c r="K1100" i="1"/>
  <c r="L1100" i="1" s="1"/>
  <c r="K1099" i="1"/>
  <c r="L1099" i="1" s="1"/>
  <c r="K1098" i="1"/>
  <c r="L1098" i="1" s="1"/>
  <c r="K1097" i="1"/>
  <c r="L1097" i="1" s="1"/>
  <c r="K1096" i="1"/>
  <c r="L1096" i="1" s="1"/>
  <c r="K1095" i="1"/>
  <c r="L1095" i="1" s="1"/>
  <c r="K1094" i="1"/>
  <c r="L1094" i="1" s="1"/>
  <c r="K1093" i="1"/>
  <c r="L1093" i="1" s="1"/>
  <c r="K1092" i="1"/>
  <c r="L1092" i="1" s="1"/>
  <c r="K1091" i="1"/>
  <c r="L1091" i="1" s="1"/>
  <c r="K1090" i="1"/>
  <c r="L1090" i="1" s="1"/>
  <c r="K1089" i="1"/>
  <c r="L1089" i="1" s="1"/>
  <c r="K1088" i="1"/>
  <c r="L1088" i="1" s="1"/>
  <c r="K1087" i="1"/>
  <c r="L1087" i="1" s="1"/>
  <c r="K1086" i="1"/>
  <c r="L1086" i="1" s="1"/>
  <c r="K1085" i="1"/>
  <c r="L1085" i="1" s="1"/>
  <c r="K1084" i="1"/>
  <c r="L1084" i="1" s="1"/>
  <c r="K1083" i="1"/>
  <c r="L1083" i="1" s="1"/>
  <c r="K1082" i="1"/>
  <c r="L1082" i="1" s="1"/>
  <c r="K1081" i="1"/>
  <c r="L1081" i="1" s="1"/>
  <c r="K1080" i="1"/>
  <c r="L1080" i="1" s="1"/>
  <c r="K1078" i="1"/>
  <c r="L1078" i="1" s="1"/>
  <c r="K1079" i="1"/>
  <c r="L1079" i="1" s="1"/>
  <c r="K1077" i="1"/>
  <c r="L1077" i="1" s="1"/>
  <c r="K1076" i="1"/>
  <c r="L1076" i="1" s="1"/>
  <c r="K1075" i="1"/>
  <c r="L1075" i="1" s="1"/>
  <c r="K1074" i="1"/>
  <c r="L1074" i="1" s="1"/>
  <c r="K1073" i="1"/>
  <c r="L1073" i="1" s="1"/>
  <c r="K1072" i="1"/>
  <c r="L1072" i="1" s="1"/>
  <c r="K1071" i="1"/>
  <c r="L1071" i="1" s="1"/>
  <c r="K1070" i="1"/>
  <c r="L1070" i="1" s="1"/>
  <c r="K1069" i="1"/>
  <c r="L1069" i="1" s="1"/>
  <c r="K1068" i="1"/>
  <c r="L1068" i="1" s="1"/>
  <c r="K1067" i="1"/>
  <c r="L1067" i="1" s="1"/>
  <c r="K1066" i="1"/>
  <c r="L1066" i="1" s="1"/>
  <c r="K1065" i="1"/>
  <c r="L1065" i="1" s="1"/>
  <c r="K1064" i="1"/>
  <c r="L1064" i="1" s="1"/>
  <c r="K1063" i="1"/>
  <c r="L1063" i="1" s="1"/>
  <c r="K1062" i="1"/>
  <c r="L1062" i="1" s="1"/>
  <c r="K1061" i="1"/>
  <c r="L1061" i="1" s="1"/>
  <c r="K1060" i="1"/>
  <c r="L1060" i="1" s="1"/>
  <c r="K1059" i="1"/>
  <c r="L1059" i="1" s="1"/>
  <c r="K1058" i="1"/>
  <c r="L1058" i="1" s="1"/>
  <c r="K1057" i="1"/>
  <c r="L1057" i="1" s="1"/>
  <c r="K1056" i="1"/>
  <c r="L1056" i="1" s="1"/>
  <c r="K1055" i="1"/>
  <c r="L1055" i="1" s="1"/>
  <c r="K1054" i="1"/>
  <c r="L1054" i="1" s="1"/>
  <c r="K1053" i="1"/>
  <c r="L1053" i="1" s="1"/>
  <c r="K1052" i="1"/>
  <c r="L1052" i="1" s="1"/>
  <c r="K1051" i="1"/>
  <c r="L1051" i="1" s="1"/>
  <c r="K1050" i="1"/>
  <c r="L1050" i="1" s="1"/>
  <c r="K1850" i="1"/>
  <c r="L1850" i="1" s="1"/>
  <c r="K1849" i="1"/>
  <c r="L1849" i="1" s="1"/>
  <c r="K1848" i="1"/>
  <c r="L1848" i="1" s="1"/>
  <c r="K1847" i="1"/>
  <c r="L1847" i="1" s="1"/>
  <c r="K1846" i="1"/>
  <c r="L1846" i="1" s="1"/>
  <c r="K1845" i="1"/>
  <c r="L1845" i="1" s="1"/>
  <c r="K1844" i="1"/>
  <c r="L1844" i="1" s="1"/>
  <c r="K1843" i="1"/>
  <c r="L1843" i="1" s="1"/>
  <c r="K1842" i="1"/>
  <c r="L1842" i="1" s="1"/>
  <c r="K1841" i="1"/>
  <c r="L1841" i="1" s="1"/>
  <c r="K1840" i="1"/>
  <c r="L1840" i="1" s="1"/>
  <c r="K1839" i="1"/>
  <c r="L1839" i="1" s="1"/>
  <c r="K1838" i="1"/>
  <c r="L1838" i="1" s="1"/>
  <c r="K1837" i="1"/>
  <c r="L1837" i="1" s="1"/>
  <c r="K1836" i="1"/>
  <c r="L1836" i="1" s="1"/>
  <c r="K1835" i="1"/>
  <c r="L1835" i="1" s="1"/>
  <c r="K1834" i="1"/>
  <c r="L1834" i="1" s="1"/>
  <c r="K1833" i="1"/>
  <c r="L1833" i="1" s="1"/>
  <c r="K1832" i="1"/>
  <c r="L1832" i="1" s="1"/>
  <c r="K1831" i="1"/>
  <c r="L1831" i="1" s="1"/>
  <c r="K1830" i="1"/>
  <c r="L1830" i="1" s="1"/>
  <c r="K1829" i="1"/>
  <c r="L1829" i="1" s="1"/>
  <c r="K1828" i="1"/>
  <c r="L1828" i="1" s="1"/>
  <c r="K1827" i="1"/>
  <c r="L1827" i="1" s="1"/>
  <c r="K1826" i="1"/>
  <c r="L1826" i="1" s="1"/>
  <c r="K1825" i="1"/>
  <c r="L1825" i="1" s="1"/>
  <c r="K1824" i="1"/>
  <c r="L1824" i="1" s="1"/>
  <c r="K1823" i="1"/>
  <c r="L1823" i="1" s="1"/>
  <c r="K1822" i="1"/>
  <c r="L1822" i="1" s="1"/>
  <c r="K1821" i="1"/>
  <c r="L1821" i="1" s="1"/>
  <c r="K1820" i="1"/>
  <c r="L1820" i="1" s="1"/>
  <c r="K1819" i="1"/>
  <c r="L1819" i="1" s="1"/>
  <c r="K1818" i="1"/>
  <c r="L1818" i="1" s="1"/>
  <c r="K1817" i="1"/>
  <c r="L1817" i="1" s="1"/>
  <c r="K1816" i="1"/>
  <c r="L1816" i="1" s="1"/>
  <c r="K1815" i="1"/>
  <c r="L1815" i="1" s="1"/>
  <c r="K1814" i="1"/>
  <c r="L1814" i="1" s="1"/>
  <c r="K1813" i="1"/>
  <c r="L1813" i="1" s="1"/>
  <c r="K1812" i="1"/>
  <c r="L1812" i="1" s="1"/>
  <c r="K1811" i="1"/>
  <c r="L1811" i="1" s="1"/>
  <c r="K1810" i="1"/>
  <c r="L1810" i="1" s="1"/>
  <c r="K1809" i="1"/>
  <c r="L1809" i="1" s="1"/>
  <c r="K1808" i="1"/>
  <c r="L1808" i="1" s="1"/>
  <c r="K1807" i="1"/>
  <c r="L1807" i="1" s="1"/>
  <c r="K1806" i="1"/>
  <c r="L1806" i="1" s="1"/>
  <c r="K1805" i="1"/>
  <c r="L1805" i="1" s="1"/>
  <c r="K1804" i="1"/>
  <c r="L1804" i="1" s="1"/>
  <c r="K1803" i="1"/>
  <c r="L1803" i="1" s="1"/>
  <c r="K1802" i="1"/>
  <c r="L1802" i="1" s="1"/>
  <c r="K1801" i="1"/>
  <c r="L1801" i="1" s="1"/>
  <c r="K1800" i="1"/>
  <c r="L1800" i="1" s="1"/>
  <c r="K1799" i="1"/>
  <c r="L1799" i="1" s="1"/>
  <c r="K1798" i="1"/>
  <c r="L1798" i="1" s="1"/>
  <c r="K1797" i="1"/>
  <c r="L1797" i="1" s="1"/>
  <c r="K1796" i="1"/>
  <c r="L1796" i="1" s="1"/>
  <c r="K1795" i="1"/>
  <c r="L1795" i="1" s="1"/>
  <c r="K1794" i="1"/>
  <c r="L1794" i="1" s="1"/>
  <c r="K1792" i="1"/>
  <c r="L1792" i="1" s="1"/>
  <c r="K1793" i="1"/>
  <c r="L1793" i="1" s="1"/>
  <c r="K1791" i="1"/>
  <c r="L1791" i="1" s="1"/>
  <c r="K1790" i="1"/>
  <c r="L1790" i="1" s="1"/>
  <c r="K1789" i="1"/>
  <c r="L1789" i="1" s="1"/>
  <c r="K1788" i="1"/>
  <c r="L1788" i="1" s="1"/>
  <c r="K1787" i="1"/>
  <c r="L1787" i="1" s="1"/>
  <c r="K1786" i="1"/>
  <c r="L1786" i="1" s="1"/>
  <c r="K1785" i="1"/>
  <c r="L1785" i="1" s="1"/>
  <c r="K1784" i="1"/>
  <c r="L1784" i="1" s="1"/>
  <c r="K1783" i="1"/>
  <c r="L1783" i="1" s="1"/>
  <c r="K1782" i="1"/>
  <c r="L1782" i="1" s="1"/>
  <c r="K1781" i="1"/>
  <c r="L1781" i="1" s="1"/>
  <c r="K1780" i="1"/>
  <c r="L1780" i="1" s="1"/>
  <c r="K1779" i="1"/>
  <c r="L1779" i="1" s="1"/>
  <c r="K1778" i="1"/>
  <c r="L1778" i="1" s="1"/>
  <c r="K1777" i="1"/>
  <c r="L1777" i="1" s="1"/>
  <c r="K1776" i="1"/>
  <c r="L1776" i="1" s="1"/>
  <c r="K1775" i="1"/>
  <c r="L1775" i="1" s="1"/>
  <c r="K1774" i="1"/>
  <c r="L1774" i="1" s="1"/>
  <c r="K1773" i="1"/>
  <c r="L1773" i="1" s="1"/>
  <c r="K1772" i="1"/>
  <c r="L1772" i="1" s="1"/>
  <c r="K1771" i="1"/>
  <c r="L1771" i="1" s="1"/>
  <c r="K1770" i="1"/>
  <c r="L1770" i="1" s="1"/>
  <c r="K1768" i="1"/>
  <c r="L1768" i="1" s="1"/>
  <c r="K1767" i="1"/>
  <c r="L1767" i="1" s="1"/>
  <c r="K1766" i="1"/>
  <c r="L1766" i="1" s="1"/>
  <c r="K1765" i="1"/>
  <c r="L1765" i="1" s="1"/>
  <c r="K1764" i="1"/>
  <c r="L1764" i="1" s="1"/>
  <c r="K416" i="1"/>
  <c r="L416" i="1" s="1"/>
  <c r="K414" i="1"/>
  <c r="L414" i="1" s="1"/>
  <c r="K412" i="1"/>
  <c r="L412" i="1" s="1"/>
  <c r="K410" i="1"/>
  <c r="L410" i="1" s="1"/>
  <c r="K408" i="1"/>
  <c r="L408" i="1" s="1"/>
  <c r="K407" i="1"/>
  <c r="L407" i="1" s="1"/>
  <c r="K406" i="1"/>
  <c r="L406" i="1" s="1"/>
  <c r="K405" i="1"/>
  <c r="L405" i="1" s="1"/>
  <c r="K404" i="1"/>
  <c r="L404" i="1" s="1"/>
  <c r="K403" i="1"/>
  <c r="L403" i="1" s="1"/>
  <c r="K402" i="1"/>
  <c r="L402" i="1" s="1"/>
  <c r="K401" i="1"/>
  <c r="L401" i="1" s="1"/>
  <c r="K400" i="1"/>
  <c r="L400" i="1" s="1"/>
  <c r="K399" i="1"/>
  <c r="L399" i="1" s="1"/>
  <c r="K398" i="1"/>
  <c r="L398" i="1" s="1"/>
  <c r="K397" i="1"/>
  <c r="L397" i="1" s="1"/>
  <c r="K396" i="1"/>
  <c r="L396" i="1" s="1"/>
  <c r="K395" i="1"/>
  <c r="L395" i="1" s="1"/>
  <c r="K394" i="1"/>
  <c r="L394" i="1" s="1"/>
  <c r="K393" i="1"/>
  <c r="L393" i="1" s="1"/>
  <c r="K392" i="1"/>
  <c r="L392" i="1" s="1"/>
  <c r="K391" i="1"/>
  <c r="L391" i="1" s="1"/>
  <c r="K390" i="1"/>
  <c r="L390" i="1" s="1"/>
  <c r="K389" i="1"/>
  <c r="L389" i="1" s="1"/>
  <c r="K388" i="1"/>
  <c r="L388" i="1" s="1"/>
  <c r="K387" i="1"/>
  <c r="L387" i="1" s="1"/>
  <c r="K386" i="1"/>
  <c r="L386" i="1" s="1"/>
  <c r="K385" i="1"/>
  <c r="L385" i="1" s="1"/>
  <c r="K384" i="1"/>
  <c r="L384" i="1" s="1"/>
  <c r="K383" i="1"/>
  <c r="L383" i="1" s="1"/>
  <c r="K382" i="1"/>
  <c r="L382" i="1" s="1"/>
  <c r="K381" i="1"/>
  <c r="L381" i="1" s="1"/>
  <c r="K380" i="1"/>
  <c r="L380" i="1" s="1"/>
  <c r="K379" i="1"/>
  <c r="L379" i="1" s="1"/>
  <c r="K378" i="1"/>
  <c r="L378" i="1" s="1"/>
  <c r="K377" i="1"/>
  <c r="L377" i="1" s="1"/>
  <c r="K376" i="1"/>
  <c r="L376" i="1" s="1"/>
  <c r="K375" i="1"/>
  <c r="L375" i="1" s="1"/>
  <c r="K374" i="1"/>
  <c r="L374" i="1" s="1"/>
  <c r="K373" i="1"/>
  <c r="L373" i="1" s="1"/>
  <c r="K372" i="1"/>
  <c r="L372" i="1" s="1"/>
  <c r="K371" i="1"/>
  <c r="L371" i="1" s="1"/>
  <c r="K370" i="1"/>
  <c r="L370" i="1" s="1"/>
  <c r="K369" i="1"/>
  <c r="L369" i="1" s="1"/>
  <c r="K368" i="1"/>
  <c r="L368" i="1" s="1"/>
  <c r="K367" i="1"/>
  <c r="L367" i="1" s="1"/>
  <c r="K366" i="1"/>
  <c r="L366" i="1" s="1"/>
  <c r="K365" i="1"/>
  <c r="L365" i="1" s="1"/>
  <c r="K364" i="1"/>
  <c r="L364" i="1" s="1"/>
  <c r="K363" i="1"/>
  <c r="L363" i="1" s="1"/>
  <c r="K362" i="1"/>
  <c r="L362" i="1" s="1"/>
  <c r="K361" i="1"/>
  <c r="L361" i="1" s="1"/>
  <c r="K360" i="1"/>
  <c r="L360" i="1" s="1"/>
  <c r="K359" i="1"/>
  <c r="L359" i="1" s="1"/>
  <c r="K358" i="1"/>
  <c r="L358" i="1" s="1"/>
  <c r="K357" i="1"/>
  <c r="L357" i="1" s="1"/>
  <c r="K356" i="1"/>
  <c r="L356" i="1" s="1"/>
  <c r="K355" i="1"/>
  <c r="L355" i="1" s="1"/>
  <c r="K418" i="1"/>
  <c r="L418" i="1" s="1"/>
  <c r="K421" i="1"/>
  <c r="L421" i="1" s="1"/>
  <c r="K417" i="1"/>
  <c r="L417" i="1" s="1"/>
  <c r="K420" i="1"/>
  <c r="L420" i="1" s="1"/>
  <c r="K419" i="1"/>
  <c r="L419" i="1" s="1"/>
  <c r="K415" i="1"/>
  <c r="L415" i="1" s="1"/>
  <c r="K413" i="1"/>
  <c r="L413" i="1" s="1"/>
  <c r="K411" i="1"/>
  <c r="L411" i="1" s="1"/>
  <c r="K409" i="1"/>
  <c r="L409" i="1" s="1"/>
  <c r="K989" i="1"/>
  <c r="L989" i="1" s="1"/>
  <c r="K988" i="1"/>
  <c r="L988" i="1" s="1"/>
  <c r="K987" i="1"/>
  <c r="L987" i="1" s="1"/>
  <c r="K986" i="1"/>
  <c r="L986" i="1" s="1"/>
  <c r="K985" i="1"/>
  <c r="L985" i="1" s="1"/>
  <c r="K984" i="1"/>
  <c r="L984" i="1" s="1"/>
  <c r="K983" i="1"/>
  <c r="L983" i="1" s="1"/>
  <c r="K982" i="1"/>
  <c r="L982" i="1" s="1"/>
  <c r="K980" i="1"/>
  <c r="L980" i="1" s="1"/>
  <c r="K965" i="1"/>
  <c r="L965" i="1" s="1"/>
  <c r="K952" i="1"/>
  <c r="L952" i="1" s="1"/>
  <c r="K939" i="1"/>
  <c r="L939" i="1" s="1"/>
  <c r="K929" i="1"/>
  <c r="L929" i="1" s="1"/>
  <c r="K928" i="1"/>
  <c r="L928" i="1" s="1"/>
  <c r="K927" i="1"/>
  <c r="L927" i="1" s="1"/>
  <c r="K926" i="1"/>
  <c r="L926" i="1" s="1"/>
  <c r="K925" i="1"/>
  <c r="L925" i="1" s="1"/>
  <c r="K924" i="1"/>
  <c r="L924" i="1" s="1"/>
  <c r="K923" i="1"/>
  <c r="L923" i="1" s="1"/>
  <c r="K922" i="1"/>
  <c r="L922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1937" i="1"/>
  <c r="L1937" i="1" s="1"/>
  <c r="K1936" i="1"/>
  <c r="L1936" i="1" s="1"/>
  <c r="K1935" i="1"/>
  <c r="L1935" i="1" s="1"/>
  <c r="K1934" i="1"/>
  <c r="L1934" i="1" s="1"/>
  <c r="K1933" i="1"/>
  <c r="L1933" i="1" s="1"/>
  <c r="K1932" i="1"/>
  <c r="L1932" i="1" s="1"/>
  <c r="K1931" i="1"/>
  <c r="L1931" i="1" s="1"/>
  <c r="K1930" i="1"/>
  <c r="L1930" i="1" s="1"/>
  <c r="K1929" i="1"/>
  <c r="L1929" i="1" s="1"/>
  <c r="K1928" i="1"/>
  <c r="L1928" i="1" s="1"/>
  <c r="K1927" i="1"/>
  <c r="L1927" i="1" s="1"/>
  <c r="K1926" i="1"/>
  <c r="L1926" i="1" s="1"/>
  <c r="K1925" i="1"/>
  <c r="L1925" i="1" s="1"/>
  <c r="K1924" i="1"/>
  <c r="L1924" i="1" s="1"/>
  <c r="K1923" i="1"/>
  <c r="L1923" i="1" s="1"/>
  <c r="K1922" i="1"/>
  <c r="L1922" i="1" s="1"/>
  <c r="K1921" i="1"/>
  <c r="L1921" i="1" s="1"/>
  <c r="K1920" i="1"/>
  <c r="L1920" i="1" s="1"/>
  <c r="K1919" i="1"/>
  <c r="L1919" i="1" s="1"/>
  <c r="K1918" i="1"/>
  <c r="L1918" i="1" s="1"/>
  <c r="K1917" i="1"/>
  <c r="L1917" i="1" s="1"/>
  <c r="K1916" i="1"/>
  <c r="L1916" i="1" s="1"/>
  <c r="K1915" i="1"/>
  <c r="L1915" i="1" s="1"/>
  <c r="K1914" i="1"/>
  <c r="L1914" i="1" s="1"/>
  <c r="K1913" i="1"/>
  <c r="L1913" i="1" s="1"/>
  <c r="K1912" i="1"/>
  <c r="L1912" i="1" s="1"/>
  <c r="K1911" i="1"/>
  <c r="L1911" i="1" s="1"/>
  <c r="K1910" i="1"/>
  <c r="L1910" i="1" s="1"/>
  <c r="K1909" i="1"/>
  <c r="L1909" i="1" s="1"/>
  <c r="K1908" i="1"/>
  <c r="L1908" i="1" s="1"/>
  <c r="K1907" i="1"/>
  <c r="L1907" i="1" s="1"/>
  <c r="K1906" i="1"/>
  <c r="L1906" i="1" s="1"/>
  <c r="K1905" i="1"/>
  <c r="L1905" i="1" s="1"/>
  <c r="K1904" i="1"/>
  <c r="L1904" i="1" s="1"/>
  <c r="K1903" i="1"/>
  <c r="L1903" i="1" s="1"/>
  <c r="K1902" i="1"/>
  <c r="L1902" i="1" s="1"/>
  <c r="K1901" i="1"/>
  <c r="L1901" i="1" s="1"/>
  <c r="K1900" i="1"/>
  <c r="L1900" i="1" s="1"/>
  <c r="K1899" i="1"/>
  <c r="L1899" i="1" s="1"/>
  <c r="K1898" i="1"/>
  <c r="L1898" i="1" s="1"/>
  <c r="K1897" i="1"/>
  <c r="L1897" i="1" s="1"/>
  <c r="K1896" i="1"/>
  <c r="L1896" i="1" s="1"/>
  <c r="K1895" i="1"/>
  <c r="L1895" i="1" s="1"/>
  <c r="K1894" i="1"/>
  <c r="L1894" i="1" s="1"/>
  <c r="K1893" i="1"/>
  <c r="L1893" i="1" s="1"/>
  <c r="K1892" i="1"/>
  <c r="L1892" i="1" s="1"/>
  <c r="K1891" i="1"/>
  <c r="L1891" i="1" s="1"/>
  <c r="K1890" i="1"/>
  <c r="L1890" i="1" s="1"/>
  <c r="K1889" i="1"/>
  <c r="L1889" i="1" s="1"/>
  <c r="K1888" i="1"/>
  <c r="L1888" i="1" s="1"/>
  <c r="K1887" i="1"/>
  <c r="L1887" i="1" s="1"/>
  <c r="K1886" i="1"/>
  <c r="L1886" i="1" s="1"/>
  <c r="K1885" i="1"/>
  <c r="L1885" i="1" s="1"/>
  <c r="K1884" i="1"/>
  <c r="L1884" i="1" s="1"/>
  <c r="K1883" i="1"/>
  <c r="L1883" i="1" s="1"/>
  <c r="K1882" i="1"/>
  <c r="L1882" i="1" s="1"/>
  <c r="K1881" i="1"/>
  <c r="L1881" i="1" s="1"/>
  <c r="K1880" i="1"/>
  <c r="L1880" i="1" s="1"/>
  <c r="K1879" i="1"/>
  <c r="L1879" i="1" s="1"/>
  <c r="K1878" i="1"/>
  <c r="L1878" i="1" s="1"/>
  <c r="K1877" i="1"/>
  <c r="L1877" i="1" s="1"/>
  <c r="K1876" i="1"/>
  <c r="L1876" i="1" s="1"/>
  <c r="K1875" i="1"/>
  <c r="L1875" i="1" s="1"/>
  <c r="K1874" i="1"/>
  <c r="L1874" i="1" s="1"/>
  <c r="K1873" i="1"/>
  <c r="L1873" i="1" s="1"/>
  <c r="K1872" i="1"/>
  <c r="L1872" i="1" s="1"/>
  <c r="K1871" i="1"/>
  <c r="L1871" i="1" s="1"/>
  <c r="K1870" i="1"/>
  <c r="L1870" i="1" s="1"/>
  <c r="K1869" i="1"/>
  <c r="L1869" i="1" s="1"/>
  <c r="K1868" i="1"/>
  <c r="L1868" i="1" s="1"/>
  <c r="K1867" i="1"/>
  <c r="L1867" i="1" s="1"/>
  <c r="K1866" i="1"/>
  <c r="L1866" i="1" s="1"/>
  <c r="K1865" i="1"/>
  <c r="L1865" i="1" s="1"/>
  <c r="K1864" i="1"/>
  <c r="L1864" i="1" s="1"/>
  <c r="K1863" i="1"/>
  <c r="L1863" i="1" s="1"/>
  <c r="K1862" i="1"/>
  <c r="L1862" i="1" s="1"/>
  <c r="K1860" i="1"/>
  <c r="L1860" i="1" s="1"/>
  <c r="K1859" i="1"/>
  <c r="L1859" i="1" s="1"/>
  <c r="K1858" i="1"/>
  <c r="L1858" i="1" s="1"/>
  <c r="K1857" i="1"/>
  <c r="L1857" i="1" s="1"/>
  <c r="K1856" i="1"/>
  <c r="L1856" i="1" s="1"/>
  <c r="K1855" i="1"/>
  <c r="L1855" i="1" s="1"/>
  <c r="K1854" i="1"/>
  <c r="L1854" i="1" s="1"/>
  <c r="K1853" i="1"/>
  <c r="L1853" i="1" s="1"/>
  <c r="K1852" i="1"/>
  <c r="L1852" i="1" s="1"/>
  <c r="K1851" i="1"/>
  <c r="L1851" i="1" s="1"/>
  <c r="K460" i="1"/>
  <c r="L460" i="1" s="1"/>
  <c r="K459" i="1"/>
  <c r="L459" i="1" s="1"/>
  <c r="K458" i="1"/>
  <c r="L458" i="1" s="1"/>
  <c r="K457" i="1"/>
  <c r="L457" i="1" s="1"/>
  <c r="K456" i="1"/>
  <c r="L456" i="1" s="1"/>
  <c r="K455" i="1"/>
  <c r="L455" i="1" s="1"/>
  <c r="K454" i="1"/>
  <c r="L454" i="1" s="1"/>
  <c r="K453" i="1"/>
  <c r="L453" i="1" s="1"/>
  <c r="K452" i="1"/>
  <c r="L452" i="1" s="1"/>
  <c r="K451" i="1"/>
  <c r="L451" i="1" s="1"/>
  <c r="K450" i="1"/>
  <c r="L450" i="1" s="1"/>
  <c r="K449" i="1"/>
  <c r="L449" i="1" s="1"/>
  <c r="K448" i="1"/>
  <c r="L448" i="1" s="1"/>
  <c r="K447" i="1"/>
  <c r="L447" i="1" s="1"/>
  <c r="K446" i="1"/>
  <c r="L446" i="1" s="1"/>
  <c r="K445" i="1"/>
  <c r="L445" i="1" s="1"/>
  <c r="K444" i="1"/>
  <c r="L444" i="1" s="1"/>
  <c r="K443" i="1"/>
  <c r="L443" i="1" s="1"/>
  <c r="K442" i="1"/>
  <c r="L442" i="1" s="1"/>
  <c r="K441" i="1"/>
  <c r="L441" i="1" s="1"/>
  <c r="K440" i="1"/>
  <c r="L440" i="1" s="1"/>
  <c r="K439" i="1"/>
  <c r="L439" i="1" s="1"/>
  <c r="K438" i="1"/>
  <c r="L438" i="1" s="1"/>
  <c r="K437" i="1"/>
  <c r="L437" i="1" s="1"/>
  <c r="K436" i="1"/>
  <c r="L436" i="1" s="1"/>
  <c r="K435" i="1"/>
  <c r="L435" i="1" s="1"/>
  <c r="K434" i="1"/>
  <c r="L434" i="1" s="1"/>
  <c r="K433" i="1"/>
  <c r="L433" i="1" s="1"/>
  <c r="K432" i="1"/>
  <c r="L432" i="1" s="1"/>
  <c r="K431" i="1"/>
  <c r="L431" i="1" s="1"/>
  <c r="K430" i="1"/>
  <c r="L430" i="1" s="1"/>
  <c r="K429" i="1"/>
  <c r="L429" i="1" s="1"/>
  <c r="K428" i="1"/>
  <c r="L428" i="1" s="1"/>
  <c r="K427" i="1"/>
  <c r="L427" i="1" s="1"/>
  <c r="K426" i="1"/>
  <c r="L426" i="1" s="1"/>
  <c r="K425" i="1"/>
  <c r="L425" i="1" s="1"/>
  <c r="K424" i="1"/>
  <c r="L424" i="1" s="1"/>
  <c r="K423" i="1"/>
  <c r="L423" i="1" s="1"/>
  <c r="K422" i="1"/>
  <c r="L422" i="1" s="1"/>
  <c r="K981" i="1"/>
  <c r="L981" i="1" s="1"/>
  <c r="K979" i="1"/>
  <c r="L979" i="1" s="1"/>
  <c r="K978" i="1"/>
  <c r="L978" i="1" s="1"/>
  <c r="K977" i="1"/>
  <c r="L977" i="1" s="1"/>
  <c r="K976" i="1"/>
  <c r="L976" i="1" s="1"/>
  <c r="K975" i="1"/>
  <c r="L975" i="1" s="1"/>
  <c r="K974" i="1"/>
  <c r="L974" i="1" s="1"/>
  <c r="K973" i="1"/>
  <c r="L973" i="1" s="1"/>
  <c r="K972" i="1"/>
  <c r="L972" i="1" s="1"/>
  <c r="K971" i="1"/>
  <c r="L971" i="1" s="1"/>
  <c r="K970" i="1"/>
  <c r="L970" i="1" s="1"/>
  <c r="K969" i="1"/>
  <c r="L969" i="1" s="1"/>
  <c r="K968" i="1"/>
  <c r="L968" i="1" s="1"/>
  <c r="K967" i="1"/>
  <c r="L967" i="1" s="1"/>
  <c r="K966" i="1"/>
  <c r="L966" i="1" s="1"/>
  <c r="K964" i="1"/>
  <c r="L964" i="1" s="1"/>
  <c r="K963" i="1"/>
  <c r="L963" i="1" s="1"/>
  <c r="K962" i="1"/>
  <c r="L962" i="1" s="1"/>
  <c r="K960" i="1"/>
  <c r="L960" i="1" s="1"/>
  <c r="K961" i="1"/>
  <c r="L961" i="1" s="1"/>
  <c r="K959" i="1"/>
  <c r="L959" i="1" s="1"/>
  <c r="K958" i="1"/>
  <c r="L958" i="1" s="1"/>
  <c r="K957" i="1"/>
  <c r="L957" i="1" s="1"/>
  <c r="K956" i="1"/>
  <c r="L956" i="1" s="1"/>
  <c r="K955" i="1"/>
  <c r="L955" i="1" s="1"/>
  <c r="K954" i="1"/>
  <c r="L954" i="1" s="1"/>
  <c r="K953" i="1"/>
  <c r="L953" i="1" s="1"/>
  <c r="K951" i="1"/>
  <c r="L951" i="1" s="1"/>
  <c r="K950" i="1"/>
  <c r="L950" i="1" s="1"/>
  <c r="K949" i="1"/>
  <c r="L949" i="1" s="1"/>
  <c r="K948" i="1"/>
  <c r="L948" i="1" s="1"/>
  <c r="K947" i="1"/>
  <c r="L947" i="1" s="1"/>
  <c r="K946" i="1"/>
  <c r="L946" i="1" s="1"/>
  <c r="K945" i="1"/>
  <c r="L945" i="1" s="1"/>
  <c r="K944" i="1"/>
  <c r="L944" i="1" s="1"/>
  <c r="K943" i="1"/>
  <c r="L943" i="1" s="1"/>
  <c r="K942" i="1"/>
  <c r="L942" i="1" s="1"/>
  <c r="K941" i="1"/>
  <c r="L941" i="1" s="1"/>
  <c r="K940" i="1"/>
  <c r="L940" i="1" s="1"/>
  <c r="K938" i="1"/>
  <c r="L938" i="1" s="1"/>
  <c r="K937" i="1"/>
  <c r="L937" i="1" s="1"/>
  <c r="K936" i="1"/>
  <c r="L936" i="1" s="1"/>
  <c r="K935" i="1"/>
  <c r="L935" i="1" s="1"/>
  <c r="K934" i="1"/>
  <c r="L934" i="1" s="1"/>
  <c r="K933" i="1"/>
  <c r="L933" i="1" s="1"/>
  <c r="K932" i="1"/>
  <c r="L932" i="1" s="1"/>
  <c r="K931" i="1"/>
  <c r="L931" i="1" s="1"/>
  <c r="K930" i="1"/>
  <c r="L930" i="1" s="1"/>
  <c r="K1397" i="1"/>
  <c r="L1397" i="1" s="1"/>
  <c r="K1394" i="1"/>
  <c r="L1394" i="1" s="1"/>
  <c r="K1390" i="1"/>
  <c r="L1390" i="1" s="1"/>
  <c r="K1388" i="1"/>
  <c r="L1388" i="1" s="1"/>
  <c r="K1385" i="1"/>
  <c r="L1385" i="1" s="1"/>
  <c r="K1381" i="1"/>
  <c r="L1381" i="1" s="1"/>
  <c r="K1377" i="1"/>
  <c r="L1377" i="1" s="1"/>
  <c r="K1376" i="1"/>
  <c r="L1376" i="1" s="1"/>
  <c r="K1373" i="1"/>
  <c r="L1373" i="1" s="1"/>
  <c r="K1370" i="1"/>
  <c r="L1370" i="1" s="1"/>
  <c r="K1366" i="1"/>
  <c r="L1366" i="1" s="1"/>
  <c r="K1364" i="1"/>
  <c r="L1364" i="1" s="1"/>
  <c r="K1359" i="1"/>
  <c r="L1359" i="1" s="1"/>
  <c r="K1356" i="1"/>
  <c r="L1356" i="1" s="1"/>
  <c r="K1354" i="1"/>
  <c r="L1354" i="1" s="1"/>
  <c r="K1351" i="1"/>
  <c r="L1351" i="1" s="1"/>
  <c r="K1349" i="1"/>
  <c r="L1349" i="1" s="1"/>
  <c r="K1346" i="1"/>
  <c r="L1346" i="1" s="1"/>
  <c r="K1342" i="1"/>
  <c r="L1342" i="1" s="1"/>
  <c r="K1340" i="1"/>
  <c r="L1340" i="1" s="1"/>
  <c r="K1337" i="1"/>
  <c r="L1337" i="1" s="1"/>
  <c r="K1332" i="1"/>
  <c r="L1332" i="1" s="1"/>
  <c r="K1330" i="1"/>
  <c r="L1330" i="1" s="1"/>
  <c r="K1328" i="1"/>
  <c r="L1328" i="1" s="1"/>
  <c r="K1323" i="1"/>
  <c r="L1323" i="1" s="1"/>
  <c r="K1321" i="1"/>
  <c r="L1321" i="1" s="1"/>
  <c r="K1319" i="1"/>
  <c r="L1319" i="1" s="1"/>
  <c r="K1314" i="1"/>
  <c r="L1314" i="1" s="1"/>
  <c r="K1311" i="1"/>
  <c r="L1311" i="1" s="1"/>
  <c r="K1308" i="1"/>
  <c r="L1308" i="1" s="1"/>
  <c r="K1306" i="1"/>
  <c r="L1306" i="1" s="1"/>
  <c r="K1302" i="1"/>
  <c r="L1302" i="1" s="1"/>
  <c r="K1299" i="1"/>
  <c r="L1299" i="1" s="1"/>
  <c r="K1296" i="1"/>
  <c r="L1296" i="1" s="1"/>
  <c r="K1295" i="1"/>
  <c r="L1295" i="1" s="1"/>
  <c r="K1292" i="1"/>
  <c r="L1292" i="1" s="1"/>
  <c r="K1287" i="1"/>
  <c r="L1287" i="1" s="1"/>
  <c r="K1286" i="1"/>
  <c r="L1286" i="1" s="1"/>
  <c r="K1283" i="1"/>
  <c r="L1283" i="1" s="1"/>
  <c r="K1280" i="1"/>
  <c r="L1280" i="1" s="1"/>
  <c r="K1276" i="1"/>
  <c r="L1276" i="1" s="1"/>
  <c r="K1273" i="1"/>
  <c r="L1273" i="1" s="1"/>
  <c r="K1269" i="1"/>
  <c r="L1269" i="1" s="1"/>
  <c r="K1266" i="1"/>
  <c r="L1266" i="1" s="1"/>
  <c r="K1264" i="1"/>
  <c r="L1264" i="1" s="1"/>
  <c r="K1262" i="1"/>
  <c r="L1262" i="1" s="1"/>
  <c r="K1258" i="1"/>
  <c r="L1258" i="1" s="1"/>
  <c r="K1254" i="1"/>
  <c r="L1254" i="1" s="1"/>
  <c r="K1252" i="1"/>
  <c r="L1252" i="1" s="1"/>
  <c r="K1249" i="1"/>
  <c r="L1249" i="1" s="1"/>
  <c r="K1245" i="1"/>
  <c r="L1245" i="1" s="1"/>
  <c r="K1243" i="1"/>
  <c r="L1243" i="1" s="1"/>
  <c r="K1239" i="1"/>
  <c r="L1239" i="1" s="1"/>
  <c r="K1237" i="1"/>
  <c r="L1237" i="1" s="1"/>
  <c r="K1233" i="1"/>
  <c r="L1233" i="1" s="1"/>
  <c r="K1232" i="1"/>
  <c r="L1232" i="1" s="1"/>
  <c r="K1227" i="1"/>
  <c r="L1227" i="1" s="1"/>
  <c r="K1224" i="1"/>
  <c r="L1224" i="1" s="1"/>
  <c r="K1225" i="1"/>
  <c r="L1225" i="1" s="1"/>
  <c r="K1219" i="1"/>
  <c r="L1219" i="1" s="1"/>
  <c r="K1216" i="1"/>
  <c r="L1216" i="1" s="1"/>
  <c r="K1214" i="1"/>
  <c r="L1214" i="1" s="1"/>
  <c r="K1211" i="1"/>
  <c r="L1211" i="1" s="1"/>
  <c r="K1208" i="1"/>
  <c r="L1208" i="1" s="1"/>
  <c r="K1205" i="1"/>
  <c r="L1205" i="1" s="1"/>
  <c r="K1200" i="1"/>
  <c r="L1200" i="1" s="1"/>
  <c r="K1197" i="1"/>
  <c r="L1197" i="1" s="1"/>
  <c r="K1194" i="1"/>
  <c r="L1194" i="1" s="1"/>
  <c r="K1192" i="1"/>
  <c r="L1192" i="1" s="1"/>
  <c r="K1189" i="1"/>
  <c r="L1189" i="1" s="1"/>
  <c r="K1185" i="1"/>
  <c r="L1185" i="1" s="1"/>
  <c r="K1182" i="1"/>
  <c r="L1182" i="1" s="1"/>
  <c r="K1180" i="1"/>
  <c r="L1180" i="1" s="1"/>
  <c r="K1178" i="1"/>
  <c r="L1178" i="1" s="1"/>
  <c r="K1173" i="1"/>
  <c r="L1173" i="1" s="1"/>
  <c r="K1172" i="1"/>
  <c r="L1172" i="1" s="1"/>
  <c r="K1167" i="1"/>
  <c r="L1167" i="1" s="1"/>
  <c r="K1166" i="1"/>
  <c r="L1166" i="1" s="1"/>
  <c r="K1161" i="1"/>
  <c r="L1161" i="1" s="1"/>
  <c r="K1158" i="1"/>
  <c r="L1158" i="1" s="1"/>
  <c r="K1156" i="1"/>
  <c r="L1156" i="1" s="1"/>
  <c r="K1154" i="1"/>
  <c r="L1154" i="1" s="1"/>
  <c r="K1150" i="1"/>
  <c r="L1150" i="1" s="1"/>
  <c r="K1148" i="1"/>
  <c r="L1148" i="1" s="1"/>
  <c r="K1145" i="1"/>
  <c r="L1145" i="1" s="1"/>
  <c r="K1140" i="1"/>
  <c r="L1140" i="1" s="1"/>
  <c r="K1137" i="1"/>
  <c r="L1137" i="1" s="1"/>
  <c r="K1396" i="1"/>
  <c r="L1396" i="1" s="1"/>
  <c r="K1392" i="1"/>
  <c r="L1392" i="1" s="1"/>
  <c r="K1391" i="1"/>
  <c r="L1391" i="1" s="1"/>
  <c r="K1386" i="1"/>
  <c r="L1386" i="1" s="1"/>
  <c r="K1383" i="1"/>
  <c r="L1383" i="1" s="1"/>
  <c r="K1382" i="1"/>
  <c r="L1382" i="1" s="1"/>
  <c r="K1378" i="1"/>
  <c r="L1378" i="1" s="1"/>
  <c r="K1375" i="1"/>
  <c r="L1375" i="1" s="1"/>
  <c r="K1372" i="1"/>
  <c r="L1372" i="1" s="1"/>
  <c r="K1368" i="1"/>
  <c r="L1368" i="1" s="1"/>
  <c r="K1367" i="1"/>
  <c r="L1367" i="1" s="1"/>
  <c r="K1363" i="1"/>
  <c r="L1363" i="1" s="1"/>
  <c r="K1361" i="1"/>
  <c r="L1361" i="1" s="1"/>
  <c r="K1357" i="1"/>
  <c r="L1357" i="1" s="1"/>
  <c r="K1353" i="1"/>
  <c r="L1353" i="1" s="1"/>
  <c r="K1347" i="1"/>
  <c r="L1347" i="1" s="1"/>
  <c r="K1344" i="1"/>
  <c r="L1344" i="1" s="1"/>
  <c r="K1343" i="1"/>
  <c r="L1343" i="1" s="1"/>
  <c r="K1338" i="1"/>
  <c r="L1338" i="1" s="1"/>
  <c r="K1335" i="1"/>
  <c r="L1335" i="1" s="1"/>
  <c r="K1333" i="1"/>
  <c r="L1333" i="1" s="1"/>
  <c r="K1331" i="1"/>
  <c r="L1331" i="1" s="1"/>
  <c r="K1327" i="1"/>
  <c r="L1327" i="1" s="1"/>
  <c r="K1324" i="1"/>
  <c r="L1324" i="1" s="1"/>
  <c r="K1320" i="1"/>
  <c r="L1320" i="1" s="1"/>
  <c r="K1318" i="1"/>
  <c r="L1318" i="1" s="1"/>
  <c r="K1315" i="1"/>
  <c r="L1315" i="1" s="1"/>
  <c r="K1313" i="1"/>
  <c r="L1313" i="1" s="1"/>
  <c r="K1310" i="1"/>
  <c r="L1310" i="1" s="1"/>
  <c r="K1307" i="1"/>
  <c r="L1307" i="1" s="1"/>
  <c r="K1304" i="1"/>
  <c r="L1304" i="1" s="1"/>
  <c r="K1300" i="1"/>
  <c r="L1300" i="1" s="1"/>
  <c r="K1297" i="1"/>
  <c r="L1297" i="1" s="1"/>
  <c r="K1294" i="1"/>
  <c r="L1294" i="1" s="1"/>
  <c r="K1291" i="1"/>
  <c r="L1291" i="1" s="1"/>
  <c r="K1289" i="1"/>
  <c r="L1289" i="1" s="1"/>
  <c r="K1285" i="1"/>
  <c r="L1285" i="1" s="1"/>
  <c r="K1281" i="1"/>
  <c r="L1281" i="1" s="1"/>
  <c r="K1279" i="1"/>
  <c r="L1279" i="1" s="1"/>
  <c r="K1275" i="1"/>
  <c r="L1275" i="1" s="1"/>
  <c r="K1274" i="1"/>
  <c r="L1274" i="1" s="1"/>
  <c r="K1271" i="1"/>
  <c r="L1271" i="1" s="1"/>
  <c r="K1268" i="1"/>
  <c r="L1268" i="1" s="1"/>
  <c r="K1263" i="1"/>
  <c r="L1263" i="1" s="1"/>
  <c r="K1260" i="1"/>
  <c r="L1260" i="1" s="1"/>
  <c r="K1256" i="1"/>
  <c r="L1256" i="1" s="1"/>
  <c r="K1251" i="1"/>
  <c r="L1251" i="1" s="1"/>
  <c r="K1248" i="1"/>
  <c r="L1248" i="1" s="1"/>
  <c r="K1247" i="1"/>
  <c r="L1247" i="1" s="1"/>
  <c r="K1244" i="1"/>
  <c r="L1244" i="1" s="1"/>
  <c r="K1240" i="1"/>
  <c r="L1240" i="1" s="1"/>
  <c r="K1238" i="1"/>
  <c r="L1238" i="1" s="1"/>
  <c r="K1234" i="1"/>
  <c r="L1234" i="1" s="1"/>
  <c r="K1231" i="1"/>
  <c r="L1231" i="1" s="1"/>
  <c r="K1228" i="1"/>
  <c r="L1228" i="1" s="1"/>
  <c r="K1221" i="1"/>
  <c r="L1221" i="1" s="1"/>
  <c r="K1226" i="1"/>
  <c r="L1226" i="1" s="1"/>
  <c r="K1220" i="1"/>
  <c r="L1220" i="1" s="1"/>
  <c r="K1217" i="1"/>
  <c r="L1217" i="1" s="1"/>
  <c r="K1212" i="1"/>
  <c r="L1212" i="1" s="1"/>
  <c r="K1209" i="1"/>
  <c r="L1209" i="1" s="1"/>
  <c r="K1206" i="1"/>
  <c r="L1206" i="1" s="1"/>
  <c r="K1204" i="1"/>
  <c r="L1204" i="1" s="1"/>
  <c r="K1201" i="1"/>
  <c r="L1201" i="1" s="1"/>
  <c r="K1199" i="1"/>
  <c r="L1199" i="1" s="1"/>
  <c r="K1196" i="1"/>
  <c r="L1196" i="1" s="1"/>
  <c r="K1193" i="1"/>
  <c r="L1193" i="1" s="1"/>
  <c r="K1188" i="1"/>
  <c r="L1188" i="1" s="1"/>
  <c r="K1187" i="1"/>
  <c r="L1187" i="1" s="1"/>
  <c r="K1183" i="1"/>
  <c r="L1183" i="1" s="1"/>
  <c r="K1179" i="1"/>
  <c r="L1179" i="1" s="1"/>
  <c r="K1176" i="1"/>
  <c r="L1176" i="1" s="1"/>
  <c r="K1174" i="1"/>
  <c r="L1174" i="1" s="1"/>
  <c r="K1171" i="1"/>
  <c r="L1171" i="1" s="1"/>
  <c r="K1169" i="1"/>
  <c r="L1169" i="1" s="1"/>
  <c r="K1164" i="1"/>
  <c r="L1164" i="1" s="1"/>
  <c r="K1163" i="1"/>
  <c r="L1163" i="1" s="1"/>
  <c r="K1160" i="1"/>
  <c r="L1160" i="1" s="1"/>
  <c r="K1155" i="1"/>
  <c r="L1155" i="1" s="1"/>
  <c r="K1153" i="1"/>
  <c r="L1153" i="1" s="1"/>
  <c r="K1149" i="1"/>
  <c r="L1149" i="1" s="1"/>
  <c r="K1146" i="1"/>
  <c r="L1146" i="1" s="1"/>
  <c r="K1144" i="1"/>
  <c r="L1144" i="1" s="1"/>
  <c r="K1142" i="1"/>
  <c r="L1142" i="1" s="1"/>
  <c r="K1139" i="1"/>
  <c r="L1139" i="1" s="1"/>
  <c r="K1395" i="1"/>
  <c r="L1395" i="1" s="1"/>
  <c r="K1393" i="1"/>
  <c r="L1393" i="1" s="1"/>
  <c r="K1389" i="1"/>
  <c r="L1389" i="1" s="1"/>
  <c r="K1387" i="1"/>
  <c r="L1387" i="1" s="1"/>
  <c r="K1384" i="1"/>
  <c r="L1384" i="1" s="1"/>
  <c r="K1380" i="1"/>
  <c r="L1380" i="1" s="1"/>
  <c r="K1379" i="1"/>
  <c r="L1379" i="1" s="1"/>
  <c r="K1374" i="1"/>
  <c r="L1374" i="1" s="1"/>
  <c r="K1371" i="1"/>
  <c r="L1371" i="1" s="1"/>
  <c r="K1369" i="1"/>
  <c r="L1369" i="1" s="1"/>
  <c r="K1365" i="1"/>
  <c r="L1365" i="1" s="1"/>
  <c r="K1362" i="1"/>
  <c r="L1362" i="1" s="1"/>
  <c r="K1360" i="1"/>
  <c r="L1360" i="1" s="1"/>
  <c r="K1358" i="1"/>
  <c r="L1358" i="1" s="1"/>
  <c r="K1355" i="1"/>
  <c r="L1355" i="1" s="1"/>
  <c r="K1350" i="1"/>
  <c r="L1350" i="1" s="1"/>
  <c r="K1348" i="1"/>
  <c r="L1348" i="1" s="1"/>
  <c r="K1345" i="1"/>
  <c r="L1345" i="1" s="1"/>
  <c r="K1341" i="1"/>
  <c r="L1341" i="1" s="1"/>
  <c r="K1339" i="1"/>
  <c r="L1339" i="1" s="1"/>
  <c r="K1336" i="1"/>
  <c r="L1336" i="1" s="1"/>
  <c r="K1334" i="1"/>
  <c r="L1334" i="1" s="1"/>
  <c r="K1329" i="1"/>
  <c r="L1329" i="1" s="1"/>
  <c r="K1326" i="1"/>
  <c r="L1326" i="1" s="1"/>
  <c r="K1325" i="1"/>
  <c r="L1325" i="1" s="1"/>
  <c r="K1322" i="1"/>
  <c r="L1322" i="1" s="1"/>
  <c r="K1317" i="1"/>
  <c r="L1317" i="1" s="1"/>
  <c r="K1316" i="1"/>
  <c r="L1316" i="1" s="1"/>
  <c r="K1312" i="1"/>
  <c r="L1312" i="1" s="1"/>
  <c r="K1309" i="1"/>
  <c r="L1309" i="1" s="1"/>
  <c r="K1305" i="1"/>
  <c r="L1305" i="1" s="1"/>
  <c r="K1303" i="1"/>
  <c r="L1303" i="1" s="1"/>
  <c r="K1301" i="1"/>
  <c r="L1301" i="1" s="1"/>
  <c r="K1298" i="1"/>
  <c r="L1298" i="1" s="1"/>
  <c r="K1293" i="1"/>
  <c r="L1293" i="1" s="1"/>
  <c r="K1290" i="1"/>
  <c r="L1290" i="1" s="1"/>
  <c r="K1288" i="1"/>
  <c r="L1288" i="1" s="1"/>
  <c r="K1284" i="1"/>
  <c r="L1284" i="1" s="1"/>
  <c r="K1282" i="1"/>
  <c r="L1282" i="1" s="1"/>
  <c r="K1278" i="1"/>
  <c r="L1278" i="1" s="1"/>
  <c r="K1277" i="1"/>
  <c r="L1277" i="1" s="1"/>
  <c r="K1272" i="1"/>
  <c r="L1272" i="1" s="1"/>
  <c r="K1270" i="1"/>
  <c r="L1270" i="1" s="1"/>
  <c r="K1267" i="1"/>
  <c r="L1267" i="1" s="1"/>
  <c r="K1265" i="1"/>
  <c r="L1265" i="1" s="1"/>
  <c r="K1261" i="1"/>
  <c r="L1261" i="1" s="1"/>
  <c r="K1257" i="1"/>
  <c r="L1257" i="1" s="1"/>
  <c r="K1255" i="1"/>
  <c r="L1255" i="1" s="1"/>
  <c r="K1253" i="1"/>
  <c r="L1253" i="1" s="1"/>
  <c r="K1250" i="1"/>
  <c r="L1250" i="1" s="1"/>
  <c r="K1246" i="1"/>
  <c r="L1246" i="1" s="1"/>
  <c r="K1242" i="1"/>
  <c r="L1242" i="1" s="1"/>
  <c r="K1241" i="1"/>
  <c r="L1241" i="1" s="1"/>
  <c r="K1236" i="1"/>
  <c r="L1236" i="1" s="1"/>
  <c r="K1235" i="1"/>
  <c r="L1235" i="1" s="1"/>
  <c r="K1230" i="1"/>
  <c r="L1230" i="1" s="1"/>
  <c r="K1229" i="1"/>
  <c r="L1229" i="1" s="1"/>
  <c r="K1222" i="1"/>
  <c r="L1222" i="1" s="1"/>
  <c r="K1223" i="1"/>
  <c r="L1223" i="1" s="1"/>
  <c r="K1218" i="1"/>
  <c r="L1218" i="1" s="1"/>
  <c r="K1215" i="1"/>
  <c r="L1215" i="1" s="1"/>
  <c r="K1213" i="1"/>
  <c r="L1213" i="1" s="1"/>
  <c r="K1210" i="1"/>
  <c r="L1210" i="1" s="1"/>
  <c r="K1207" i="1"/>
  <c r="L1207" i="1" s="1"/>
  <c r="K1203" i="1"/>
  <c r="L1203" i="1" s="1"/>
  <c r="K1202" i="1"/>
  <c r="L1202" i="1" s="1"/>
  <c r="K1198" i="1"/>
  <c r="L1198" i="1" s="1"/>
  <c r="K1195" i="1"/>
  <c r="L1195" i="1" s="1"/>
  <c r="K1191" i="1"/>
  <c r="L1191" i="1" s="1"/>
  <c r="K1190" i="1"/>
  <c r="L1190" i="1" s="1"/>
  <c r="K1186" i="1"/>
  <c r="L1186" i="1" s="1"/>
  <c r="K1184" i="1"/>
  <c r="L1184" i="1" s="1"/>
  <c r="K1181" i="1"/>
  <c r="L1181" i="1" s="1"/>
  <c r="K1177" i="1"/>
  <c r="L1177" i="1" s="1"/>
  <c r="K1175" i="1"/>
  <c r="L1175" i="1" s="1"/>
  <c r="K1170" i="1"/>
  <c r="L1170" i="1" s="1"/>
  <c r="K1168" i="1"/>
  <c r="L1168" i="1" s="1"/>
  <c r="K1165" i="1"/>
  <c r="L1165" i="1" s="1"/>
  <c r="K1162" i="1"/>
  <c r="L1162" i="1" s="1"/>
  <c r="K1159" i="1"/>
  <c r="L1159" i="1" s="1"/>
  <c r="K1157" i="1"/>
  <c r="L1157" i="1" s="1"/>
  <c r="K1152" i="1"/>
  <c r="L1152" i="1" s="1"/>
  <c r="K1151" i="1"/>
  <c r="L1151" i="1" s="1"/>
  <c r="K1147" i="1"/>
  <c r="L1147" i="1" s="1"/>
  <c r="K1143" i="1"/>
  <c r="L1143" i="1" s="1"/>
  <c r="K1141" i="1"/>
  <c r="L1141" i="1" s="1"/>
  <c r="K1138" i="1"/>
  <c r="L1138" i="1" s="1"/>
  <c r="K1740" i="1"/>
  <c r="L1740" i="1" s="1"/>
  <c r="K1734" i="1"/>
  <c r="L1734" i="1" s="1"/>
  <c r="K1731" i="1"/>
  <c r="L1731" i="1" s="1"/>
  <c r="K1727" i="1"/>
  <c r="L1727" i="1" s="1"/>
  <c r="K1724" i="1"/>
  <c r="L1724" i="1" s="1"/>
  <c r="K1720" i="1"/>
  <c r="L1720" i="1" s="1"/>
  <c r="K1714" i="1"/>
  <c r="L1714" i="1" s="1"/>
  <c r="K1710" i="1"/>
  <c r="L1710" i="1" s="1"/>
  <c r="K1709" i="1"/>
  <c r="L1709" i="1" s="1"/>
  <c r="K1704" i="1"/>
  <c r="L1704" i="1" s="1"/>
  <c r="K1698" i="1"/>
  <c r="L1698" i="1" s="1"/>
  <c r="K1694" i="1"/>
  <c r="L1694" i="1" s="1"/>
  <c r="K1692" i="1"/>
  <c r="L1692" i="1" s="1"/>
  <c r="K1688" i="1"/>
  <c r="L1688" i="1" s="1"/>
  <c r="K1684" i="1"/>
  <c r="L1684" i="1" s="1"/>
  <c r="K1678" i="1"/>
  <c r="L1678" i="1" s="1"/>
  <c r="K1676" i="1"/>
  <c r="L1676" i="1" s="1"/>
  <c r="K1671" i="1"/>
  <c r="L1671" i="1" s="1"/>
  <c r="K1667" i="1"/>
  <c r="L1667" i="1" s="1"/>
  <c r="K1665" i="1"/>
  <c r="L1665" i="1" s="1"/>
  <c r="K1658" i="1"/>
  <c r="L1658" i="1" s="1"/>
  <c r="K1657" i="1"/>
  <c r="L1657" i="1" s="1"/>
  <c r="K1651" i="1"/>
  <c r="L1651" i="1" s="1"/>
  <c r="K1647" i="1"/>
  <c r="L1647" i="1" s="1"/>
  <c r="K1644" i="1"/>
  <c r="L1644" i="1" s="1"/>
  <c r="K1639" i="1"/>
  <c r="L1639" i="1" s="1"/>
  <c r="K1637" i="1"/>
  <c r="L1637" i="1" s="1"/>
  <c r="K1633" i="1"/>
  <c r="L1633" i="1" s="1"/>
  <c r="K1627" i="1"/>
  <c r="L1627" i="1" s="1"/>
  <c r="K1623" i="1"/>
  <c r="L1623" i="1" s="1"/>
  <c r="K1618" i="1"/>
  <c r="L1618" i="1" s="1"/>
  <c r="K1615" i="1"/>
  <c r="L1615" i="1" s="1"/>
  <c r="K1612" i="1"/>
  <c r="L1612" i="1" s="1"/>
  <c r="K1609" i="1"/>
  <c r="L1609" i="1" s="1"/>
  <c r="K1604" i="1"/>
  <c r="L1604" i="1" s="1"/>
  <c r="K1601" i="1"/>
  <c r="L1601" i="1" s="1"/>
  <c r="K1596" i="1"/>
  <c r="L1596" i="1" s="1"/>
  <c r="K1593" i="1"/>
  <c r="L1593" i="1" s="1"/>
  <c r="K1589" i="1"/>
  <c r="L1589" i="1" s="1"/>
  <c r="K1583" i="1"/>
  <c r="L1583" i="1" s="1"/>
  <c r="K1578" i="1"/>
  <c r="L1578" i="1" s="1"/>
  <c r="K1576" i="1"/>
  <c r="L1576" i="1" s="1"/>
  <c r="K1573" i="1"/>
  <c r="L1573" i="1" s="1"/>
  <c r="K1566" i="1"/>
  <c r="L1566" i="1" s="1"/>
  <c r="K1564" i="1"/>
  <c r="L1564" i="1" s="1"/>
  <c r="K1558" i="1"/>
  <c r="L1558" i="1" s="1"/>
  <c r="K1556" i="1"/>
  <c r="L1556" i="1" s="1"/>
  <c r="K1550" i="1"/>
  <c r="L1550" i="1" s="1"/>
  <c r="K1547" i="1"/>
  <c r="L1547" i="1" s="1"/>
  <c r="K1545" i="1"/>
  <c r="L1545" i="1" s="1"/>
  <c r="K1538" i="1"/>
  <c r="L1538" i="1" s="1"/>
  <c r="K1536" i="1"/>
  <c r="L1536" i="1" s="1"/>
  <c r="K1530" i="1"/>
  <c r="L1530" i="1" s="1"/>
  <c r="K1528" i="1"/>
  <c r="L1528" i="1" s="1"/>
  <c r="K1524" i="1"/>
  <c r="L1524" i="1" s="1"/>
  <c r="K1518" i="1"/>
  <c r="L1518" i="1" s="1"/>
  <c r="K1514" i="1"/>
  <c r="L1514" i="1" s="1"/>
  <c r="K1512" i="1"/>
  <c r="L1512" i="1" s="1"/>
  <c r="K1509" i="1"/>
  <c r="L1509" i="1" s="1"/>
  <c r="K1504" i="1"/>
  <c r="L1504" i="1" s="1"/>
  <c r="K1501" i="1"/>
  <c r="L1501" i="1" s="1"/>
  <c r="K1494" i="1"/>
  <c r="L1494" i="1" s="1"/>
  <c r="K1493" i="1"/>
  <c r="L1493" i="1" s="1"/>
  <c r="K1487" i="1"/>
  <c r="L1487" i="1" s="1"/>
  <c r="K1485" i="1"/>
  <c r="L1485" i="1" s="1"/>
  <c r="K1478" i="1"/>
  <c r="L1478" i="1" s="1"/>
  <c r="K1476" i="1"/>
  <c r="L1476" i="1" s="1"/>
  <c r="K1473" i="1"/>
  <c r="L1473" i="1" s="1"/>
  <c r="K1466" i="1"/>
  <c r="L1466" i="1" s="1"/>
  <c r="K1463" i="1"/>
  <c r="L1463" i="1" s="1"/>
  <c r="K1459" i="1"/>
  <c r="L1459" i="1" s="1"/>
  <c r="K1456" i="1"/>
  <c r="L1456" i="1" s="1"/>
  <c r="K1453" i="1"/>
  <c r="L1453" i="1" s="1"/>
  <c r="K1448" i="1"/>
  <c r="L1448" i="1" s="1"/>
  <c r="K1444" i="1"/>
  <c r="L1444" i="1" s="1"/>
  <c r="K1438" i="1"/>
  <c r="L1438" i="1" s="1"/>
  <c r="K1437" i="1"/>
  <c r="L1437" i="1" s="1"/>
  <c r="K1431" i="1"/>
  <c r="L1431" i="1" s="1"/>
  <c r="K1426" i="1"/>
  <c r="L1426" i="1" s="1"/>
  <c r="K1423" i="1"/>
  <c r="L1423" i="1" s="1"/>
  <c r="K1419" i="1"/>
  <c r="L1419" i="1" s="1"/>
  <c r="K1414" i="1"/>
  <c r="L1414" i="1" s="1"/>
  <c r="K1411" i="1"/>
  <c r="L1411" i="1" s="1"/>
  <c r="K1406" i="1"/>
  <c r="L1406" i="1" s="1"/>
  <c r="K1402" i="1"/>
  <c r="L1402" i="1" s="1"/>
  <c r="K1401" i="1"/>
  <c r="L1401" i="1" s="1"/>
  <c r="K1742" i="1"/>
  <c r="L1742" i="1" s="1"/>
  <c r="K1741" i="1"/>
  <c r="L1741" i="1" s="1"/>
  <c r="K1736" i="1"/>
  <c r="L1736" i="1" s="1"/>
  <c r="K1733" i="1"/>
  <c r="L1733" i="1" s="1"/>
  <c r="K1729" i="1"/>
  <c r="L1729" i="1" s="1"/>
  <c r="K1722" i="1"/>
  <c r="L1722" i="1" s="1"/>
  <c r="K1721" i="1"/>
  <c r="L1721" i="1" s="1"/>
  <c r="K1717" i="1"/>
  <c r="L1717" i="1" s="1"/>
  <c r="K1711" i="1"/>
  <c r="L1711" i="1" s="1"/>
  <c r="K1707" i="1"/>
  <c r="L1707" i="1" s="1"/>
  <c r="K1705" i="1"/>
  <c r="L1705" i="1" s="1"/>
  <c r="K1701" i="1"/>
  <c r="L1701" i="1" s="1"/>
  <c r="K1697" i="1"/>
  <c r="L1697" i="1" s="1"/>
  <c r="K1690" i="1"/>
  <c r="L1690" i="1" s="1"/>
  <c r="K1687" i="1"/>
  <c r="L1687" i="1" s="1"/>
  <c r="K1685" i="1"/>
  <c r="L1685" i="1" s="1"/>
  <c r="K1680" i="1"/>
  <c r="L1680" i="1" s="1"/>
  <c r="K1677" i="1"/>
  <c r="L1677" i="1" s="1"/>
  <c r="K1672" i="1"/>
  <c r="L1672" i="1" s="1"/>
  <c r="K1668" i="1"/>
  <c r="L1668" i="1" s="1"/>
  <c r="K1663" i="1"/>
  <c r="L1663" i="1" s="1"/>
  <c r="K1661" i="1"/>
  <c r="L1661" i="1" s="1"/>
  <c r="K1656" i="1"/>
  <c r="L1656" i="1" s="1"/>
  <c r="K1653" i="1"/>
  <c r="L1653" i="1" s="1"/>
  <c r="K1648" i="1"/>
  <c r="L1648" i="1" s="1"/>
  <c r="K1643" i="1"/>
  <c r="L1643" i="1" s="1"/>
  <c r="K1638" i="1"/>
  <c r="L1638" i="1" s="1"/>
  <c r="K1635" i="1"/>
  <c r="L1635" i="1" s="1"/>
  <c r="K1631" i="1"/>
  <c r="L1631" i="1" s="1"/>
  <c r="K1626" i="1"/>
  <c r="L1626" i="1" s="1"/>
  <c r="K1625" i="1"/>
  <c r="L1625" i="1" s="1"/>
  <c r="K1620" i="1"/>
  <c r="L1620" i="1" s="1"/>
  <c r="K1616" i="1"/>
  <c r="L1616" i="1" s="1"/>
  <c r="K1611" i="1"/>
  <c r="L1611" i="1" s="1"/>
  <c r="K1606" i="1"/>
  <c r="L1606" i="1" s="1"/>
  <c r="K1605" i="1"/>
  <c r="L1605" i="1" s="1"/>
  <c r="K1598" i="1"/>
  <c r="L1598" i="1" s="1"/>
  <c r="K1597" i="1"/>
  <c r="L1597" i="1" s="1"/>
  <c r="K1592" i="1"/>
  <c r="L1592" i="1" s="1"/>
  <c r="K1587" i="1"/>
  <c r="L1587" i="1" s="1"/>
  <c r="K1585" i="1"/>
  <c r="L1585" i="1" s="1"/>
  <c r="K1577" i="1"/>
  <c r="L1577" i="1" s="1"/>
  <c r="K1572" i="1"/>
  <c r="L1572" i="1" s="1"/>
  <c r="K1569" i="1"/>
  <c r="L1569" i="1" s="1"/>
  <c r="K1562" i="1"/>
  <c r="L1562" i="1" s="1"/>
  <c r="K1561" i="1"/>
  <c r="L1561" i="1" s="1"/>
  <c r="K1554" i="1"/>
  <c r="L1554" i="1" s="1"/>
  <c r="K1551" i="1"/>
  <c r="L1551" i="1" s="1"/>
  <c r="K1546" i="1"/>
  <c r="L1546" i="1" s="1"/>
  <c r="K1544" i="1"/>
  <c r="L1544" i="1" s="1"/>
  <c r="K1541" i="1"/>
  <c r="L1541" i="1" s="1"/>
  <c r="K1537" i="1"/>
  <c r="L1537" i="1" s="1"/>
  <c r="K1533" i="1"/>
  <c r="L1533" i="1" s="1"/>
  <c r="K1529" i="1"/>
  <c r="L1529" i="1" s="1"/>
  <c r="K1523" i="1"/>
  <c r="L1523" i="1" s="1"/>
  <c r="K1519" i="1"/>
  <c r="L1519" i="1" s="1"/>
  <c r="K1515" i="1"/>
  <c r="L1515" i="1" s="1"/>
  <c r="K1511" i="1"/>
  <c r="L1511" i="1" s="1"/>
  <c r="K1507" i="1"/>
  <c r="L1507" i="1" s="1"/>
  <c r="K1503" i="1"/>
  <c r="L1503" i="1" s="1"/>
  <c r="K1500" i="1"/>
  <c r="L1500" i="1" s="1"/>
  <c r="K1495" i="1"/>
  <c r="L1495" i="1" s="1"/>
  <c r="K1490" i="1"/>
  <c r="L1490" i="1" s="1"/>
  <c r="K1489" i="1"/>
  <c r="L1489" i="1" s="1"/>
  <c r="K1482" i="1"/>
  <c r="L1482" i="1" s="1"/>
  <c r="K1479" i="1"/>
  <c r="L1479" i="1" s="1"/>
  <c r="K1477" i="1"/>
  <c r="L1477" i="1" s="1"/>
  <c r="K1470" i="1"/>
  <c r="L1470" i="1" s="1"/>
  <c r="K1467" i="1"/>
  <c r="L1467" i="1" s="1"/>
  <c r="K1464" i="1"/>
  <c r="L1464" i="1" s="1"/>
  <c r="K1458" i="1"/>
  <c r="L1458" i="1" s="1"/>
  <c r="K1455" i="1"/>
  <c r="L1455" i="1" s="1"/>
  <c r="K1450" i="1"/>
  <c r="L1450" i="1" s="1"/>
  <c r="K1449" i="1"/>
  <c r="L1449" i="1" s="1"/>
  <c r="K1442" i="1"/>
  <c r="L1442" i="1" s="1"/>
  <c r="K1439" i="1"/>
  <c r="L1439" i="1" s="1"/>
  <c r="K1435" i="1"/>
  <c r="L1435" i="1" s="1"/>
  <c r="K1433" i="1"/>
  <c r="L1433" i="1" s="1"/>
  <c r="K1428" i="1"/>
  <c r="L1428" i="1" s="1"/>
  <c r="K1422" i="1"/>
  <c r="L1422" i="1" s="1"/>
  <c r="K1418" i="1"/>
  <c r="L1418" i="1" s="1"/>
  <c r="K1415" i="1"/>
  <c r="L1415" i="1" s="1"/>
  <c r="K1413" i="1"/>
  <c r="L1413" i="1" s="1"/>
  <c r="K1408" i="1"/>
  <c r="L1408" i="1" s="1"/>
  <c r="K1403" i="1"/>
  <c r="L1403" i="1" s="1"/>
  <c r="K1398" i="1"/>
  <c r="L1398" i="1" s="1"/>
  <c r="K1745" i="1"/>
  <c r="L1745" i="1" s="1"/>
  <c r="K1738" i="1"/>
  <c r="L1738" i="1" s="1"/>
  <c r="K1735" i="1"/>
  <c r="L1735" i="1" s="1"/>
  <c r="K1730" i="1"/>
  <c r="L1730" i="1" s="1"/>
  <c r="K1728" i="1"/>
  <c r="L1728" i="1" s="1"/>
  <c r="K1725" i="1"/>
  <c r="L1725" i="1" s="1"/>
  <c r="K1718" i="1"/>
  <c r="L1718" i="1" s="1"/>
  <c r="K1716" i="1"/>
  <c r="L1716" i="1" s="1"/>
  <c r="K1712" i="1"/>
  <c r="L1712" i="1" s="1"/>
  <c r="K1708" i="1"/>
  <c r="L1708" i="1" s="1"/>
  <c r="K1702" i="1"/>
  <c r="L1702" i="1" s="1"/>
  <c r="K1699" i="1"/>
  <c r="L1699" i="1" s="1"/>
  <c r="K1696" i="1"/>
  <c r="L1696" i="1" s="1"/>
  <c r="K1693" i="1"/>
  <c r="L1693" i="1" s="1"/>
  <c r="K1689" i="1"/>
  <c r="L1689" i="1" s="1"/>
  <c r="K1682" i="1"/>
  <c r="L1682" i="1" s="1"/>
  <c r="K1679" i="1"/>
  <c r="L1679" i="1" s="1"/>
  <c r="K1674" i="1"/>
  <c r="L1674" i="1" s="1"/>
  <c r="K1673" i="1"/>
  <c r="L1673" i="1" s="1"/>
  <c r="K1669" i="1"/>
  <c r="L1669" i="1" s="1"/>
  <c r="K1664" i="1"/>
  <c r="L1664" i="1" s="1"/>
  <c r="K1659" i="1"/>
  <c r="L1659" i="1" s="1"/>
  <c r="K1654" i="1"/>
  <c r="L1654" i="1" s="1"/>
  <c r="K1650" i="1"/>
  <c r="L1650" i="1" s="1"/>
  <c r="K1646" i="1"/>
  <c r="L1646" i="1" s="1"/>
  <c r="K1645" i="1"/>
  <c r="L1645" i="1" s="1"/>
  <c r="K1641" i="1"/>
  <c r="L1641" i="1" s="1"/>
  <c r="K1636" i="1"/>
  <c r="L1636" i="1" s="1"/>
  <c r="K1630" i="1"/>
  <c r="L1630" i="1" s="1"/>
  <c r="K1628" i="1"/>
  <c r="L1628" i="1" s="1"/>
  <c r="K1622" i="1"/>
  <c r="L1622" i="1" s="1"/>
  <c r="K1621" i="1"/>
  <c r="L1621" i="1" s="1"/>
  <c r="K1617" i="1"/>
  <c r="L1617" i="1" s="1"/>
  <c r="K1613" i="1"/>
  <c r="L1613" i="1" s="1"/>
  <c r="K1608" i="1"/>
  <c r="L1608" i="1" s="1"/>
  <c r="K1603" i="1"/>
  <c r="L1603" i="1" s="1"/>
  <c r="K1600" i="1"/>
  <c r="L1600" i="1" s="1"/>
  <c r="K1595" i="1"/>
  <c r="L1595" i="1" s="1"/>
  <c r="K1591" i="1"/>
  <c r="L1591" i="1" s="1"/>
  <c r="K1586" i="1"/>
  <c r="L1586" i="1" s="1"/>
  <c r="K1582" i="1"/>
  <c r="L1582" i="1" s="1"/>
  <c r="K1580" i="1"/>
  <c r="L1580" i="1" s="1"/>
  <c r="K1574" i="1"/>
  <c r="L1574" i="1" s="1"/>
  <c r="K1570" i="1"/>
  <c r="L1570" i="1" s="1"/>
  <c r="K1568" i="1"/>
  <c r="L1568" i="1" s="1"/>
  <c r="K1563" i="1"/>
  <c r="L1563" i="1" s="1"/>
  <c r="K1559" i="1"/>
  <c r="L1559" i="1" s="1"/>
  <c r="K1557" i="1"/>
  <c r="L1557" i="1" s="1"/>
  <c r="K1553" i="1"/>
  <c r="L1553" i="1" s="1"/>
  <c r="K1549" i="1"/>
  <c r="L1549" i="1" s="1"/>
  <c r="K1543" i="1"/>
  <c r="L1543" i="1" s="1"/>
  <c r="K1540" i="1"/>
  <c r="L1540" i="1" s="1"/>
  <c r="K1535" i="1"/>
  <c r="L1535" i="1" s="1"/>
  <c r="K1532" i="1"/>
  <c r="L1532" i="1" s="1"/>
  <c r="K1527" i="1"/>
  <c r="L1527" i="1" s="1"/>
  <c r="K1525" i="1"/>
  <c r="L1525" i="1" s="1"/>
  <c r="K1520" i="1"/>
  <c r="L1520" i="1" s="1"/>
  <c r="K1510" i="1"/>
  <c r="L1510" i="1" s="1"/>
  <c r="K1513" i="1"/>
  <c r="L1513" i="1" s="1"/>
  <c r="K1508" i="1"/>
  <c r="L1508" i="1" s="1"/>
  <c r="K1502" i="1"/>
  <c r="L1502" i="1" s="1"/>
  <c r="K1496" i="1"/>
  <c r="L1496" i="1" s="1"/>
  <c r="K1492" i="1"/>
  <c r="L1492" i="1" s="1"/>
  <c r="K1486" i="1"/>
  <c r="L1486" i="1" s="1"/>
  <c r="K1484" i="1"/>
  <c r="L1484" i="1" s="1"/>
  <c r="K1481" i="1"/>
  <c r="L1481" i="1" s="1"/>
  <c r="K1475" i="1"/>
  <c r="L1475" i="1" s="1"/>
  <c r="K1472" i="1"/>
  <c r="L1472" i="1" s="1"/>
  <c r="K1469" i="1"/>
  <c r="L1469" i="1" s="1"/>
  <c r="K1465" i="1"/>
  <c r="L1465" i="1" s="1"/>
  <c r="K1460" i="1"/>
  <c r="L1460" i="1" s="1"/>
  <c r="K1454" i="1"/>
  <c r="L1454" i="1" s="1"/>
  <c r="K1452" i="1"/>
  <c r="L1452" i="1" s="1"/>
  <c r="K1447" i="1"/>
  <c r="L1447" i="1" s="1"/>
  <c r="K1445" i="1"/>
  <c r="L1445" i="1" s="1"/>
  <c r="K1441" i="1"/>
  <c r="L1441" i="1" s="1"/>
  <c r="K1434" i="1"/>
  <c r="L1434" i="1" s="1"/>
  <c r="K1430" i="1"/>
  <c r="L1430" i="1" s="1"/>
  <c r="K1429" i="1"/>
  <c r="L1429" i="1" s="1"/>
  <c r="K1424" i="1"/>
  <c r="L1424" i="1" s="1"/>
  <c r="K1420" i="1"/>
  <c r="L1420" i="1" s="1"/>
  <c r="K1417" i="1"/>
  <c r="L1417" i="1" s="1"/>
  <c r="K1412" i="1"/>
  <c r="L1412" i="1" s="1"/>
  <c r="K1407" i="1"/>
  <c r="L1407" i="1" s="1"/>
  <c r="K1405" i="1"/>
  <c r="L1405" i="1" s="1"/>
  <c r="K1399" i="1"/>
  <c r="L1399" i="1" s="1"/>
  <c r="K1744" i="1"/>
  <c r="L1744" i="1" s="1"/>
  <c r="K1739" i="1"/>
  <c r="L1739" i="1" s="1"/>
  <c r="K1737" i="1"/>
  <c r="L1737" i="1" s="1"/>
  <c r="K1732" i="1"/>
  <c r="L1732" i="1" s="1"/>
  <c r="K1726" i="1"/>
  <c r="L1726" i="1" s="1"/>
  <c r="K1723" i="1"/>
  <c r="L1723" i="1" s="1"/>
  <c r="K1719" i="1"/>
  <c r="L1719" i="1" s="1"/>
  <c r="K1715" i="1"/>
  <c r="L1715" i="1" s="1"/>
  <c r="K1713" i="1"/>
  <c r="L1713" i="1" s="1"/>
  <c r="K1706" i="1"/>
  <c r="L1706" i="1" s="1"/>
  <c r="K1703" i="1"/>
  <c r="L1703" i="1" s="1"/>
  <c r="K1700" i="1"/>
  <c r="L1700" i="1" s="1"/>
  <c r="K1695" i="1"/>
  <c r="L1695" i="1" s="1"/>
  <c r="K1691" i="1"/>
  <c r="L1691" i="1" s="1"/>
  <c r="K1686" i="1"/>
  <c r="L1686" i="1" s="1"/>
  <c r="K1683" i="1"/>
  <c r="L1683" i="1" s="1"/>
  <c r="K1681" i="1"/>
  <c r="L1681" i="1" s="1"/>
  <c r="K1670" i="1"/>
  <c r="L1670" i="1" s="1"/>
  <c r="K1666" i="1"/>
  <c r="L1666" i="1" s="1"/>
  <c r="K1662" i="1"/>
  <c r="L1662" i="1" s="1"/>
  <c r="K1660" i="1"/>
  <c r="L1660" i="1" s="1"/>
  <c r="K1655" i="1"/>
  <c r="L1655" i="1" s="1"/>
  <c r="K1652" i="1"/>
  <c r="L1652" i="1" s="1"/>
  <c r="K1649" i="1"/>
  <c r="L1649" i="1" s="1"/>
  <c r="K1642" i="1"/>
  <c r="L1642" i="1" s="1"/>
  <c r="K1640" i="1"/>
  <c r="L1640" i="1" s="1"/>
  <c r="K1634" i="1"/>
  <c r="L1634" i="1" s="1"/>
  <c r="K1632" i="1"/>
  <c r="L1632" i="1" s="1"/>
  <c r="K1629" i="1"/>
  <c r="L1629" i="1" s="1"/>
  <c r="K1624" i="1"/>
  <c r="L1624" i="1" s="1"/>
  <c r="K1619" i="1"/>
  <c r="L1619" i="1" s="1"/>
  <c r="K1614" i="1"/>
  <c r="L1614" i="1" s="1"/>
  <c r="K1610" i="1"/>
  <c r="L1610" i="1" s="1"/>
  <c r="K1607" i="1"/>
  <c r="L1607" i="1" s="1"/>
  <c r="K1602" i="1"/>
  <c r="L1602" i="1" s="1"/>
  <c r="K1599" i="1"/>
  <c r="L1599" i="1" s="1"/>
  <c r="K1594" i="1"/>
  <c r="L1594" i="1" s="1"/>
  <c r="K1588" i="1"/>
  <c r="L1588" i="1" s="1"/>
  <c r="K1584" i="1"/>
  <c r="L1584" i="1" s="1"/>
  <c r="K1579" i="1"/>
  <c r="L1579" i="1" s="1"/>
  <c r="K1575" i="1"/>
  <c r="L1575" i="1" s="1"/>
  <c r="K1571" i="1"/>
  <c r="L1571" i="1" s="1"/>
  <c r="K1567" i="1"/>
  <c r="L1567" i="1" s="1"/>
  <c r="K1565" i="1"/>
  <c r="L1565" i="1" s="1"/>
  <c r="K1560" i="1"/>
  <c r="L1560" i="1" s="1"/>
  <c r="K1555" i="1"/>
  <c r="L1555" i="1" s="1"/>
  <c r="K1552" i="1"/>
  <c r="L1552" i="1" s="1"/>
  <c r="K1548" i="1"/>
  <c r="L1548" i="1" s="1"/>
  <c r="K1542" i="1"/>
  <c r="L1542" i="1" s="1"/>
  <c r="K1539" i="1"/>
  <c r="L1539" i="1" s="1"/>
  <c r="K1534" i="1"/>
  <c r="L1534" i="1" s="1"/>
  <c r="K1531" i="1"/>
  <c r="L1531" i="1" s="1"/>
  <c r="K1526" i="1"/>
  <c r="L1526" i="1" s="1"/>
  <c r="K1522" i="1"/>
  <c r="L1522" i="1" s="1"/>
  <c r="K1521" i="1"/>
  <c r="L1521" i="1" s="1"/>
  <c r="K1516" i="1"/>
  <c r="L1516" i="1" s="1"/>
  <c r="K1517" i="1"/>
  <c r="L1517" i="1" s="1"/>
  <c r="K1506" i="1"/>
  <c r="L1506" i="1" s="1"/>
  <c r="K1505" i="1"/>
  <c r="L1505" i="1" s="1"/>
  <c r="K1498" i="1"/>
  <c r="L1498" i="1" s="1"/>
  <c r="K1497" i="1"/>
  <c r="L1497" i="1" s="1"/>
  <c r="K1491" i="1"/>
  <c r="L1491" i="1" s="1"/>
  <c r="K1488" i="1"/>
  <c r="L1488" i="1" s="1"/>
  <c r="K1483" i="1"/>
  <c r="L1483" i="1" s="1"/>
  <c r="K1480" i="1"/>
  <c r="L1480" i="1" s="1"/>
  <c r="K1474" i="1"/>
  <c r="L1474" i="1" s="1"/>
  <c r="K1471" i="1"/>
  <c r="L1471" i="1" s="1"/>
  <c r="K1468" i="1"/>
  <c r="L1468" i="1" s="1"/>
  <c r="K1462" i="1"/>
  <c r="L1462" i="1" s="1"/>
  <c r="K1461" i="1"/>
  <c r="L1461" i="1" s="1"/>
  <c r="K1457" i="1"/>
  <c r="L1457" i="1" s="1"/>
  <c r="K1451" i="1"/>
  <c r="L1451" i="1" s="1"/>
  <c r="K1446" i="1"/>
  <c r="L1446" i="1" s="1"/>
  <c r="K1443" i="1"/>
  <c r="L1443" i="1" s="1"/>
  <c r="K1440" i="1"/>
  <c r="L1440" i="1" s="1"/>
  <c r="K1436" i="1"/>
  <c r="L1436" i="1" s="1"/>
  <c r="K1432" i="1"/>
  <c r="L1432" i="1" s="1"/>
  <c r="K1427" i="1"/>
  <c r="L1427" i="1" s="1"/>
  <c r="K1425" i="1"/>
  <c r="L1425" i="1" s="1"/>
  <c r="K1416" i="1"/>
  <c r="L1416" i="1" s="1"/>
  <c r="K1410" i="1"/>
  <c r="L1410" i="1" s="1"/>
  <c r="K1409" i="1"/>
  <c r="L1409" i="1" s="1"/>
  <c r="K1404" i="1"/>
  <c r="L1404" i="1" s="1"/>
  <c r="K1400" i="1"/>
  <c r="L1400" i="1" s="1"/>
  <c r="E11" i="31"/>
  <c r="E27" i="31"/>
  <c r="E4" i="31"/>
  <c r="E12" i="31"/>
  <c r="E20" i="31"/>
  <c r="E28" i="31"/>
  <c r="E5" i="31"/>
  <c r="E13" i="31"/>
  <c r="E21" i="31"/>
  <c r="E29" i="31"/>
  <c r="E6" i="31"/>
  <c r="E14" i="31"/>
  <c r="E22" i="31"/>
  <c r="E30" i="31"/>
  <c r="E7" i="31"/>
  <c r="E15" i="31"/>
  <c r="E23" i="31"/>
  <c r="E16" i="31"/>
  <c r="E8" i="31"/>
  <c r="E17" i="31"/>
  <c r="E24" i="31"/>
  <c r="E18" i="31"/>
  <c r="E9" i="31"/>
  <c r="E19" i="31"/>
  <c r="E25" i="31"/>
  <c r="E10" i="31"/>
  <c r="E26" i="3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F2CB76-FBD7-47F1-B3B4-3F9C99CBDF25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A4ED37F-4395-424E-AFAB-B5F902CAA45C}" name="WorksheetConnection_Planilha2!$E$3:$F$13" type="102" refreshedVersion="8" minRefreshableVersion="5">
    <extLst>
      <ext xmlns:x15="http://schemas.microsoft.com/office/spreadsheetml/2010/11/main" uri="{DE250136-89BD-433C-8126-D09CA5730AF9}">
        <x15:connection id="Intervalo">
          <x15:rangePr sourceName="_xlcn.WorksheetConnection_Planilha2E3F131"/>
        </x15:connection>
      </ext>
    </extLst>
  </connection>
</connections>
</file>

<file path=xl/sharedStrings.xml><?xml version="1.0" encoding="utf-8"?>
<sst xmlns="http://schemas.openxmlformats.org/spreadsheetml/2006/main" count="12738" uniqueCount="107">
  <si>
    <t>Região</t>
  </si>
  <si>
    <t>Estado</t>
  </si>
  <si>
    <t>Cidade</t>
  </si>
  <si>
    <t>Produto</t>
  </si>
  <si>
    <t>Preço Unitário</t>
  </si>
  <si>
    <t>Quantidade</t>
  </si>
  <si>
    <t>Sudeste</t>
  </si>
  <si>
    <t>São Paulo</t>
  </si>
  <si>
    <t>Monitor 20 pol</t>
  </si>
  <si>
    <t>Monitor 24 pol</t>
  </si>
  <si>
    <t>Monitor 27 pol</t>
  </si>
  <si>
    <t>Teclado</t>
  </si>
  <si>
    <t>Teclado Gamer</t>
  </si>
  <si>
    <t>Notebook 15</t>
  </si>
  <si>
    <t>Notebook 17</t>
  </si>
  <si>
    <t>Notebook 20</t>
  </si>
  <si>
    <t>TV LED HD</t>
  </si>
  <si>
    <t>TV Ultra</t>
  </si>
  <si>
    <t>Desktop Basic</t>
  </si>
  <si>
    <t>Desktop Pro</t>
  </si>
  <si>
    <t>Desktop Ultra</t>
  </si>
  <si>
    <t>Rio de Janeiro</t>
  </si>
  <si>
    <t>Fortaleza</t>
  </si>
  <si>
    <t>Nordeste</t>
  </si>
  <si>
    <t>Sul</t>
  </si>
  <si>
    <t>Centro-oeste</t>
  </si>
  <si>
    <t>Brasilia</t>
  </si>
  <si>
    <t>Norte</t>
  </si>
  <si>
    <t>Salvador</t>
  </si>
  <si>
    <t>Porto Alegre</t>
  </si>
  <si>
    <t>Curitiba</t>
  </si>
  <si>
    <t>Belo Horizonte</t>
  </si>
  <si>
    <t>Recife</t>
  </si>
  <si>
    <t>Receita Bruta</t>
  </si>
  <si>
    <t>Margem Bruta</t>
  </si>
  <si>
    <t>%Margem</t>
  </si>
  <si>
    <t>Soma de Receita Bruta</t>
  </si>
  <si>
    <t>Rótulos de Linha</t>
  </si>
  <si>
    <t>Total Geral</t>
  </si>
  <si>
    <t>2022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</si>
  <si>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</si>
  <si>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</si>
  <si>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</si>
  <si>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</si>
  <si>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</si>
  <si>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</si>
  <si>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</si>
  <si>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</si>
  <si>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</si>
  <si>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</si>
  <si>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</si>
  <si>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</si>
  <si>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2023</t>
  </si>
  <si>
    <t>Amazonas</t>
  </si>
  <si>
    <t>Bahia</t>
  </si>
  <si>
    <t>Distrito Federal</t>
  </si>
  <si>
    <t>Minas Gerais</t>
  </si>
  <si>
    <t>Pernambuco</t>
  </si>
  <si>
    <t>Rio Grande do Sul</t>
  </si>
  <si>
    <t>Manaus</t>
  </si>
  <si>
    <t>Carrefour</t>
  </si>
  <si>
    <t>Magazine Luiza</t>
  </si>
  <si>
    <t>Kalunga</t>
  </si>
  <si>
    <t>E-Commerce</t>
  </si>
  <si>
    <t>Loja Fisica</t>
  </si>
  <si>
    <t>Americanas</t>
  </si>
  <si>
    <t>Fast Shop</t>
  </si>
  <si>
    <t xml:space="preserve">Departamento de Vendas </t>
  </si>
  <si>
    <t>Ceará</t>
  </si>
  <si>
    <t>Paraná</t>
  </si>
  <si>
    <t>Data</t>
  </si>
  <si>
    <t>Santa Catarina</t>
  </si>
  <si>
    <t>Florianopolis</t>
  </si>
  <si>
    <t>Pará</t>
  </si>
  <si>
    <t>Goias</t>
  </si>
  <si>
    <t>Goiania</t>
  </si>
  <si>
    <t>Espirito Santo</t>
  </si>
  <si>
    <t>Vitória</t>
  </si>
  <si>
    <t>Cuiabá</t>
  </si>
  <si>
    <t>Campo Grande</t>
  </si>
  <si>
    <t>Tocantins</t>
  </si>
  <si>
    <t>Palmas</t>
  </si>
  <si>
    <t>Acre</t>
  </si>
  <si>
    <t>Rio Branco</t>
  </si>
  <si>
    <t>Roraima</t>
  </si>
  <si>
    <t>Boa Vista</t>
  </si>
  <si>
    <t>Sergipe</t>
  </si>
  <si>
    <t>Aracajú</t>
  </si>
  <si>
    <t>Piaui</t>
  </si>
  <si>
    <t>Teresina</t>
  </si>
  <si>
    <t>Maranhão</t>
  </si>
  <si>
    <t>São Luis</t>
  </si>
  <si>
    <t>Paraiba</t>
  </si>
  <si>
    <t>João Pessoa</t>
  </si>
  <si>
    <t>Alagoas</t>
  </si>
  <si>
    <t>Maceio</t>
  </si>
  <si>
    <t>Rio Grande Do Norte</t>
  </si>
  <si>
    <t>Natal</t>
  </si>
  <si>
    <t>Belém</t>
  </si>
  <si>
    <t>Rondonia</t>
  </si>
  <si>
    <t>Mato Grosso</t>
  </si>
  <si>
    <t>Mato Grosso do Sul</t>
  </si>
  <si>
    <t>Porto Velho</t>
  </si>
  <si>
    <t>Amapá</t>
  </si>
  <si>
    <t>Macapá</t>
  </si>
  <si>
    <t>Categoria</t>
  </si>
  <si>
    <t>Lojista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</si>
</sst>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&quot;R$&quot;\ #,##0"/>
  </numFmts>
  <fonts count="3" x14ac:knownFonts="1">
    <font>
      <sz val="11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28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ill>
        <patternFill>
          <bgColor theme="3"/>
        </patternFill>
      </fill>
    </dxf>
    <dxf>
      <font>
        <color theme="5"/>
        <name val="Inter Tight"/>
        <scheme val="none"/>
      </font>
      <fill>
        <patternFill>
          <bgColor theme="4"/>
        </patternFill>
      </fill>
      <border diagonalUp="1">
        <left/>
        <right/>
        <top/>
        <bottom style="thin">
          <color theme="5"/>
        </bottom>
        <diagonal style="thin">
          <color theme="5"/>
        </diagonal>
      </border>
    </dxf>
    <dxf>
      <font>
        <color theme="9"/>
        <name val="Inter Tight"/>
        <scheme val="none"/>
      </font>
      <fill>
        <patternFill>
          <bgColor theme="4"/>
        </patternFill>
      </fill>
      <border>
        <left/>
        <right/>
        <top/>
        <bottom/>
      </border>
    </dxf>
  </dxfs>
  <tableStyles count="3" defaultTableStyle="TableStyleMedium2" defaultPivotStyle="PivotStyleLight16">
    <tableStyle name="estilo" pivot="0" table="0" count="4" xr9:uid="{59FA7D94-9B7D-4C67-87D9-28B732F80136}">
      <tableStyleElement type="wholeTable" dxfId="2"/>
      <tableStyleElement type="headerRow" dxfId="1"/>
    </tableStyle>
    <tableStyle name="Estilo de Segmentação de Dados 1" pivot="0" table="0" count="0" xr9:uid="{2A8038A9-BAA2-4F80-8C7A-3DDB14C6FD8E}"/>
    <tableStyle name="Estilo de Segmentação de Dados 2" pivot="0" table="0" count="1" xr9:uid="{92BCAD54-FA15-4DF2-BFDE-80FD5CF50A45}">
      <tableStyleElement type="headerRow" dxfId="0"/>
    </tableStyle>
  </tableStyles>
  <colors>
    <mruColors>
      <color rgb="FF222222"/>
      <color rgb="FFFFFFFF"/>
    </mruColors>
  </colors>
  <extLst>
    <ext xmlns:x14="http://schemas.microsoft.com/office/spreadsheetml/2009/9/main" uri="{46F421CA-312F-682f-3DD2-61675219B42D}">
      <x14:dxfs count="2">
        <dxf>
          <font>
            <color theme="5"/>
          </font>
          <fill>
            <patternFill>
              <bgColor theme="4"/>
            </patternFill>
          </fill>
        </dxf>
        <dxf>
          <font>
            <color theme="4"/>
          </font>
          <fill>
            <patternFill>
              <bgColor theme="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">
          <x14:slicerStyleElements>
            <x14:slicerStyleElement type="selectedItemWithData" dxfId="1"/>
            <x14:slicerStyleElement type="selectedItemWithNoData" dxfId="0"/>
          </x14:slicerStyleElements>
        </x14:slicerStyle>
        <x14:slicerStyle name="Estilo de Segmentação de Dados 1"/>
        <x14:slicerStyle name="Estilo de Segmentação de Dad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[Analises de Videos.xlsx]Planilha1!Tabela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Planilha1!$A$4:$A$9</c:f>
              <c:strCache>
                <c:ptCount val="5"/>
                <c:pt idx="0">
                  <c:v>Americanas</c:v>
                </c:pt>
                <c:pt idx="1">
                  <c:v>Carrefour</c:v>
                </c:pt>
                <c:pt idx="2">
                  <c:v>Fast Shop</c:v>
                </c:pt>
                <c:pt idx="3">
                  <c:v>Kalunga</c:v>
                </c:pt>
                <c:pt idx="4">
                  <c:v>Magazine Luiza</c:v>
                </c:pt>
              </c:strCache>
            </c:strRef>
          </c:cat>
          <c:val>
            <c:numRef>
              <c:f>Planilha1!$B$4:$B$9</c:f>
              <c:numCache>
                <c:formatCode>General</c:formatCode>
                <c:ptCount val="5"/>
                <c:pt idx="0">
                  <c:v>22028732</c:v>
                </c:pt>
                <c:pt idx="1">
                  <c:v>12942258</c:v>
                </c:pt>
                <c:pt idx="2">
                  <c:v>6199402</c:v>
                </c:pt>
                <c:pt idx="3">
                  <c:v>6504532</c:v>
                </c:pt>
                <c:pt idx="4">
                  <c:v>3980698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0-4D62-B74A-3D5789A75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6875616"/>
        <c:axId val="946873952"/>
      </c:barChart>
      <c:catAx>
        <c:axId val="946875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73952"/>
        <c:crosses val="autoZero"/>
        <c:auto val="1"/>
        <c:lblAlgn val="ctr"/>
        <c:lblOffset val="100"/>
        <c:noMultiLvlLbl val="0"/>
      </c:catAx>
      <c:valAx>
        <c:axId val="94687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7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[Analises de Videos.xlsx]Planilha2!Tabela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80-44D4-8479-2D04B3786E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80-44D4-8479-2D04B3786E90}"/>
              </c:ext>
            </c:extLst>
          </c:dPt>
          <c:cat>
            <c:strRef>
              <c:f>Planilha2!$A$4:$A$6</c:f>
              <c:strCache>
                <c:ptCount val="2"/>
                <c:pt idx="0">
                  <c:v>E-Commerce</c:v>
                </c:pt>
                <c:pt idx="1">
                  <c:v>Loja Fisica</c:v>
                </c:pt>
              </c:strCache>
            </c:strRef>
          </c:cat>
          <c:val>
            <c:numRef>
              <c:f>Planilha2!$B$4:$B$6</c:f>
              <c:numCache>
                <c:formatCode>General</c:formatCode>
                <c:ptCount val="2"/>
                <c:pt idx="0">
                  <c:v>35668772</c:v>
                </c:pt>
                <c:pt idx="1">
                  <c:v>15986850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6-48CC-BA9D-7A2D17E44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[Analises de Videos.xlsx]Planilha3!Tabela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Planilha3!$A$4:$A$26</c:f>
              <c:multiLvlStrCache>
                <c:ptCount val="20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</c:lvl>
              </c:multiLvlStrCache>
            </c:multiLvlStrRef>
          </c:cat>
          <c:val>
            <c:numRef>
              <c:f>Planilha3!$B$4:$B$26</c:f>
              <c:numCache>
                <c:formatCode>General</c:formatCode>
                <c:ptCount val="20"/>
                <c:pt idx="0">
                  <c:v>1996256</c:v>
                </c:pt>
                <c:pt idx="1">
                  <c:v>2303344</c:v>
                </c:pt>
                <c:pt idx="2">
                  <c:v>2488168</c:v>
                </c:pt>
                <c:pt idx="3">
                  <c:v>1978018</c:v>
                </c:pt>
                <c:pt idx="4">
                  <c:v>2749540</c:v>
                </c:pt>
                <c:pt idx="5">
                  <c:v>1925228</c:v>
                </c:pt>
                <c:pt idx="6">
                  <c:v>2671054</c:v>
                </c:pt>
                <c:pt idx="7">
                  <c:v>2074398</c:v>
                </c:pt>
                <c:pt idx="8">
                  <c:v>2139862</c:v>
                </c:pt>
                <c:pt idx="9">
                  <c:v>2561866</c:v>
                </c:pt>
                <c:pt idx="10">
                  <c:v>2324576</c:v>
                </c:pt>
                <c:pt idx="11">
                  <c:v>2298652</c:v>
                </c:pt>
                <c:pt idx="12">
                  <c:v>3235154</c:v>
                </c:pt>
                <c:pt idx="13">
                  <c:v>2340144</c:v>
                </c:pt>
                <c:pt idx="14">
                  <c:v>3037194</c:v>
                </c:pt>
                <c:pt idx="15">
                  <c:v>2840356</c:v>
                </c:pt>
                <c:pt idx="16">
                  <c:v>2236238</c:v>
                </c:pt>
                <c:pt idx="17">
                  <c:v>3103942</c:v>
                </c:pt>
                <c:pt idx="18">
                  <c:v>2840566</c:v>
                </c:pt>
                <c:pt idx="19">
                  <c:v>4511066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F1-4A25-A639-626F4EF58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204208"/>
        <c:axId val="763986864"/>
      </c:lineChart>
      <c:catAx>
        <c:axId val="94520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986864"/>
        <c:crosses val="autoZero"/>
        <c:auto val="1"/>
        <c:lblAlgn val="ctr"/>
        <c:lblOffset val="100"/>
        <c:noMultiLvlLbl val="0"/>
      </c:catAx>
      <c:valAx>
        <c:axId val="76398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0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[Analises de Videos.xlsx]Planilha1!Tabela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742590769903762"/>
          <c:y val="8.4876543209876545E-2"/>
          <c:w val="0.73243520341207347"/>
          <c:h val="0.772074217007459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Planilha1!$A$4:$A$9</c:f>
              <c:strCache>
                <c:ptCount val="5"/>
                <c:pt idx="0">
                  <c:v>Americanas</c:v>
                </c:pt>
                <c:pt idx="1">
                  <c:v>Carrefour</c:v>
                </c:pt>
                <c:pt idx="2">
                  <c:v>Fast Shop</c:v>
                </c:pt>
                <c:pt idx="3">
                  <c:v>Kalunga</c:v>
                </c:pt>
                <c:pt idx="4">
                  <c:v>Magazine Luiza</c:v>
                </c:pt>
              </c:strCache>
            </c:strRef>
          </c:cat>
          <c:val>
            <c:numRef>
              <c:f>Planilha1!$B$4:$B$9</c:f>
              <c:numCache>
                <c:formatCode>General</c:formatCode>
                <c:ptCount val="5"/>
                <c:pt idx="0">
                  <c:v>22028732</c:v>
                </c:pt>
                <c:pt idx="1">
                  <c:v>12942258</c:v>
                </c:pt>
                <c:pt idx="2">
                  <c:v>6199402</c:v>
                </c:pt>
                <c:pt idx="3">
                  <c:v>6504532</c:v>
                </c:pt>
                <c:pt idx="4">
                  <c:v>3980698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3-4490-B124-3F97D9AB1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6875616"/>
        <c:axId val="946873952"/>
      </c:barChart>
      <c:catAx>
        <c:axId val="946875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73952"/>
        <c:crosses val="autoZero"/>
        <c:auto val="1"/>
        <c:lblAlgn val="ctr"/>
        <c:lblOffset val="100"/>
        <c:noMultiLvlLbl val="0"/>
      </c:catAx>
      <c:valAx>
        <c:axId val="94687395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\ &quot;mi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756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solidFill>
          <a:schemeClr val="accent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[Analises de Videos.xlsx]Planilha3!Tabela dinâmica3</c:name>
    <c:fmtId val="5"/>
  </c:pivotSource>
  <c:chart>
    <c:autoTitleDeleted val="1"/>
    <c:pivotFmts>
      <c:pivotFmt>
        <c:idx val="0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41275" cap="sq" cmpd="sng" algn="ctr">
            <a:solidFill>
              <a:schemeClr val="accent2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454623593473116"/>
          <c:y val="4.331612236994966E-2"/>
          <c:w val="0.79019190706542852"/>
          <c:h val="0.5862070289994239"/>
        </c:manualLayout>
      </c:layout>
      <c:lineChart>
        <c:grouping val="standar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ln w="41275" cap="sq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Planilha3!$A$4:$A$26</c:f>
              <c:multiLvlStrCache>
                <c:ptCount val="20"/>
                <c:lvl>
                  <c:pt idx="0">
                    <c:v>jan</c:v>
                  </c:pt>
                  <c:pt idx="1">
                    <c:v>fev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mai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set</c:v>
                  </c:pt>
                  <c:pt idx="9">
                    <c:v>out</c:v>
                  </c:pt>
                  <c:pt idx="10">
                    <c:v>nov</c:v>
                  </c:pt>
                  <c:pt idx="11">
                    <c:v>dez</c:v>
                  </c:pt>
                  <c:pt idx="12">
                    <c:v>jan</c:v>
                  </c:pt>
                  <c:pt idx="13">
                    <c:v>fev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mai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</c:lvl>
              </c:multiLvlStrCache>
            </c:multiLvlStrRef>
          </c:cat>
          <c:val>
            <c:numRef>
              <c:f>Planilha3!$B$4:$B$26</c:f>
              <c:numCache>
                <c:formatCode>General</c:formatCode>
                <c:ptCount val="20"/>
                <c:pt idx="0">
                  <c:v>1996256</c:v>
                </c:pt>
                <c:pt idx="1">
                  <c:v>2303344</c:v>
                </c:pt>
                <c:pt idx="2">
                  <c:v>2488168</c:v>
                </c:pt>
                <c:pt idx="3">
                  <c:v>1978018</c:v>
                </c:pt>
                <c:pt idx="4">
                  <c:v>2749540</c:v>
                </c:pt>
                <c:pt idx="5">
                  <c:v>1925228</c:v>
                </c:pt>
                <c:pt idx="6">
                  <c:v>2671054</c:v>
                </c:pt>
                <c:pt idx="7">
                  <c:v>2074398</c:v>
                </c:pt>
                <c:pt idx="8">
                  <c:v>2139862</c:v>
                </c:pt>
                <c:pt idx="9">
                  <c:v>2561866</c:v>
                </c:pt>
                <c:pt idx="10">
                  <c:v>2324576</c:v>
                </c:pt>
                <c:pt idx="11">
                  <c:v>2298652</c:v>
                </c:pt>
                <c:pt idx="12">
                  <c:v>3235154</c:v>
                </c:pt>
                <c:pt idx="13">
                  <c:v>2340144</c:v>
                </c:pt>
                <c:pt idx="14">
                  <c:v>3037194</c:v>
                </c:pt>
                <c:pt idx="15">
                  <c:v>2840356</c:v>
                </c:pt>
                <c:pt idx="16">
                  <c:v>2236238</c:v>
                </c:pt>
                <c:pt idx="17">
                  <c:v>3103942</c:v>
                </c:pt>
                <c:pt idx="18">
                  <c:v>2840566</c:v>
                </c:pt>
                <c:pt idx="19">
                  <c:v>4511066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F-4ECC-9114-913698F4A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45204208"/>
        <c:axId val="763986864"/>
      </c:lineChart>
      <c:catAx>
        <c:axId val="94520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986864"/>
        <c:crosses val="autoZero"/>
        <c:auto val="1"/>
        <c:lblAlgn val="ctr"/>
        <c:lblOffset val="100"/>
        <c:noMultiLvlLbl val="0"/>
      </c:catAx>
      <c:valAx>
        <c:axId val="763986864"/>
        <c:scaling>
          <c:orientation val="minMax"/>
        </c:scaling>
        <c:delete val="0"/>
        <c:axPos val="l"/>
        <c:numFmt formatCode="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20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[Analises de Videos.xlsx]Planilha2!Tabela dinâmica2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A7A-4F8F-BE64-7448C9F2E0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A7A-4F8F-BE64-7448C9F2E06F}"/>
              </c:ext>
            </c:extLst>
          </c:dPt>
          <c:cat>
            <c:strRef>
              <c:f>Planilha2!$A$4:$A$6</c:f>
              <c:strCache>
                <c:ptCount val="2"/>
                <c:pt idx="0">
                  <c:v>E-Commerce</c:v>
                </c:pt>
                <c:pt idx="1">
                  <c:v>Loja Fisica</c:v>
                </c:pt>
              </c:strCache>
            </c:strRef>
          </c:cat>
          <c:val>
            <c:numRef>
              <c:f>Planilha2!$B$4:$B$6</c:f>
              <c:numCache>
                <c:formatCode>General</c:formatCode>
                <c:ptCount val="2"/>
                <c:pt idx="0">
                  <c:v>35668772</c:v>
                </c:pt>
                <c:pt idx="1">
                  <c:v>15986850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7A-4F8F-BE64-7448C9F2E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924989639452965"/>
          <c:y val="0.29250573501146998"/>
          <c:w val="0.34979037465449564"/>
          <c:h val="0.340366730733461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E5E3AC12-8FD0-4421-9568-67DDF7E5256C}">
          <cx:dataId val="0"/>
          <cx:layoutPr>
            <cx:geography cultureLanguage="pt-BR" cultureRegion="BR" attribution="Da plataforma Bing">
              <cx:geoCache provider="{E9337A44-BEBE-4D9F-B70C-5C5E7DAFC167}">
                <cx:binary>1H3Zchy3tuWvKPTcSQPIBBI4cXwjjKysIilSpKhZLxk0Rec8z/k3N/r5vPUf+Md6JSnJrGSJJd5g
RzTLdjisGjawN/a09kL631fDv66S68vqxZAmWf2vq+H3l0HTFP/67bf6KrhOL+uDNLyq8jr/qzm4
ytPf8r/+Cq+uf/taXfZh5v/GCLV+uwouq+Z6ePlf/8av+df5SX512YR59qa9rsaL67pNmvqB93a+
9eLyaxpmq7BuqvCqob+/dLDIv//75YvrrAmb8d1YXP/+cuszL1/8tvyle1JfJFhY037Fdw3zwJam
SZXi5PZFX75I8sz/8b484FIqQjn7LvX1ZYpv7l/JzTouv36trusaG7n59z/f21o1/th9+eIqb7Nm
1pUPtf3+UleXdZi8fBHWuXP7jpPPa9YXN5v8bVvN//XvxR9g24s/uWOJpY72vXXPEH9cVdffFfIE
ZlAHypZcEsv+ZgZ72wzCPpCUSlMw6/YD/LvwW2vsW85uW9x+a2GJP5znZQm3LsIqbPIXby+zJv+u
liewCSMHJhG2TWb3mF9y2ybWzfuMSWF9l3prDKzo7//82pJ22+XeDyxM5L59Xia6DWAw0fr663V1
CZ9+svhF+YGtGKXEghHuBi4LHqNsmxP5LbIhsN1KvTXSY9a020r3f2FhptX6eZnpj+TSzy/r73p6
AhdSB0IwYipbfAtrCxcyYT2TU0Ek++Fid430CyvabZsfX1yY5I+TZ2aS9HLKsye1iXlAGZvVTb/Z
BIn9ruMIcoByRjBqm7cfWCT+P35hST8xyo9vLq1y+uysUjxlFQaNm8Iity7wwxHuGoXTA2LBSQjb
Hc1glD0r+qlJbr63NMj58zLIRZi/2FSX2dfrF6v8xeschfgTRjF+IAlXKPK/1QFqUZwhijFKuEVQ
K9y8Fqnmzuq+/sLqdltq548szHbx+nmZTV8G4eUTGooylNFwEmSc7ZhmooshlCER2d+c7LvU22Jg
70J22+Tb1xZW0H88Lytsn6y37VOWZ+Yc2hRny9oZ8YxRoUy8uTPJPGpNu42z4ycWhrp4ZmX0Jg+f
tBKg4kAoYtqEfyvPFpWApQ4Yl6YkAABuXqje7lZnWM/f//1gubjbMt+/tzDH5ux5+c3pJTJO8Pf/
ftKe84BTy4Kyb72CEKSSu3WAZaEnRVMq2fwhvJCK7prkl9a02yp3vrowzOkzC2inl2g1N4Dr6qc0
DTpNQS1FlRDbNuHigCiTmT/Kg4Wb/OJyfmaVO3tZ2uXdc3OYH3t5gULoaTMN0BoLvqPIN4Bs6Tnc
gvkEbIR4tqtIu2OlX1jcXmP9+I2lzZ5ZzjkN0X2+2AC1CR+M9I+EnSkATwrgDJ3mD2tsxTnzQJlc
4DPfmlBzEed+cVk/sdPWt5cW2jwvrzp/4okAPbBMZaIiYN9y0DIFyQMLgI6U7FtVgFr7bgrau57d
Nvn2tYUxzp9Z6pmLTjShx5fZdVg9ZfZhaG1Qh6Eg+IaULTocC7COEraJNvX2tXCYX1/YbvMsv7+w
08Xxs3Oay/DPy+8n9wmgTvuAmoBo1PeAtcw/pnUgYR+i+DeQYGEgnP/Lv//z8JJ2m+afby6Mcq6f
l1Eu8uxrnj0pIiAPbEHnOPWT8aZAniH4hFTfWiAEu7vBbF7S3/9nz5p2m+XOVxd2uXhmjc58wLKn
xDsNxpFkMOxEtXbTxahlNEPnKVHOUZQAt69ts/zCinYb5ccXFyY5v3hernJ+XWWX6Z/t1VPmGHmA
YRlQGZjl9rXI/AhhCpMBEx+6Ncqi+fy1Rf3EMHc2tLTNM6MGnIeXbfj9vD5BZuEHAJep/Y9ZljAN
Az5NlSX5P850N4bN6/n7Pw8t6Ccm+fa9pTmOnperXOToXdInTPVQN7Nm/OU7lrwYamKAJrhtYSj9
bcJ2L6fsXdBug/zYycIiF88seM1EjcsXzmVzWaERe+hgPrKrZPYBB00DXSX+dfPaRmosjAEsKhnh
u7vKX1/YbgMtv7+w01vneXnOW2CbL84v2+QpkwwzD7hpKqHmZmZ+LZKMBVCaSSnk93HoAk37tUX9
xD53NrS0zTObeL69rvyweMopJyXI7phzKnthEdM+wB/Pnc3SFPvX8BM7fP/i0gjPLNO/A8UTRMys
fsIYBjMwSdDI3xlVbiFjEhMAbt6QMr/7z91s/0tr2m2WO19dGObd/+cdy0+Yo7d6uS3Btj7yWJYs
jGLevMii9uLmwS3g8p3hhPfvWuM7h/XnK9ltiu/f21r1/2tK7M/psj8oxCskbfeGe3yHMfvwuzcb
BB968dVvatppnFttHX39/aUJff4gNM+/8IB2v3/++rJuwGxm6CHnJKNQPHNqChs/1V/fvGWj6wdO
wyyOYCdsJKOXLzKQRoLfX4LKAb4nvE9ShTaHWIBp6ryd3zJMkKXRk+KXlG0Kk0n6g+x9niejn2c/
NPHtv19kbXqeh1lT//4SU6Pi9lPzQrmgMzuRwZdtDhwcARbvX11egE+OD9P/VTWyCe1yCnQrg/Kj
HGi1msqBH7eqtFw51RGC5Q/V7JDHt+ShawN5yMZfzKZEACaEOu7KaxnLsygbA90PUcC0YrXI9Whz
5fhdHK8eFjYv/p/NCUsQjMlsExuUlrQxc9kWlhlmRvtUdXoqsvC09Xz7gxqa4FTEzXheWUa0SeLa
OpdWpVA0PWKbN5JtoKQWESZ6IrnYZpUYDfOnKdFh3Ymvfev7R4omYaxTX7V7ZFFkxuU27XnyN5+U
WRrO0V2dFtVYycoPBj2WKsNu2z6k5ipMukCeFvkQhK9FN733VRJoS9QfVNxEiba9rrdWcWJkEq3W
Q3sH5XV7OZRhvoXiV+BgUWqiP99ejoht1RqdpoagR1E7yBMV5jbGiI+UYqIDklRSYmPj80G7c3B5
3Bqxnwe9tozCW42NXZ92ONUXD0uhs6G2jtA8GoKXASdCUQJu1baYejRr2qZJr8uxb0+k8O1Gy9yr
V+Uk+AXz8kyXiexcsyblWg45dW3ZZq/DrJDOJMN8j24X7mMJCr/h8B5pKSzMnHV/Z9d+7/XDFHqd
7vy01Embdk7XWcIt5dDv8dTtyADngSiALByRCWHCNhGC7oqKRSp5KUigQ9vwVnWVK23Ssjhs8Npk
bVS8eljVO7Y2t7KSwtnBclPzKb+7NV7zOI39XrNunL4oz7OPImXUK+J1+7RI57VvWZWzmW+ihIkO
YB4ibcuSRttUWYMj2k+8XjNVjW4/BWITWMRfpypIXdH53nmZD7WOZCtWRourKjrrW++wzavMUaLO
wLt+6EBTslgUdI1ZpBTgiHGbIXZtLyqULZlUCYUbJnuTD+PnKm/oqrCDk9yY3KhubJ1OntvR8LAJ
GMisD0lfhkoIVzaXFnA3IrhlL61dsiZIESv0JEy69rz43RCkV0YaHNVeVq2aGCFySiT6l4ek3gtd
N2KlwqjPwsHG5ZPtPZeVypOqsxJNVaSOgrYhhTM0MnF5UXBNp7I47TMm3EIQ/8hixHAaRsIjSYbu
8OGlLKIWztw8OTEtbpmmBF98of1yMvp4YCrWXZYWZyUx+zdtPCpTPyxmaeUbOQoUAPwDugZdWnny
4ygZR1k7ZOyKVWPJ7rjiJNnIwmrXbd4Hl2NXc11PXYNoDUUME3nz8Brmrdw5/ViC4vMoQtjEEgif
80G842mFInkbJW3nZIJLp8t7Y5XGRuCODUtejbSqVkGakjeGb9YXbR0ae8TPIfMh8Qvni32qxqJs
IL6MjEZ3kSlt3Ym8+lyDhf6ViyYTR72h0nGP7hcRZt63IBZDB2laIGgsy4EiqqQaE691rCYMnchk
1WFqd/ZrIazq8aJsKlEB2IARUFwtKo9yIDVq9S7VTR5Vx6QQaap5VuWT7i2v2FMALCL1vC8bcQyV
3FwTwgu27dmMZRSG3Y0wP4+1WWGurpuCkWIVpSK9SIVlBntk7jAipKF6VdwSKBsXjksSK+e5R1Mt
41qdVlV4HEV9dhV2dnxapqP1JVa88vdodRkubnaK0AiJnMFZ+SL9laEF35VFqvsqFbpqy0SjIPKP
G9Nf1Vm0Tg0j1LnteEU2rKU1jIeU+GJPpNil7ruLWGw98ukUI132Du9VdxYSmrhp65dOaNqBQ6yq
flzO56ilkBNQSTKOfGzZi0378ZBOSd6kOizK4bDP6bRqxVTpWIpwTxag9/YGWWIeQ3LKuI1ouH2U
aNLLOB9JqpWqjEJTj1TuGBQqQG1pkFOfTzYykeLnwUB6rkUZNpEbK4+5gTFGX+drOMaxbTfWB1yq
LF9VIzPP0GCE+2ree668WOe8jzshzDP7XpiGleqkCJnT4pRfRxZVh0HhVbh881CO2qESG/MmDq2g
rGdqEa6akIRlyaNMI6YbH9O4SN6Fist600RV88Xq0NutH5Z4LxWZKL3QMlroWMCCmfvCu5trmRlX
JkFlCasHZ+gurYsqqtj7h6XsUKHNEKMsPndJaEO3pZRpHeD+TZFpP2f+2gz7wi0bK1iJJIn2bOhe
sMCG7opaWKvpaVRRI8t0PFVvm8EQOohJ6pRV5rllX13xsvXePry7RT0zO82WyEXdXlgpTBaXgyOr
QVxPeRKvmsk2T6w0D03dR9N4ZAyEOp1XJntC4730Oou+IS+hrhGo1bcVG3hcJoNhD06YcGmELmWD
4TmCZyr/mojChBsVhpetRp53w+E4DkawSoMiL/dEy13HiMGEgAgkEoNY5KA4wzVePxwGp2x8I9Zh
2LO31DKqzaM1LRm49WhBGbXulXCJakTpsTrTKGlbHfSdr62oOzZt7ySwCVvlefqxiZEpHi8WtH0L
zaZtoZpZnCkcgLxN7TjXjahsxy5ZtobPGK4pk+tEEu/Cz0vDzQMEyscLtjBUQ16fx6Fs0aeUMkyM
pIfftB5VrVZ8EOGqtJou10lZD1+GoOVC99IrPva2SbM94nf4krTAzgauAF4iRuXbp6vMx5Tmwhqc
qsqTddAYp/n0OszhTn3VWwhKybgn3+04zxJVE0N5Lm2KJmVbYhTzWMVxmWmAO43Lw8RyauFVG7NN
eyerW+LWQxodkkpIJ+FGcvFYfeNyMwpz02LCtlCdb4vvClF7YRBm2mu8UeiYJORwGvtkHQ6MbkhI
mKYNi1eGzSMAyA+Ffno/RkI2yqq51+a4+r5wZVGFOeJ9kOmonVi5an1RWKuga8d+FSV8QsMy1MeN
T+rR6Qvf+zgUyXTaBW0+reJMtReoMYdIl9Y4Hrdtmr7xPBS+e8LNrjWClGdTrBOAwDLcVF0saFQj
uGYqaI/iqm9dT/Xem7RN/T3lwf2IgopPwQ7EBF4ICuC2KUSQUxpyA+WX3YpXDHnjomg6Y895u3/C
ARvNXi0pLhtiyL0tpVaU58U0BxQ7tR0ZDNY6yjyAWtpsM5m/b1p/KBzUuLm9Z3/zSd7qTIDzQLDi
mM9ydMGL/WVssrLWxP7iZGSWptz0X3tlEL415TS4shFCT1Tnnj/uiaE3RnpAMl+U8Jkq8jDKIJl1
4eEkSssRXXQSm+xdYAadtpMucjoVER2Q4LDu8q+ebD+xtDhNMuCniaR/FnWFZ4awD4WaMhzRyEDA
HxtHtYS7Zu7ZmqVqdIA/1LqbKF2NhmDOOHZnaWDsqZiWoBli75Ye+SJERkPa1G3RIt8bHXFSZlan
3Ara8yQqp1WdGp+ARfuuqkeqs4kYq5bWYjXKiK2zUvafH3biXccJT0dA7JAKaZksfFiSKJNdAR8e
zHao3CQJAMO2fjGWOrLwnqYiT5Xu6rHYlxp3uKbJAT8TogBV2vNI824hp+ykhJNUufb7YqKG05tN
3H3KAuQztmolqdI9e92peS4QrtEmgOEpF8GSBv0QT5KNzjBRueFBEDl9MIRHWZlSJ69aulGGCF75
jWGsyBSTswiY3ruuE9ZpF3HhPqz6XfFCYCUchQFnaBS3918GWEuVDbnmKuGZWwSkHY48q+7Fnn3v
FIRHyAA6JPMjTBY2TqbCJlmd57oKW9Kc55GZ1E5HR0L2OOpNxF86KuBmQSCKS2YvtmRbBN1MEE5O
YNu1qe1RhJ4WvhExbVpo1Rya0qp2gBeiE+2DSiROH8Vj5AQsHifNPTaGaBJTM36V5Ez6m8Bo408k
aIvxxLBLI3K8UuxDsXfENbBRJI4iHiICaGtxDv3JbDpuZ4VW6DrM1VgkQ7rxU6+xzsomlIWL7D/l
59wuR+Vr0/M531O17PAE1ExA2KSgqBPZ/P6dfi2J+mHoSFkA1yKRZnWbfaxVLE8CZbWPw5Hn4AOA
fKZ1oEgDzWYhqvPMpAmTebNVIa9oMbRaWE3+vmjGfcOsOR9sHQaUgBZmeigPdpW+uWUbWVoljfYi
M16NWdoehdakIs17KZzMYtNhT8b6zDMn77TIjG79sH8ttCowCgBiazMMKJD+caVoW6spzaaqJ/7n
oMyibo1ySF7gbhJPj+tCdHuC+nyw7+xVoPADZAneEuogUDOXAPGEFnuwcYZ1YYi0PC8VH+mmx8my
TkfDj/wrGqah2FPbLGL3rVCJsSlimk1A+9zeIMA1bvteMmoZBok73+L9lE9Bu5E8wGiNe/XhwDqx
z8fnAmO5VbCzLEwi5nmaWqiVV1agVJyN2jbiVcaCa97Gx15dvS9DehxG7WlYRh87gDGa2J0b0yAD
oliVe5Zxz7hQOLIHdG7aQMhvZhh3XMaLJ4/lXolVtKN0DFZy1xoLw8WDaKY952gRPqFmAD72fIgI
CgCUQNtqLkISi3aKRj0AdT5TRZO+moa2f/SGBOIlHoWD1gWdxHIuCCARiIk19BrJyNJWPlTvitCW
OpPm8Lh8MG8IoiTigIlhM4bl2xuKpnAaENdGndkpZa6liqlwLd8f1Z6K8Z6RBIY1OCXIOwIXK5aa
wxWlZhi4Fzqs8K3atUWfeY4dlV2ovWwMu6OHHX6Z33F3cAauLbgDHoWGC7iLjU1JlhR5y4Feo5wA
8QDZovR01vTv8xLFaTZdTGMUaDsa3wSCr+OAlFqI4a+HlzFLuesgABSwBuyagDkPuHB22ztH0y7y
jIVDjT5A1vSzHyX0ENqRb1neBX96pEv2ZI/l+cTDFMD1tkF3mLtQPKRkW16bx02HVQBN70e+zirP
O1K51316eFdLW87PNcETnJA9UK8JIOrbUuywKztf8FRPeYtiqR3idVsOseMNbfK4FgcpeBaFE2qD
AYL7ossIw0IjrloFBVoTDR3L8MLPQTrGFPyArpBa1bkInAnxrt6jyuX86Ua0BbfAtM8WoA/fqxDz
tBjbFPCFVNXnjnTWihkdXXUExbFXZVQPGa2PDA8wuj0O76M47HHt6jFt9e0aUKwBxwDQiRnUtqbZ
iGKN+h62bxjde0KS4lCgNN7YNJWbiVe9o1jkr1g1NEcZ761YD2L0MS9KhOP1lsDMqvMwaMew1uwb
5T68vB2nDZwcylAvCZR6S+MU8L6uTeNMo9TEcxW7SLwulGnvSW27Tptlg4Q6awBw+8KTw1KVgnY+
UBXVmU6fUvOoR7vgVk3nrR/e0L2oMR83BAvQe8DxsRhbyGJ+PcRpYKYapAHKtVVb+RqaRySmNdNW
aU9ubVeGTlOjzg5HYyLZpyECIMmtvFl3XZ3uAy12Lgl4EqFEEhMOt0g5zWTasT8KNLwqms7ayio/
jElmr7s0M1dN2pFXoRWMa1Lx6ONkj/npRE4HhnEPJhKPzEuzdqAbcEgQwIG4L5ZiVzhnwDUybRAS
8xUSrTVpbwyrZiXHOp/+B4a/K26uPu4Ez1bK2PRGGL5PTJ/oMPeDo6QZVA8ygpmsHjb9HIm3IjUY
QeCL4JmOULbA2HNbWFYAq5YGvJ0ByPoQ2oO3wnS10jRto3dmKNpUp2Mp3z8sdVeQQcNxC+LMT/ha
htKSqZZCd9rnXRK7dpeQUBeA5C+LwAZnp08jkjg8A26npWUnlxhwBe/qpBb7DtoOBVh4oKVigA7x
bKQlgpeWhTIslaEFlX0mdNq0w5+TqmnkRLlR/Jl6RfC26WMk0YdVcN+9qYnhPtIII1LdG9o1fobh
emHBvaPeXBUZDVyeB8Um61m2pyiYlbltY4hiQP7gTBZTy5ldXBiqTWvYuOiabFUEmNvNBV2om3Cq
XleYpB/j6As3mCxzE6bkkWP1uZ9EdTpPxmYnEkvMQRTeBLDKnJweFKqNAe7A5zAzAA37+VjsUeui
k51loeLgQN8RN0COXGSveOqbqi8Qm+3Rzv5ijVU4mYqDD1GeZ05CeeaElFSHPIv4Hk+6nxUoiDkI
VRzTQG4usYzY5IHoJKJEFBUBXyeVF/lraoKy8PgtYtoLOiYHZoLQtCiuWjzSsx8I4oNhe6iOVQRW
ipNOjH2h3jh8YYHK/golLd+UjMOVHj62990Fu1Qom0HcA8ls6biejMahSQEmW6Skn5qgsD/0NC0a
txkru9BDIo3KqVIPs9+HBe84xBA8U/8JSlxsfTtQNV1nVwGMqMEnNN00iuN1jHrsMB5jzBfKPt0Y
RlDozhSZS9J2wjPIHipJdpyr+VChIpkhdBzobfGdH7GwHjHkDaUVfEgKfzicIjs57Ixmcmqjj94V
YoiO0n7MLx4vGY/Tw5gB0BVDE78tORVm7DMBeNIsuVhPeZQ2Opc8AQ2tKRInJ37k+m2YrmtSvntY
9C5jY7QChO7mb7oQnfdZQssRopsiHk5Yk4/ugFHtm9jMR8c0FHEaORD3YaG7NM3hRqaNhlPe03Rf
lFUoCozPIq9u3a6S4abvbAXIpI5fZaXP1yUJ+cXAu2JfVpoT+SJQcjSGCu0htn0PhAqSpjFjPHpb
9yMxnThvvC9ZFwQXUa8jEXdu7UXexzpKfF2lSjFdEEx76ODvKQBuUIvlOsBgwcAU4w0CLti2yfs8
isqQyVQbQd/oyTToIfOaPyUPQcP2qHRpMnypQvbKs/pNUVug8cRRdZiYQ+gEXCGTGup/EN1mRjll
eNrJ/XKsklkvIo4OCzVQFzhgEAnu2hEow3uS1f0wyubn42DrKH0xS1qUopk55YY04Whm4aWXAain
YsWTOKr3bOj+MYMcsIJBbADVzlzquAo7vHvj0FPOTqo8Pvc95p3jVPQ6LSLvi0oKfiaLMj98+HzP
G9g27g38aM7oDTURT7aNWxtTTvsiYA71omFdjHm4qnmTOnKIh1Vnt8keXG5RaOCGAChY81UcBE7o
1V4EznGKAh6YY6VFaJuvW8OwVtZILDfyh2ZPH7GIF0tRS1ysYFGP0VFaY2KStiece+JL4uWWY3g1
3aTSrnUcRs0eQ4LPfcO9vKPThWBUcds6VVXVFAGKNLdo7LOwtlnZAmSJLAxv8qEFa2oNLlqHclMO
vk16x6jzDs111Rojmpyu8sEWd/qE5XJjt5HZ6bjybAyUM7vMO63iXqafxtavYzT7QP4tG1hRHoTp
qpuQfxqUb7VRNU6fV2Q4ZyCb8fck4TSJnWwcOoEk3RSgRjnS8+tcrUBBgFWcdjLzInB43WIm4CAU
5oXpdFWWlfP0zcrMYNP2lcfOM2HVnQYts8/Xhehrr9TjJONOW35PhnVg+YNrhEV0FIHq8GosWIBB
hzCi46yczOOSN+IkI75yLJZwzUGLuOAJa1vwTyxaO3E7EXdI1XTBsiJ0vKoMT4DwZ6uk79XrqlLl
esoYcQoKmFGWGXAHDGCPq6Q0L2RP6pMkbFuXIfFucBcQdXORe0dlR9J1IIbO8SYvdUTCqmOrYOPh
kNrGUQ0sxw0BJpwYjT+sG2pWmkWKv+JorHHdw+jFNZ7OEK9zoJxnmB6lx35rCmiszl06BPRzbZLo
FKiQ/DwMfXw62cOwBg5vvJ8A6PVODv55vwLHsrgwOiN8N5Q2/RJlTbIiwDFdA3ceADDWra+TqiWr
SZL+NAV135U1T9/2nQj/NJIcqMMQDu8CzAnW4aQwn7P7xIl4Eumwa8j70JuqlaBGMjndFGVgWKR5
fmmbpX88+r0T1q9mLq+ti75rGj2OcXdp9kkTaEW9aaOyxtQoVgOnK4+rsdVx3sov5tiCSG+T0l8l
aNxWVWXkm8mU1alfK3LUUSs+S9Oi/MAHOWivqMIT0AeoLsKmed2Ca1jpoKHpX0ZBog8i8P0YMurm
VZQYxbgSBniIwpDDihii0QlwT23GSXqSJHbu8AgYMqcD+4LbCsWp8NpqrWLPfjsmoNAUAaUbf7A+
poMXahRqwbGKq6xz7TRAr5Yb/DCYJuvzRP3WlXbGtPRUhXbZDlbtMKSnRjVRB8xIHDKz6oK1wX3p
sl42oxMBe93kDX/TNJlySdSIVZ4FzWEPPO9YqWjdB9yditqvdS2n3ncHOxu408Z0+JhljbhKhwiD
tIl4bphJe+WVtAcFkYUUEHxZrtOBNShjaNAVG5Bw6IU3drgOM8Tn1IowcG3/Smn8HkMDt5vCqylR
h2VeH0Zt8iqLivdFUuJ/nmF8RVXKHQNwwKGaUowWggzQ3DikemDlzMov3xm8eZ/bYBCHw9S7tRir
Y1Ga7NRqCm3UbagrmvjwePXBCDIYQcZHudWfRob5lgRF75qFXbqDooMzlsQ6j7z0LEnCwSnq1AVZ
aIaBauBvkEYmvjKs6lPehu9FyD51mDDrEuxxx2gMQGNefRQn3QlI5pXO4+kLYt17q00D7VN/xIUq
gVljEJtHJeq5huBSAWPZGyWi6ynNzkIZ+usw93JUeamvgfSM2grS4DBXk+/0JcGRBIMq49mGGcJc
AwOsnTEL/wSltnACMGK0j9HyCgMv3DYq1SoaU3CtPMP66FFrhVFffDxNUaPjlvcnRded40Sf1iaD
wIr5jodx5MocmgnuSo+biQFzRdQyeXrRBHQjoW9dAghG0ABH3uCptfZ64budmJgO+whgQjpW9Uq1
Ah2mmTDsWAWGLiUdQIvNYp0Qg2A2RL/GQSx1XcpMjzRbt34crP3CCs89IYNVJGvQJDKPo6RKomKD
p8SjyUlNr1pRM6te09EcztOoRHkKqGQ6HzpfnZVG3EUaKE60suX1aASvVKrOBuqd4bbeJ4QRnG2M
jjXull/0vjyUNihoSdmfYhp8XmOc6JS4TLNphkI4qFQ3uAeg28g6HD3LZSQ+85V5XHBv5Xm1q9pa
twGmJX4v0BqhHkWaz8EszPqroJxaZ6rjDYi37yI/+tyK4XiyArByeXxij3ITgZuH3mE6qabhvVnV
pwUr3uDyQb4KCX4uQStXDoZ0RJq8SkbzVVknqw7ctRB3Ad3B8M+6KNzEvnc9lF6A8baMQN7IfY3p
hKu68TytGnuFWUHo5Ea87lOUrx1LK6cTZNJBx9wsN07LiX9K+/RLMsGZ6kRXefkmL3KnKbLWMWIT
RwkdT9KMn1SVH2aRpZOErKiNKrwIhve4kgJr+mWkUzFd+4XIV1ak3K4g1x3xnE42uQNSluPhDoHf
jie8S9lpGYi3NEw+5WLqV7nAdalBhRd1Gle6L8O1MsPDpIoPEe21R4NDXtTHxmjicp7CWZYExxHA
9aWdhSejYaILQmGgJxJckWBymd1huwCRJmJu8sFo3biNX6vCOm3bOmo1H2s6bggPI7USreFFWjRm
cUZqlV8lbeh/9YVKX7GuYisjYB+rasLAaKoqneETDs7eSVNLt+uM46mI0XuGQ/clscbKjfugxhx0
XIcc3lXFmwoHJPLlRQO+1mE7FdXKN/p6XbUiWv1fiq5sK1Idin4RawEhQF6ZarQsZ+2XrO6+doAE
QhLmr7/bt1arS4Vwhj3JPDthjXRdzgJxMahn+EjcArxIBvpARv7YSdKdMb/ksa4PLZPl0IY4xhpH
LIS4L9qOWnagsiEvQ/dRt2UMKzbMD3Zp8qS3z1s0Q9ER3JTf3ZM+NhjFhCqo72zORi7yyRGHF5AZ
8p7ZFH5bHzy4A8BtsIK58B5oiMZV095qwVq8ujk7bL2TuQTMHJ1uzrzX5UBTvDEMV6CWXN7O7Zxt
jTrvTFwjmUaZTJImC1Xz4XcQXZgZ0JcXVfUOG4+yn26KqyVhFYsV5htF/4re5Q36ZLKTj75xqPM7
To7/FfhbpZb6jXjOAXFpy5ZaoJZ7NfE+T5ft19hKkwnjPW1xXHUufmU6RCcQOkua8ChCcXCal1sk
i2haqsiLbr3kOMrc/Bfw+o+g4Tv11wT9wTZFPQQZ0EjQdGt651PyEZD9NrZ0zmgTVWR0L3IJnqHP
BuaBk0rEW6K3ry6EjTPKE8/dU8WuOzbcnAbDqU2Hq4lbmW2U/XJyflqiupzGqBBrWsidZGsbHtNw
LNXQXjB6bZndYK1pfPGy+uoLiiSbrf635uHHvIEN0op/ia2/78F+8gTNebg8dYzca7HSjCxrXi/h
r7ZNb1TpX8ylChtsP2eib+7U8m84IjF7beGvNGghPa5Z0Vjv3qc2I779cW7BF2qC3/jioYcEq1+/
qFgKw6OoSGl3pWR/22t78n48B6Neb1qsEFXIR2/6TywzTnDwMCSY8yCabkNc6g2FYuJeKVt8C9h7
Bgy8wXmubSlCwFg6uvdGV6yjRxbxf6CnDzVEEwU0UgZ7tPzu/OaPYXiw4Vl9U37/Ifi2ZXEXPkI0
/k1Dt+dtZ49SpwXTU5FaXFHaGS+TrsWND+Lc7uAlei/wMhU0h3WZVGaWunAeRqwoarOVRuewDdtK
Rv6DbbdL2Ebp0XrstskO+p/+0nbTz2V+8fb5QGZ6XkNXgJkpabwfFpMyrAPzBVKqb99RjspaV1Gj
X6j270rY7shU89/gYXA3ItKl17GXJTFnTdpnStp/ZF+e5B7laqgr4w0XjiEBvCAMrX/gtMOkFb/o
xfslguG8Ysbn/XDEs3OydVNsrjlOwgP8MBWy7cvAuTabdPLc+aIg6F9qWw8wQPAs6mIwSvQ0LnFJ
zFRGifnV8VhmSSyfN0rKVQWXeo5KytltUfYYwrEzQLMNhTp4nUjm0Y4q3rejzWDuqOapKbS3faTb
z3eCNSbzexwWHuedtqXZlxOd2kyu8X+j4WUA0eQ4TDA+vzG0rlH5T/5OnteVhUXYy+Sw6eGDwWWO
fmE/xhjPg9vPXdsp3BydQ5j1QgiVUFCPT+C2HyZYbDNY8daMzjHk7GQp4JVF5cAlgHNM6dfaRc+G
JJnP+8wJ+ylJCum7KuqNAdURGJbsgfb0tSe6IHgN+vUwpcUkRSGYvcGDcIr6phSpu5E1KbatKVY+
gSL5xgNQzoTAh7lmdWiurZfibpPMb9pD2gwV1MVPepZ3T+Pr9cNK93PdyRfaqVL3e+Z50Iiy4UEn
NhvsayzQacn+ukaf3vJbBy+DWg4gPt7HMa00BrCpwQ7N3unwy3d/XCtx8WgOLwjOY/TWTKcOv6SK
p6xZv7i8Nqt6J3t6HpuhSEyabcpkgb7p5ebpV1anODFbsYxLJua+6Ie/KHcHQvaTv/hojG/eLI7c
k4/Y8FXWecEVs062L7yYrV/M7jtq/TyRTdbroSDk7vUYF3x1i3Sct/G19n9PIEgxMuYQzr1My3pz
AS+lmQrrIKoDl1TPc5aaT6V4SUR4Nh2UnuxbwBq3xK4Uw3Njk+sSDo/e+M75Xe0m6xy/NcqVaf+u
ayhgurFMBKQUUVOtdCtUZAvlhVgLWhhlFCw5X8TJB8DhWTqNIFCfIrRl6WOO7LqTE6dtnDAfeBfE
DlRi+rujhcodu4na8cTNF99Hr2O8Wrk8bPhc2qf5ykRVg9pOsby1si8BM5xb8hSNlQfOloi5IMGz
9k5B+zY1XwrO8pTpsjV1tWHBMaj8cRVgovbEf902FHSfKy866eEWqIdIniHGgQsmKhTp4esyumDE
y9f01xzVmfN5tkkHLjKoBvEmokcvTJ/78WPsDjwKC2mrbfiyWCNdnQJ1iNLT5qMPTNFqstr9jeOn
Dquto95hWgkGbX2zyq+oqMu4Med2vvmQDxiC1adLLjZKrl7fimxd12LS42uysXyLP7hoM+sg6P+a
p/HGlXt36R9CFqAcTdm0nGRbPZ17lH2ydaXs3pjZTjxunmgfvWzCr3jbfwQhJh5mSogzy0XYzOMS
M/iUT6N3jn5CJjad9XTK6x5dQ8njj9dXpg+LOe3eWOpuq/ZlO1HovbItnMs1fJ0d3PziNV2+N9KX
XfQy0M/djwoi7zq+i+m8p3vBpAfgOH7wmkMcNRcHI4YdUEL1gvvR/2QFIGoB6BOtK5IOZ22WA8Sp
WFDSc0LtJcRN4HUniiZ6oen8Ns34qbsFzgJRCvWn7x6TaQOw1FwJDrM05MlbjjUE/pkZvuMQcAxp
K4oRvFG2YHZvsCpc4jp4dcN0XkxXmdldtUryDvp5ykoapf9h6A+giVzvIEd/zzFtc2Aa9yYYfitf
P1uzYscHBjwMQxZ6nsrZ1j43Kf2NWnBclNcB2hyfItDjdiOY9huBDUtjJpXNv3rTKOAhQA/ET7zq
AC/2uZmLjcQPIY+Paaqu+DfGJuU91L2XS/8BmNPRAQjvsR2YTt8tFOERFr0pTjLW3MxaLkFSyhVy
W/Sy3FJ6DKb1Bg690jR4a22DDpMcosZHt5nLsW9zrdpz0wxXi40ZIMpc9PFc0OFL9ncumtepn/+s
fMldWh+Zv2bx4Eq0V2zM/8i6o+Z8znzD8NaWg4nDAi65y8Qx5OJALhFmZnuKhu5BsfA6bvRZpkvV
K4F9JWaZb9Yp7xTI1/jLBfGl3hsM1pDSqBiNYPoXxpACe99evD97TJUKHT7Y1pIv2CwWUoqZHLCh
ZSpqr4NGL/WweJnXQP7XoljYkVUB/scGC3E/0efRrmfPC7M6/WvCAFeneWDLPZ6TDJvc0K1ApgKk
cDwlHebeaMJdD9Op4O1QWl1XE9jFtkefANt5WMf1ZRbJuQ/T1zWxZwzgL5S8y8DPjRTnZGbF6tdl
xF52LM5hH5RxfyS4o/sAhAhFzdPLg57NO4CmSvUEAq23huKlwWjuEZkuUxcCLWVFx6PfIg5fYwMA
KcAcKu3Ra8E8ECEvScMeMFscSTh8Uh9zKakLWH4fQ/FqpZ8zVp+6mUDZy7KIlgAKs4Ut+ZBw1FDY
XhKBBakvY2kqeHCyvv8bDvTgpbjkDUiduMnH5MX6unQB6K7w1Gv9X9CXhB+lr4uJ/2kbleAyjke2
BCekwpdqDwuscpnz7BHRG1mP1I0x5kXiTUVHr2DdFXwZC2bF/qhx9OP2I5omHJ0xm1Bvov2Xx0nB
l+7aD+NVxjVijYBTxAAQ6MninplGo3uMQJfeWXNoWpELcazxSRhbs13QbMfy48L/IF3MfNQqgqUf
a/eZh/0nMhOAEmyf8OYdRPoGfS5Esf5frx7PJqyrZMIDw999gxq67xfjIcBiXU9TLz81nm8AafBB
kukYrCkKeoitt+njTygXbq3xrtIAQVvZ+B939WmF+rW0bAsKN4XPZnP/atMidcWXNxDZKmuxHINn
/K/1o3cSDc/QQb4Ijt90S5bHAewpAkaeCelu6cD+eEPwLN2MrrG+TXXVzWPFkpvwp5cpfo7isRD9
Y5h8KvQQ675oAHl10BU8UCch0NYIwy4uCxZd2H5zkECOtffgr1tBXXSYa1aJTh03+2/irDCxBzt4
k1PEZgCWjKcFheevnveyW3SZ4MOIQo2CZpB6WR39qXlYCfo1zQsEjcgFaIsd3axB6fSSfyOupcTm
AF1UjKYb16ZIpcn9nh86Qc7SomSZI/iAQxxMZxZ7B23ss2gf6Vz/5hHus9dCUoxTM7THUa1ZaKfu
GMfbdoNCC6gRwCjUKLbecYhPw74XlHmVXI7L6BXr/tXInws9VfP+wVqd1bQ7YME/xYYdY/GZMH7e
1HRp6xZuNZPBP5xvaXJo5R9EmYAuCfO2To4dNm9vHUA70vWlq/fXPZDnGTos0p7rsL9HiCig9avH
g0sc3xtkjtj5e+ePbEUfw7gEz1cutkqY8di2KCq+KmKrin2ZjmkLNJY8hZidZQhZWf/g1pdEeBi0
f3MbZwmiibr5vTYit/NLg11d48I2zZm0gCnkE45z1uxppjYfQSeoVeajC8fcplc6kmKasK4kRVQf
lXf8kU72Gpv/9q3IawSUhzfrBbhFNoZ4A/vd+0MW7/96vR4A6F77vfs9Ujj2u6RoIxiORlGqjuSD
JGDbmT2tPj3O5N6re5e8Lkof+hlQps0MKATHbj19oxqQhgaYzw+Jx34tyVBMKih3gOGDpVlrsMQC
X+roJZ3fw87cthnQVqqKruOAfKHUSPTRD5eD57bSYWJuQO42zXj2ZpAobTsBoV2q0aTPfHGIUEAb
0ak+cFVXfSxPUHi9qJEew7Y/yth75rE+dCG44NotD7brn5cOERPtUvtwV9QH6zvUuiACXwy0cA9K
zwcH1Q/RBSK4Yzv0Es17inOIApuH2i6ymHvxVxqDEBDx0Y7mGZLbS7zFZeixcgjFcVvFefWD3/OQ
3HegMceuTl+pwjLJfNUAp6rRweXWZIrSf2q2QOx0Ov6d/WU+DSlm5Haux1y24gze9rB2WM6ZNw0Q
WVp7SD33GPyQmCGA6aUZRCUtMGlrzTPCOcZsZM1+9G2N9W+KFIYyeozW+rgjmCLjsJJDRciPcM2/
zuMQZvPC3oZoAb7S7yZnRlVrZw7O2s8uiB+jEeOGix81x56217gjmuCB9GL5p08bEAY9vkEAvkmr
BhEswvmAseOgAiOHvteg+i7XlKhDuIc0B1iATZ6f+M+JlKDGMF72t3Bbl7xrwXrZZfutZPg1MLCj
KXPNYyB3U8xBeDXJVpmJnHYtxuonOK6Y2w4azDEcTgGrm2oi868hhlF80XS8LFb/h6Utzd2Ae6vB
OOWMO8gVzI0n67NvE/pU+/0Zmq8XRlvMvXRB2gj1sB/CWYgpwsJy3qgWBv90yXY+MoBjhIIwIV0M
w1jPa+0yDbP+S+Jv/Ztlg2QwlS7Te8QBJ75JXGkc8jC0JxwGCZHOMLIftqK9YJRY2KulazIiKmn0
wfVYgNZU+KeFieEPoxwmji6th6NXt/S9S7rIu+7TNHR3QL1786dZiU3/ak/btorGWAJSwDNxXakj
DybFsdqsZg9+vEAG6oOfwB9O9z8dXNZFOKZYTLFWlKBY6jNITv0VThE/NrOdSwGXyHM8NVxnjqsV
hiPdPciGmAI7wp6pbnFPXh3EJ+Ht9EJ4uxxJ17oK6Ia++jvUn2HbNaVppwiwJzFtBbNZV6TL9Dxh
qz01Assi6xW5B1brNvOBuJVeEJp8j4ck39TsYQmQy/fCTJsPi8WonLC8RfTBJQbGc90t6oDi4CUm
tTWlsoouVRem4wmwUg85cDdfwDVD8d+l6jVZQWfimdoy5L0ALt6m+qkNVj8pPWR17kWarPV1qQlD
wYf1DqMd3m3TbTxk09zLE2EruJJZ+E/RMLsykqF58fjSP+L8hoU/kwkjAwXdVwcCuEgEfkcH3XJY
Vigzk76fsYgn7ih5bEu9M35lPE7yKK6xx6W8a/ONi/Bj+zmii8IqHcmY533QtnemfurcCkeNDOFf
6Ik3nweTGLh6VYtFXwTbdhkCV986uU9+ZmvmYoxzKDeRCbqTD0Cw7Ia6PvDQ5384BONgySx1b6Lf
xjNr6qD4MXWWG4JnMFKtACA2PwRx5KfHvR67q5364BDNM83SjcEvTtkIGitm594DqIt4NzSU1CU8
88BRXLQXkQcRIh5sEywALdmv5dQ2SbmJqbss8mclAd5cDXsvSzJjAu4h73qntPtF5ZJk42Tng6Kh
9wMdBq+UzjYPuQWYKWf5Ho7TiJilHklMILRA4uxWd6XXz+o5gk70X5PMfR4oJ3IHw0flD0uXhwaQ
5diO83XTExr9KIIX1fXQyJG5G+wBaYQL2uwUGhV8bD14QMiYU8ht33YXPI6yp2dcblk/ME/IePiR
S0oJvqweSN0XYb3O7DpYX8K4SADODwKQoarVhSjij7+Z7yGA8K2G7kCA5YARxWLI8LpZfZi+86Pf
EJjvq6uiaB9HcxJ02xWIo6Q3H7u3c30fWs8mrzuzMf4jVM+jwriDGzF/JElH6L8oHOkKskV6AVi8
dB/T7Qz7RSqf5IiYzXPLlohhGuG0r7YE/fE6WU/9sEMNwgmCbNxZ46XFICFcAKMG/ZX6CoaYkm8R
QTb4R3siWf/b4dTEmkA020A7xVBaYgzmZHaNKIdBRkgLH/bJPsxut9wUAV0xrWVbOnr7vdFRx85B
bBaNNCem1+HDl0MseAbJWUgB8kQMeclZapdWD5npIwZsDxAc774kXK8APlB46unbS0CdYVOvfef/
h8OWACWGtAQ/UjYkzWi+JmX66SmO5pWdvKiN7AfngWMnlYiQ/0tw9LfHTfN1+0RGkiPnNtZ8zN2Y
CMR3RlNPj6KfbYyncWgapAXJ3n/XDJzdJY6wXJSIy0zHzG0ushWoDjw1xF8S/UWdCd2zSuZ1wCCw
wqTdTfBqwDsdJ+IIuXYQ3ZwxlhSLgWy7bNzECWQoqUgOodi8ry3U6ZeL0gTbC/UNb8o23F0NKryO
4HPLOxGwzj+lCG0EfDhGCDNdDnzwUowQgfLl9A+/solLWMQSEHPwL/2b/Gmav+3KvLbJ91nM9quD
0gDDZLQmfgfsge9j8+b504wUP6AWuB3+MMSfKUPBB0zXNLs5jePqYwRvY7qTV010/Z9Lw9Vc1j5a
nxEwMpHDNsRj+8hiG3Zlp4GDA/UjxLNbPqSQqCRZ32wBqObQiRmULhDjwRVCC66/onlHWTWAoHFU
Ac1gGc70MPgqQwCsFsUK03CADVwk24VrESYvAlWwQ6ri7H8jImwbnxGVFDaH0TBizosEN/dvQxIT
QvdaZXRuYsQu8Mwls1vh7uKqwZIWzl4+iCkgVZQ4DN92Drf2km5DYHBxJu2ZP0OX9k2lfeSDXjxD
LS3sutvwn5l1shbEcp++M+Hv/C+xcn5ILLiR+ScqhiRgcQR+t8O2Nw0wL/j1ekwZkdR1YRo1eN8w
Yabpe+yvq8Ck6wHZ/6PHYfdfwNPs/Fb781RfFR6q+hiIdkI0y96EWzHtah5/7/iq95n0LcpnpvaZ
W3im/Y7m+Ds6m/nHHWXyBZquvTmmMQIfkFWAxMTGQm+khh5w2aL86dEpiuGv1knbfEwDuOBPsSYr
PXA+kuSaQj89v1K9xUNZy3GK4qy1rRl+Bc2S5EuPyNS8mUbj8hW35D8V1E4c8LY0yrZFtm0RcSA2
O/fXv5Fk9U/0VvDZO8uWyoV1eFxVvUQnZtP0srfCnUOiuM0aYaCIat2+LnfI4+B+57xPbzXY0RsK
JaSt2oSfrAE/jfRJy3NwdvX7vNrxEAvMqiqdqC4Xt8FrGzgDAEjVHnzh6aQjKNfmJr1Br4ZxhnH/
ggQ6iNqiTTbdYyu74U/rUvIJuSP4CM8lyfcQpFPV41F8om0knwnivX7VEoYr61kAtjKdJeaVGbsy
kqwcWBQ/4rdgnTd3gjEF0Pw2pevL4DMvwj6ScgelBViAfIK+BSqhWgKz7hvh/oZwUSwZSfXKICjg
pELYQpg3fHM3Y6YGxgCp0qd4HOb9dVRWQ3Vb99/QUzdjMc5RSyG91rsrli0g52519SNyVM1jHXi2
9Dj/jMT0hfHrfUicyZ0j0N6ZQWR9BAF+sCxXsbtDEE/vtNsh+YNjF1MJc2U3kjTvqPfhryDZYhF/
NCyZrrbfukqE0NjpObkrSOGxT679WcTj787ZvvL1nrxxOtq/gJwFbqRayibWv0EnP3o9tkKPLfs9
SXR9gbt/P6AP9lfKif2FtaLGqG/OHPK73LWDV9CWA6GazZ7trY4OggfBuxmtO9ph8e4t+oCf+62/
qFsiefAA8RIun4LPrd3qBoO8B45snk9JFKgnCpTuz+Z1y7sxW2eeiS+jcqF8Dk7piKcqJ6vpHqAj
gLCnw3mEvHY17HnzQnIe44lMeRAjoCODvsUVNSIePyAmGbNBj9/NqONidwNonHmfDvjx/8394FUt
YzugdA1cFUL1H0bNVf3Qh7nDhT2tsYsKk9prDUgr7izMegbrkRcAlNpgnIY1GrwDcYYgUIV7uR7S
Lh+3mZUBjz6otWDae0IfENgK+TPa6H2ogV0sxLyHBuCmn+j9YkMunkezNz9z4Jz1IXkYVXjxmcKK
AqF1PnSky9c6jrLBsKc9MFcMNdAH8AQVjK37+zSl0IK0m8lrHlR6sqJI1mRBOgNiI3iE9S1YccWn
sL7ve0PxoNEoZ519jKykmY5/8gZ/ZBqrgtwUkroYUrfEIBEvpcUwJeFlnugdg8hvT2E+EmAbcSy7
PYeuFKFJcsD0l2CUn6EazijdsfL5Aa5qi8GNLDHiP9sU1qxenM1MzpPQEBA52efWZzmfVQd8GioN
PNhZkMqkYL3vn1e9xxUdLDQM87Si6wAzQAJ0j9Ve6nzBY3pDalcCOlfWeYcGBFXl08qQSj0YPLye
/KnuYItO/tjIKl5hNkVWywXkZJ2He8DR/rq9RLQGK+B8+WTjCLwSg2uZpr3OVW3+LuAMhj5Zr56M
XiOXONDE7n2Kd5I7v6Y5UnTWEqYPeVphii7QacZCimE8NHKjF4SgeQcIApa3JPoxBHhjVEIkcRnm
BRNHj5BqI1FDazfkFu04H8wSZpqEJwSL68Nk6dHUID1WDe1g20HhXTdgJsepaAR2g3FucZ+9mZR7
HPyyDmmUUKWDtepxgZFutOcyUuoEXD2ATECC1RAYSTqpDpBxgDVo5mvKKIgvINdgYu014g4Mo6Tk
hFPl5arDeCTr9iOcoWmIflq12F/rVQ5FpMaL7ryXJASHPiSfLQH4DWr8iNgsmrGkvkPg9TZFQCf2
ZXiGhvqzxuz+o1IIcxGZ+UloA+Eb6eZ7y9qlUlNICt8GBV+7NV9Y/4FiS0rdoEA3EtEqDDrGfKMg
VHwxipPYQlDV+Bx8jGLIm0ZGQE6wF3U/vLDa5PcU+HEhiZ/kSAYhRT0mf3k4PQbN9gXZ7ecwmC87
2cfQpremnh6BX1Q9huFsRNJn3HveeyOCxy7pQR2m/Yb46xTo0PQeWP5cW59UyR48BvMGvKxx6z+9
dOmB0Aa449r5Ld4GUwryUaTysTu59hTZEIBHGO85CKfutHbAZzNNW/GQRHKEBMfHsUgRgzyNhFbb
2PrlCFsjcAbXPAMfc+AViLq0sPjfATXMzz5Uyu89c/ubjaL5GUk/pJrZ3D8MKRsPGmae6zqHdQLS
XEMDBVaLpmW/tGZ78geHhzJegmYtWNwb6MOStwDSHCR/b7CrYj+MR13wvQ8ADQ0dSrTx3YOj5CCI
72f7LCFJCKLxJlfjvY9+vFVp47sCF/Kv8CnIv8Rij0Ti9GnG0gWF37KfR99suWywfmqAO6XGIlDE
dEK45Y8EKt6aOkeKIsjCMR0ybN7hkTFxWbn+RGSnzBuISj86CxZkUZs5YR0eysmP7UV2WOylrIsG
epaqwV8KiIi9SbpGBR13+8MSbHdE+EQl94KlAqZzFPsAhDcYTw0X0H8AMWjTHrpj7BKHrU/8rCfd
eISIO8QW1P0GI7Xfpkmgrg0O4oh9zv09ZacNOOnZR6T3g5O4LLiqAcKkawkiydE3YeGw6VvQpWFY
P9ZyugGdhKbba/HczRaCB1E/RfvaH5iI1E/OAd4wvkL0h00bf6M0X80COT2CdqBIX0nR43Z9q8kB
FN/Xl52RCbheYqFdiewpUDXkJqNfJj+gpw4AUVs9tOhz8oYRHIjTgtWLsi3jy3CkK0zwfDxJf97h
Dkh/uXH+O7gNzC4G5gMUGdAB1eJ7bOqfKJDToIaTVbYiXi+vCLl43DswMdQgKC9BqQcUDwkP0G8s
PP4qynH5qZ7QMtF9QVovY7kl8jlk4owaXUx1+Ld1w4eaAWort98nRCPkA52wBBj9lXRDVElNv4O1
keWWRH/7Gkdon4yf1ysKNJ3MKVQE7jmQTPOPgIQvr4LXrMS6Ayc9tcEC4Uj9QceQ5wLyTQjYe/U+
0OAlSDuoxySDWnHbrsksP+Tijl2IfXyb/L+LL8tUqxl6OiPeY44CDRFHW1DBAEyM6jiu6gIPv3f2
ZxSG+keiskTKXtMWvAmy8Z7QYi+jWLa8l+MVXsJzTzDl9tsAYYIF9RY6flYNYKw0/YUTnc+Jegi3
Ld/W9NFv+XuwLfdJrccwAtG91cFvojYA+IsEmYRcrwpZBXWRDEjXbttVQdPcImp0sfg5dc+gi53a
HH8VASf/f47ObLlRJIiiX0QEFEvBqwDtsuV9eSFst82+F+vXz9G8zURPTFsWVGXePPdmBdWUGqMD
6mIi2jmJJPMNcsOWSr7MMjZaxs+RdaSuJpDeAxUYuvbS5m6/kQmWnrwCCU2EPJfS2M2JlgZdY2o0
8fwkeZ6/okxCo7k9c5ZyteBSGmhQIt78lXvbyErapvWEuNSAJS/3czL+peLGItbAlpgKRt+ZaJ6i
ZrmPqFl9MRkPpK+boV0YQYsoDIkxf3VxMQTkwhMWZwy/kdfIe6J7iaSMxq+lUp95ybBGQO77saIV
7VrxUIzmQ1x0uyTC9qdP3lOqZ2gZtvuLCQ8yRarCT+EP/GGYMr5TRdmS9u8zrWTak++bWGYQMyc6
tF00czWKdssYW9sMvQC9LNpwlI29nbzySKKMOroaPLUZGWuo49k5qcZgDFtYfzihgdBc8dLUlsmn
Y4qWVH+VyHZGZl8aJuq4K5AzozjZD0typA+9b+b4vo8phHp09UxOn24SPXa0i+Hapv8qynSEzerQ
reOHWItos7ZeyRFnDBujix80UDFXq+76UZ4tYfzNhA+wP0H7gq87cA6CC9jWtsiQl5PcC8l0kf6w
4HXFsx233XfswsOPZNLXq9k9ytXaLa73Yyap5zOFx8VeW2+kBF/NIr/M3hif+lR9pOkck6RsvGcI
ZYxIaOSdev3ASjHyW3H3Edz8w7hM83YgrdHXXcIky/Q80Us84PUxLy7tL2qv7QtnPqm6WrBNMEKP
Uf+8uNhgd98SdLPrBoIDOJr4vVTmP13UISmZ2i5BvjR8BozWqZj1f5nsP+K1ApVsyuc1Tq61ubzr
FTYLXe8YrGnqQeO/8/Uh3WWiOMg5O6m1OpG+0vv4APRrXHqHSlOC+V4KpTVSczSTh1o82jFa7JSF
YwuskzfZMZvUwaoNERQlLlbC0B+TqOb2F+5vlE9PtOw7jsb7yNBmfA7zH1Het7x7Ye5xy311fB5n
AmDgrgrNfPzlGr6rmAKFXkFtOMXenWm4wFnaoxMbQ8DqqgepKuUXLQBtT6rwGH3KW+7BwANJZVlz
gk4HY4QA1dpsz9IYh9lPvV/jTt9Edun6rRaJoFzVb9KmcWDM7afSppAkxleMYHBj4l6LhlfqnIts
nW/WX9APT3kddhqYCiKZdq4mEk2sNtmpqGTu2uBsZU6EV4VR9+gmVZi2qr9M/epRbmWXXDePdiwA
iKYfYzbf44qmOeoj5gL8LJA3mR8jtt7gVuF3dOUcnAhYY60CiQwENg+qki/oiI3In7PEehgj40FE
Tb9prEgAo/L4ysWG9cjMTUJhdqOgy8pOD0nmKmbHnD5WSdsXq9fEknumcTBucXEgheXF0+qT1ll7
qUABOnGwoyjIS5fSN7F3XZNDtZUuV0MdiEJhclidD8YK797Ss1Mn45VMDkuKwI4bbYSeWLcIIU4A
wPLkOlkSMG2Kg66j3tCnfVoLhtOedoopBfzaBFQYgCFUZ59nx77ZSRb0w+ynrg1nw9aeQ9WV3YYV
EPoBF8EuH6bJ54rJLm6h/VrOgFdn6J+RdNrNTL5JpDmnHhR1bE0cgnB0Zg/YMZ15BUJWNIad8x0l
zYNQTeCp+acw25PmKl45cdeL8nFE2PXUuGvE+p56cYg0Fs7Vypi8X56qQQvMglMtE8OnLaLEl1N6
nKwh8EpL39FQPxCvga1K7to6A6GIfIapoZaLzQroOTELT8n7aR1J1ghHq5kei+XXYy0R/BqOM67e
59qd341oUv4420/KHna9TtBu2t5AgKFfLrVq71hfIRlk89i1JRaF+Q9nCc5GZtB+nK0vVba8La54
shvAAbu3TxZZ5ruprh4XniKfsMJ9zf4aheKHe8O+x0vKVKy89DHUhJtgDFLWp1vJb1vZ74twHN+2
eFiwHoZYfPeEUySbGmEY0Vgv9yotD12JEK66bisa528xSl7p/lgy/sosfV+tctN244tbVPtssk4I
6heGvjyk5V3qVUGpnB17J3LQWufYJoRzGIYG9Ra7vq1VV2OwqjCKoTe8dLr3luikjOqQRfbZvPk5
QWLAipzu0wbxAsM8VjESfzHfIc/10D39NuOJ1RR4TJXUj1XVvTbmeI0MFRNMcnMuRUShT3iUBzPb
lcMM6ldTtrgvNthAI+7kOu4LF/6oLsDO4c9TrT04Znru9PEQpVg0W5ehunwwVRaknhYOc3ylcMYE
nLgPSTPsNNH4sQv1yEKcYkMTUG+0yn7V5pt7LMVVYFPz1eV8N3vzdpmjLQJuwVkGg7CSlBxw8N/n
MUZL3SuRPrIf2fNQ3ZASiECvB62n0ov6guUpxinOx39Nrn8SoXQ2rfJV08dHe52XcHSlFhhxfVjl
9GTaw7a/pbVa5buWtwFqfoj9iRpdJQwFDTpqwzT3JXs7uuZmxRrDxbHAcrA56G50NVs8kGuT7vPS
uRuj6Wv1pme0XDri8tSI8shw59gpTJaL+6fTxW3EalmbvosgpcY75UjpV6W806UeOqbDsRl/asL6
m0f15GAY2pij84Zaafumnv6tKUdk5xrMu8VSBDFcIbFyY1j35qnr4bo7Wx5NZbdhaVqHdhbbRubb
ZbWZTeY+TrV9ouMtsMaP2I4OqUqPCYdM2SIY2hLpGtXCXeCjuvlLb8yjmCOf52ObausfBuiATv9s
UFF0uQim1LyPBf3D5IzbMR2Pmb78MVG0N9LNLiR1MPSBDYy/pxtHVtZwrkodonJ6XMQTYftvlq5T
VruBgyHyhpsLuH67X22/n6LPptUZVk2nOE23gmROztH+maTqB3Q6RofZcLTWIkxK9JxpRpSKYvBg
piDSB6AAjYuguKJp6IMxKg/IX99ZlIddR7qYV2dPlogwQfTTVkbr1RuN1ylh1VW1Nvt41v4ZWUXE
YVw9enp0dvVCBKqNX+ycDrBciq1KmsBZHQq50bm4y/q1OPbVyxFJECjAunj7GgikzTyt8G2GgRhR
WUdpjAeoQvqUaicqtTEBi0ZRlOh8SBOV06CUV5T0bUBp+EiaXZCADozpxGFuX5JVfDWx8R3XMKWe
2mJyvz3Bu9SBqVXdijCtW7ucoVTvGqE7e4xged/L+r5wiD3i5TxLWbhhEfeBysafpCkf8aXeZVjj
sA+0h1lEQVbLoJ/711qUB9ImO17QRAceawmgU/N+HtrvrrZufiBzj9tKh8rCsSr6O32ozi72alM9
jj37ouJVHBJnOXmZ/aCV6ecET9N6zEgz996O3+eSxUpRcyqxYZi3D+pY23hqTn1p7evWxQSnPRG3
ftSaeU9U2AUrdLJxcAA3o/UopB4kVkfR62oHyuHWx86tsNhB5Bilnm97wGC1viqGoUYZndy4McOp
LP7S3H12yDUNKkwbgRyzZStcrKC0BZVf1yhidvNLxG2+gaVh1lNRvzkMXVBvO3/OUA9FtDxhdsb1
jV8grXJ8ThazhDbKf93GvVs95iWrhF/njCly42GKvJNcm99BZh9mlR91o+IdZO5qujgG2zd9IJO2
Ha/tQAgxHwgQfUrFRzb0jC5G4gyLsQyli+MYczzTwptvDDSYdgBSLNPWJ83or71RB7CwgARD9KdP
YGJzy+IdSFDc0OyveeHFD8vkrYn1XSHcfWrxNLl0U+m0Q5H0MXlCexYGWa4KwYxGtsy+hQlr1oig
N13Mdc7EYCKyMSvqVRBPlgrMakru+lUSWjKjzwIYOAwtadgMa+ShNaL5fkww83iOog6rZH1p41Sh
7Yvl1C7K3LlO329bViI+9A3OSgzMP2PsNGCWVewbLQJhoevVl8RbSWAv68CKTmSBDt9z0UVXgHWh
PkU1I58kBhgo45Bs4b9Cq48UensO51BO33MzESfi7MZq/e0yw5eoGXG5Y1p86Jj7EIs1YJiAmMCq
yPltyIZSg5iMTByXmgTUlqE3Sh6a+SVRxKfU8eD3s9iDgh0avBV5TgFUFYBSUdfv7KLZeoa6I/1y
gxF4k+A3tMc6tOXCA6tfKwLJI973qGwuNy88saTBQKltusNV/7/9HC8qQXe1yDHPqyDHs1Tlsy+N
qQ+0rDjABG0yE24pVl+NHu2msfktbBya+GxK4Wy0In2uJtpBlWRnO+vfvcq58HJg5jM3EbHpssYa
g/PDjI+xSk8xNLVLw6X9jJPOoUugRWxc+GWd01LsGwuDLK0BnP3eZTFm6ppvZWz9eEZ7qbI2RPug
zHfqLEDFyX+qqR58xs7Ztpv7MBfeNhsFsFrH92UExIVtaWz9oitBdNPzzAwG89NDFV/5qbbVzPxi
maw/LTMOIFK+UsPFAmWMYn4wLXptY0ZqyD2yz4MJL6897/IC/Qjxx3Oi10xzQBhf6um5nn68DBBe
ohP2xTVHGGIsROLb/J47oz9Uv30qn+PWYZ2dvDdm9eJkahut02+sxq0JQW6PaTgOGI6ZlX+SCMAw
FlsJMsN4syKkj05d7Qaj3JuqIDQGMrUycoo6HuJm+EjjS6Wnu4GbpZ+HH6dWF4yhQRFTKzDIhuGv
bX+t9J2E57rtpVxdGgpPHpmTHIZ82I3uC587qPPlccSYe8tzWIavQS6h4kFuh/Tkds2drMtTHdOh
lelTtcYXb5iPajJPrEs41+tywSjrmQmlIlI3KqbKl5Ml9XMZ13ydk3mk4rvX4zScXTfQG0YdyfyE
3xVbW3ZsPO5LbbxPrIWYB/sCr2NAlsrLbCF1a+spWt3vInY2MfnuHj5NDRdrP+vPfWKcIuNPX4uD
WJ3TQF3dIALmCxkfLTkWm77hCJTjJy/Br2drFKHZlgLpvlgOg3NllvmUiPIStf0lI8+sqZYrNgsm
zEcP4cRlVetyGzBGYpcyI1g8VLipMZnWartO9lezM1+EpE+6CaXuJL/Zo/vTFBHeN9upUAOqQ2kb
53wovwu3eeZgCuZi2NYEfy//70I0WOLhhn2qf90GpUNUnIwseVrSBfMTkq0zFe9OXbyJ3DV8gKhL
EUGQKu3JS4lOTflilnXbDNxghJFvb3MVYKV+Q0UC2hifCE7AoOTcMUul96h3BqOSPK9PNZmudpMH
bj8g1jFHIrm+x4DN13Pl8TkX8/JXOIXFlAtHQqu/VgQ3SaP7i6EgNtrak62QfAoKnbQYnib0eSHl
XsVQpJNcnyObeysRJAI70Vt7k/Ps/pkIUsZ8GLjbfp/CZgFoiF1jE5BXYrhL0ePhZB6HXnsw2/lK
ZnqYWcaD9D5Ha8XbXvu6sl+d1L3Zy2FhcroG0+Z0xQrIEhz+MPDo+tWkgj7DDDD1ySvNzKHEL1J2
j9GQfxFE5MvmYdJN3o3iaKCg9CzQ0rsl0KIubADuS+z6JVNXJ5q2TpOcTEDtwT0OmUH70kZ3cwuh
NfZ7aVYveWYeF8wQS8ql4g1bDR41WnG7kQZhMg/u7Jc2mu47qTUACsrdjJG+ZUDaGto/HDI+sghO
sfR3tqzrnE1nvX0bCfON85gvMb3qfXHEIrmno7zT9HW/juXdiD3MW0xcyCxCBbCg6QCXYcBD0+AV
pGzFFL8ZQvDYIzvnxc/Icg9k8fYwMEMYzP6HMu9YWtQXbXMzgFhvpjHuOqEA6rUHXayHNqleHTUT
ZIKFDn5Xq8IZtkm08kF28x4/FwjYAYOOzUkZc56QPNCtf2tREtuybjs1h03Fbs+VYrY41fMrF8WR
S+IvImhENNrG1V9S14MXhRFc6CGwonmt9+JycdE4B5m3qNDJxGs+j7ukMvaZqQ7OkG+1PveNmVuC
ebZL9WHgeCJhOkntIB/dBwv5Y7aYwndfWbMGaeTxRLsX6peD3UebOBpDq0y/qMU2Vq/5JrStBVDb
IJq1VIJ5pQXVnId2Y2wTkGkddNdYaPOamQV3uveiNP0XMmRXlBTIDgsmNuwTO4nC2yYx0nk7XaHa
zspG1LGBbHoSMSrTCjn4gi6VmM8xfterdq4t700B1w5JjTHE+TfXmOuHNUCePmQa0ZnYQtGR2aa0
2sc8Z87Y6WHiXbXJejdT4F93wOSJ9URqWyk6fyECoo69LbOOAAcYKvEvXQH3d7UzevNvHKJTh+Sp
aS8uCSOBaKarVS5HCzyiRmqrwEM3EKN3kxzPymkeuswKE5Wfsxrsojb/3UYh6Syuk2W8zUa1J1tz
J2pzt/YDw3r2pBAU5cz9oZg8vIJVmIFWr3Z8JKD+2Edf0ZzfccEx5iOQoqkoGu0HzzBAsKuQj/1m
WukjouUHoX/dJpYIabhfEPytsKD9b+dyK+OeGOKXBUPebJNvYK8QGFOGP8EKibw8iZbML4bGfTRa
FBxdDF1H+g54aQ5KF68WQ+GB9QCfLpPQknFMmpmvM+sYNgyBGR7z2EUfTYVle7i/8U0dhp5F8Ao7
z0Q/wVrpwgcuDj2EAlHuKrvbeVSkA1pbELkXwVSgVxdzueT5V9v/6W3lm+6fSfyRxblkRvWXmOmB
pt4IViM7Yqr7TCbvQPIu869sui97873WHEo6iAYWd2AqWs515vrSOZWa2Nr9dcCYYen/SD+66wsr
HBf5V+N5YPMzuTKM0kiuqDp1nqxvK8Nnn89hRibDEkUbM/kbmgVEWjEL/aOHw7Db/aQZZtZInh3y
trVeBWXfIoAll4Ji3IX7pu1PKpPKl4Qr/FlnsgX3aLzk2nLkqbw/RrRXrux2eXaI9CQAaOAA58Wy
xWnp31VXBlqHK49crGfGeiy+Tue7sTC/nY5reR3qO8rgjxjgeuEo4ETA8epaVLBOO3wVdne1tJvj
svVtV5KgEX07FayanbSURU7tD+Pgeza0X8GvWk9KPx4yXIvDw6zyl5Is0qG7qdU5yRDgLkZKgFSf
vLX81Sy6vF/K5hzzC50ECDa2doAWJA0Os066WJsf4+i7ST+4mHzrNsCzXWb+FowTZ8uw8nOtw7Kz
y+T2S13e5tT4TFDeb+sKf+1WB5mVt1gMTO9JTDWlmq9Kx1gvxLW124/UcD/t4RXZWg/FEu2iTN+W
dvKG6PaZuPdzlf+pZXmpyl3PvY7DgvCUDwLJtoJGqEmfyAb70Kfq7Bl9ENXGl0q9f33UcIqdWI3h
d0X0q+nmviJxyyZpeacr4okcYnh8j4XkAU52braS1Ij8HEdUY5W23OE4Sx/deYk+u9sjmZfqJU1N
F4qQOSHE2II8LNLQLdz6QTVaGTDVWAL2USQgOkLHb9m7J7txrYNoFIkcpE+FKjdPUE2R4FVIeH3J
O9xXGAiD1lJkaEh6e2hxciVMgj5yqXDSF218WnS7Be9XrT8bJl4SzVrAdt0vePivdckZ4XjNpxR8
eaVxU7RF/Vi2db6N5PI12QY2P49BoDbjZa5maW3SJX4ZWod/0waWeIv2ss7OsGstFNA+IyZwMudT
MmjDwdagf1AYSOq+hTmpllBWVLvrZDD2Jkaw8OOK+YRDQTna6RZwgP9NySAL/vF+XNxHd0wlKmpp
Uom1YSQwGyaDkW6ypRI7N1nPDsIhBy3u3KEed2PvfAHe9xScLNCRMas1LdC5XsZIg9U3C1FJLzD4
BBbRpBicS+ZNGxEbV5F7D6ONdm07+5w8RZ/A2gSTJFN1d3hyq2Hf6PwVaKqs6tw6bhfMqjoQ5/Tl
opNI5JCsj66axuR0ufl9BvPsdcNtbqU9F9STaysDxt89ApH6hmFkhjT6SSFQdfBUWdUd/2sgdn6n
cWSmm6Gx8aeo9TufeWG6NZnDtaS1nQzCUxK3ZNg3dxgC9asl3ANfzz9iqRycl9qhcoqHiRioUS4P
yGRV2ElCrkwb2z+QB+Jq3mxtUZxljS7GVPN5Am608/kt7dEbMshDf7YKKDl3OJTp6jGIbagHPee7
G1fnWpY1slfU1SSqy9gnUiZYOY5SQsJYZnhydYrWPun/ESyMu48W2l+t4tlQ+S/bLC5Z0WNNVI+D
0J90t/5nrcvtFkIWIzIZ89jY/DimBjhfJQdsBUHTWZ+Ri/vCsvG/exlDqrS1YITLXyN1DDBBTAp9
TWFQVyjKFihh1Tn4FDFxON56EMkCP0Aw+WFO2/vGSS4w7f9WyxBHutJvfq8/BAPrLAXHem2IK5jc
503bqm9VCat4kZ86P2kJZmC5auov0mAXGaOOqXOjDcGioz8lU+In2fRpqPWtx4c2r+tXfnN+t9Gw
bYVFTlAU3dV1fhEpxxxNTLoZy5SQoGHNgSrjLVGJCgaBCMPGmLOtyIifMDiVfYtXa5Op+ktF4mnl
5a54sfkWCaFSgpcxIQD5MJhowRPEPqNA2LfKIoFjdvTfEmA9XHrMLtyVr17Tyw0YGZRgRpAM/W6o
BMp1Tri2sWBAg6v/TSsom3aSLfFseLxkS5JWCV/BlsB9X86/CADTvusFPqxsfGBz755BN91RftCA
E4lUm4L+JnFahYY2DxZCwsyRuddXYblhwz9g7YNcmWaqT0tjTlEsl0SWON4NwkmiUafyvo30J2Gc
bUKXgrUaJw4Fgb2XxllmHLhmrm0Z7myTUed2LuxTZsdqFy3Ncz0XX66Hr7VsjF1B7PAmm6kvx/jO
bGngSCbeTGSi+LFR0vLl49aJopd1ce5V5fxUg8clVQdFUV3HrvlsFehjrTGFJEc6SDNaHCGeGogy
AnQqK5h6m3ThJNLg9+tTW0Z30PfnbhanrDP2pjVIlOUPFjTo22JxnoicexlduAvIn8dqGX7yIblf
BhZDZPKSZSg8JbT7zbdlJca1S5FChCh2aTPcK8P67Mv4bZ3GV6MVb8j6lKG6eWJQutWVhsTs/RPA
todk6udgEai8aWYM+9UFhS/WnZnov0y0Npl9i3PEsI3VGeumvVnquMXOT+bg3McEA2TUNRyWkTUc
+oZNFeCCHzRhJiYjfH+O2X41ObMnPeOcZCh2N0/lY5bdqsMV+lQX5PNlHQ9HZnf3Ve6WW48BZCoq
PcglN44GYKC72V1OJ7aRJVsRhUohsW3Lu90C7wTrZBvskx8ixnG/kuBhq77cSKnwD8lRbuOuLf2l
NtuwS6YDz6nlM6B/aoUL94CWamMXCvORB7COFl5phbUH73W8xFcOomOfiW+3z89zjhOACCLCjwpv
DKO2irZJA/esC9gdMZ9SYd4bbvO36mjzi6ROJZ0TaJ28lgNbEy89fz72jD168xA1zrLXRvZaS5ts
L7Ml9fQ2TFszsqzaDFldq9RpIcMySO3+fnLU0SQLauWNh8XZEYGRMoAcT6XplCG5ZZh1so64e6bi
tuY+ZrX4Rzw7+4wHj9s70yhDo5v0xKhgrxzu6HrknF1yxeFUEf6D7pqGgy0fk4RzhuCIfebxTPZM
fCKAH5ApasN5DJPe++g1+02SYROl0QXz0l6m+oNXpkdbY8hQawXTXPbHbGjtHlleepoIKt2MC41q
4xRBoWoSGQSKTosYhL8ISCr9bMEvVhpuLY6/9ZGUoVlwYqFuw2GKA1U4g9h5SJ+US6pIIav3qkQU
xZsWDnz08sboLsOIVlMgw9IdZs6CpX0Zsy0pzKafxL3a9x5Jnlh0unOsj3TgDWDOKOHE7CmSV9hw
ue+i5syO+QchLGNrVM6Ll7k69mhC01blkEYosLPUKTGVY9XqgSqtDPib3l7qa0OySfTnDWT0UJv7
0Lb5NjOQgDF4gjW2t0AERNDG5qSZOo2TTD12zUTzHL9mqDhN5nw2M3q/ReY7+1O3FrCCbxblpSry
Vzgqvppbtn9C4IV2HAy6IxNMIOHMBwNfF7VXUnteXXEdpfXK8pyNzdjfXfX3hdyqvE4JEBbyoi/k
nKtqO3V5uI5DsJSsaXCyG71+2ydsEuzY1s1LTzxe02GDtBP9UzXTgYU5B7OV7+20fLCESydCZWAo
r1kvZU4QqZUJY5+ymwAaJb5lxS6MRAxzDN1JkFriNeeRdZ5OLNtN19UfzBruRrThTcyYj7w//SlP
KBAbx35Z6/6ppyqwqv6gSTI9+nV/6z2zOn3WEu0Oq/ZLkjiXyNNo79XJSsyz6O7lggBFl3PLFfCN
pj4ZGgEQo73DU7puGkRbvyfViIC+rdXNF6fCNJeW81dcP3lZ90Ie955B7nEo1seq7ul0SNfIWQzk
aAi+qHGlQrakzBoS+cIz1fkTJKrAeYbcFV1Xe3l3+2rCNGj/2S0xtDE9mI7myliCCOXMocO3fB7t
+ATj2N4g7ZexiO+XPDoljAkHgljYR7rhUgrkIF7IwP+XL8k20ss7hYyghq9cLReLjKgsd99QhO5V
4UGtMnJR/X4YvhgAb9JGp46jW7TWc1TU4y0h8rtGyA00od2j04HLZm9gH35RfS6SvKvFeLEZu6f6
dK5bdewkxh6yvzbVAMwBWo057Fz3+nekg8m4XMKWqZ6H2iFEmZxGIgniiYLU6/8QobvRPgBYbiLP
3grZB/UKfjYX8qRxmDa4mGG47uKxOC1Tei69apcQRN/VGF31ziLAJSpfo2Z4MzXnWIDXJKP2RpQe
GZv2/UTBgpzr8q66lAflALJU9SQ9dl0SRJbO3T8s9k7ZtLOV2iUmgkCXvUVQDiwHPiaeChBM0GEb
X4ua3Tq5ZBB+sg7oEX/ZHm/pZ3RDjsDkDxkagCTu19PmZwvCz6q+dMQ0owEiBtDpjZX8DMfE5ADF
XMb7YuRJWWL++ymwgMm1NUYTqd5lffW4ceM4DiyLiAT1U2NNpQRuANnX9G1U1hcCDcLwrL6pGp6w
kQakIO9w6T320g1rKa9tIf9hviDRYzk2o/ZL2RoOEaqa4T5OhAiOg9qWjscXXgV2NPslxzAm3jV0
VuvgIB/SWlI3gTrF+Z/IsWgvKWwpMsaaT0fptMzPqumlpY/iLt8azrgz3OwYWVi2pHa1AIcLjZlw
PsJs6k9jZd4UYU4IgiYMtkZsM/QI8s5sovqj6awsis16cS+Kif5Y6w8kdWJqtXLGxutZctIzO8+D
NuOJ54fYjQVRIrVJZuBKIbb206dqnZ2lrVSK2vqOIwSlVuy1TjtjgH6YACFiDGQMY5ckINJzD0h8
WqTyl6x7i2fgMb2k+Rj/TOoB35nBB9q23CdNdDGAybCInWqvPnUeEa1RqejFDVsytxiyQOUEGOcs
ldxIIfd2ZOxdE8ex5xFP0+rKN7rC12Y8aIxCCOPqeJorzKWN0Igtqk4zyZSBWNR7XHdvSTFw5MxU
OOwd3WkF1+ItMz4R2aGlMmeHHRoniXou17I0Id0NdEZymvMQbf21ZH/NxpG2P3mkPJT5IsIiEeJE
1/psGxaefPgzbh4MTbmf4O73vRV4vh4/raq+TnKB5e42gyvuwFT7jaiI2kva7qFJvc+l9GZ/zKLn
1CFFp6EV8JJLc4slx+y+5/h+QZQOImlvDLkc+9F6pGygedc4VrWNV053NVGAuOikQeIs8OWkTScL
ZoxePaiZl03saKydb5tkkaYkAwT+ZaW6q8H6ciIy3Ce9fCEDgrfMxbTfnaqOZp/xpQ7hleRvmG8I
RkLQJoiNKKOabqnU6/249ifXUU8eNBxhQQIte+muSDsZKUEJHRsxXTP1FFqs43HbemX9iOBZbxQI
6JJkpypZ4DD5ilAM8AY29lukkX9bEw+mDElSVvJCseobygxZnPthUOtCXnKymR7OnbHVlgPo4S4F
dN+UToJTxiZCJ1HeQ4zDxMm1tyYrH0lMnig0xQNreIh6cH4WIz2MHfM2SSQsg+6JUgz6I5mcYue6
XTg0wy2jkbnLzDrRXEv9Uv6Sa87pxSljcZs2eX4cKqoF8clsMuy7DHXwH5H6AReMHxX6eW7JzGNJ
INtEbnna8hLZGfJ1p92vRBVtPPiUIErmOtDF8GZL834doHMiaV29xqMRdzSqsyw62gyYB3DdQBnu
1ptazt+VrtB50kXyVLKymrFxT6qIQ3DhojdUaLP17czczDDJ/3F0HsuNI1EQ/CJEwJurCENSpGhF
SXNByMJ70wC+fhN73okdDgl0P1OV5YIC4cFeZCphvU2oFasr+cwospXvlim9ZgsPUyrbUWxLE9bz
tsGfnekvNRnUgRTa13wuI49S9BzndiAPSK9YG/xEDfYzWPr3Vsps6AttRv5ODJWG8GYxJpfQMF4Q
4QdpnFA9oANjutYFekZNM/T0bUkN96Unj3Io5tdKdX6JpKAXYOjUoTWqYja4kcEnq2B7IVQ3IszE
YOkq42Iytt1UGbMTSx+QXcR3fGLfcZ77LQSxvtZvamG9koCJZEmL4T61WwC1J2td2NJicjrnH46k
3GdL+xpk+2WWJkrL8HnBVcZUBJe7wKRh1kQqhEy1ewNycKo2zEFHcU4G486aj+VBjFugMH/N6QXj
BfjgFt9GbcUMmcP03ZyMS1NpxzBJd/gu3dJEZcieSB8Fsn0+g6y8jYmyzTmoo35danQtjRtfjkqx
HHYceIbk5bbuy8IEawATaJ4XziWUKKW7FMq9XrAbWGEX4Mmnvg/d2KCdACwsi/YDJcjEo/Wh6OHG
7uwte089UFUGRmMUHeJF4UKMGGmzjHkruQoTJQbKN+/zsGB6r14tveIBkml6WmqXyV6OcbViWM1T
p/eHoUFp5RAlULERz4fpt+VdLpcUXZUic3vKb53GVcDs4d1YSLhQe+mFXtINZQnpfN5vJqzXs3wt
hLphwFGtOqaNJEZXcKml6ITDeDzaiXbQhbNFCeEqOsQj1TqHusSbbXI0Z2zPGbuPIzMb5IUJ0++E
uQCNhbIN0ZzF1eDb2jVG8B+NEEJUlVo2tLQHdtwTY7L0gJusenY658eYtC1u+j0eQLyHYYZlAgWe
+a01czCF8MjJENuJJqUkyM7wUH4RfnDNS+H7qKOUxJKybPqkfRvC7rqE703CfiOd3qJcXJU2LX1L
BZRB1t057SZPjdDZZRp1M1twIcvPZjsVzNMyEDKVvdHhiKoFSnW8BG44l4s7LzinZOfSLqWHUcab
dIvfTiReMY83zcTIV5ct+yQ9RrrfFX+aOVy7SAmDJpyoJBDDYsUqkEwjy2fM1aA6XkxqVvMazc23
nHAbMKejS3di8wnltW9o5SGyu69IRVHm2NWmi6yCNoR/P6tvZ+w/mkHJ4UWqHo37VlYUwnlQONZF
8Q8LGMViQz3JE3ph+n3lm9jAStkPa/WhsTez+62lOM+rCleUqq+bqFUcw1Od8p+EPFbuh53omoPT
J59MzXZJ1TIRYdlFQlbsapII5q5+gWu9I/CNoYFxRX6pbGQMwGzgJdln9vDbIMUgzKeigq2DQVO2
OvrJklWn1LL0rZxJgSfSfQ7TrlTxrSgLL21Elkkk4PqMO9Oo3vI5XvEgaOlnwlEyFv4MjdGngBRO
rdZvGnsr174eYa9Vv5UQvSD/ImPLUIhI5NaAZgX1dRYS+gWIlYN+mwRa8b54iUK4aWl7Z9OHtg5Q
L85aJcwv4zRfFs24obQNJCvbWRGTfrTUA8+Kk8+HWVCYGYn2i50XwbA4DSENKSe9n/Koyi3KwLXC
S43B2agzty6/OA4KQ6qoVmNPLhcuA/JZ7HaUYJ6nfCByEBiJmzgbbVzmS/NJAlOxISBi5QF3XHB1
yTfHklqlugXl8uSwOGUrAHqt4DhPyu7X4FxmDaF+qMrw1wjgt0V4p3/b9otxWmLtKOFWApwvccNT
akl4dTZKOb63a2OK4ubNLFEAYbP6SEbGLEp+qx1+SbNih2ONT4jIqFV+NbqWLo2MIIlwPk3SJiyw
I2mS9VbNZKIAu/vqqt4TiXDzMOTuHRNiK6QK3zvyHTCCnpiAhY24feMGeVb8VajIDFMJ6j5bwJ67
WLHkTWQp1Hy1Z2mpZySsQealZz2N6s/oHQDBLVuwjMtWrtODiDAK1el8yOfcW3Sijgdu4DbjRxbq
EaTDTgcQo8ZE8SQZyMewyZ57CaXgrFMaakSnMBezPxtcQoM+PiMxqlGPDODo41XpXZbDUwxU2RbG
rRidq1JzDEcxkmDCCKQzySQOdUJ7AD51MPD/VaLdDxqWArlBefPDLHsjyUy4M+UfjTq6LAkbD/jl
66T232VbtZiKQU0YkfRuT+atqAWlT2d485j7OH6RzpUI2FMzcCg6n/Cd00iN1g8O4NdqCR+F0n3P
ITMxJix7dfhuNQbBehYHCxv6EI+kOiKzSBKTSA1V/JXlh7RgTLDtW0kHQjBiUCzGsyZuhcU9paAe
HxNaYstRDvyBa9hTwyNbOZuy+Dfk9gPfJ4oi4COBkUw8h4n8nmbKaZyso92NfzH5N5zSdrU3QuNe
2/X3JGNIr9f1l8a3G4WgFuL4uRAYLU1na9NsDCm+xZbdTNVrflyqj1yuf3HZ7jPtxcDmXzrPAIPe
S+YKam/9hIn0UvIlt9O0N1P9bao5tdtsRxT6wbAYEYE47SL5bEXMIaTimAgWrpSxi925gJJ5ABlw
Ja0rL68mi3UCHQO9Z3wvPc/xqeFfp6B4TKmhHIETI9yCPlqPPHyQ1kZDiplWDR/9JQdBObN6rBCl
Fqhil3yLXQdL2eR32O1FPO6ILnajji4NXfOocGQtjafK+d1ZRTIccgqd24IzLmeoXHbsLFkFb7S2
3wyRfpEZ4Zd56qHXEtHnuBq3qleV8qRFus6k+dqQoNIDUeSBechTul9WIaFUBJmJDl+bosOQfBop
m2Feq4aYAmavQy1trangxrODyiiP+qIfbf0HMwa/fPqUY26dNToYq3xqrUfK7sA0kM1FP/bibEBW
3efc/GQVb0f5qqUHI0nmynbsLL9vcZnbPSM59YsttJtOfZAx5ZCjr3KFmjvCjQvW3P19ZPo0cwNW
krXNEoNBTUZrEgaZxvNeUlfJ6qfJLUPwDh8txnHIIoOp0gN+xbEsa3+OP4mN9Q3L8ieotKvMG6E7
1IHC65j7FTqbTMtZeaRPE7Nwe1Q36oC1tyn2EguKvG13DWv+aqX4RgbzJWk3ErfVMmIb7EOKal1B
39c7TEsgdgmW7ezwUKzQG1Ab1eVXqaFviHBjMjCKQh81HmbUKGilYa/KH0aJQGDRniq4SYmGNrL7
kLQDcFN+fhgA433GCDNyGGIgp/zcVTOYWByi8PFAaXM6c8V3Shc0ADfBqb4M1YPI5U1uh7Ubx4eu
1VHWaj/NzLXHtVIXDOQlGm4WufNNHQ65uJViK+Nrc8R2GXbp1LgGUaukzjPN4dqx8iAdM6+Kvm3m
ExnYEWO5EmrhyxJ9w0pLN/cwSF5svfRNxApOHP2z5egwl9qfDoJ8dkA3S0q5GdTBjYYITqlyN4qK
KXLrkLhgoXgaxh+dczNCjySPuUcIHud6P/tFw+B+UnHmtkQj0IRGuAPrPbySg2bbZ6OYaaAyDKXV
T9vOp246SpB2jDF8Vk3JmxIC7WGOJexwp7kNOu5eXdzoF1Lty55iVlvbidlcLXSqMMUTIO3osWHN
UM+KBjsmQ+6CF5tl7rLOgTqiK+phxziS9QeZiugk1aU+gLDsdfGURcAZJcW1sRtVCynIkbVd+s/e
YfBpODshLkkPzA1VU4Y5nYKJ+frS+Apvkd0Vhw6LqP4SxeD8Gnp8pbcuGK7JRDj1zX6U7yrvopK4
uuRz4DCl/0wjMMfKW1vtpJj8HXERlBfReepey+yl11USE9a9xTcCpqeadZCteNG6NLB1T+kRuBmP
lO0MjkhjyreqYE1fAAROZTcZ9KfJWptOsiSq3u8i3VsgxaqoyAv08TKYs4gFBnAiXpdvfYQiluFU
XnHS8Rxog3zVSzIOrINs+XRJK6xeib+W9q2mIYoWRnXUkFPMt5tCwsK4JiG1anY2F4SGhl9o/jr/
VIp/iOvy5lDPnyUy6hqL1xL92f/CGqdn8lLSnTIKtlEtKlyCEANgB20M2BSmZ03/EhnC9ontijn5
bKeZnGGkC0QbwHGMmqO1EsPhgaXgyqAamjSJRu0XNpHRd7N1R/THZgcrN+HI7w5G9Kvj+9OII+sW
d5SQwDgvtrp4fTTtSaF9knQ88lm5r7gp+sIhtaBl5jh5Lck8reZwTuDiwZMYaVh8WMYy0PSamLue
+pOYPoq4HeE1TvhjGqTlZS+qowWTLW0KZhg2++vZWFW+RPotxUF3drxzDJ4x/zcMAvEGqOabE0Ni
VbMtKt99l4B7NrPfKpU2fdX+DpIBeFBGAzA1PRo+/ONFoVzXmTWZHjHNWBzDaVjElx7Bsa8AkxIX
hod4JdLn6aujIkAyrPTMPh+kABQbMBoJNpBqsrYkyrkF4wLKPldL6N1snzS0eL70oYCtfNdrVHkY
EcbyaVFvOZTKVk49gNWY/oFMDuY+7rSN3PZni0qSLcRbZVAUsBMt42RXyCdbBuV4741zNB6ZSj2p
tMXSQlTN8m9iIzXo0jGrPkYFJwTSQExZhZG8dTNnew2rzayfjfEmpZJnI4MEOOj2ibU3kTSCK6Nt
coXxLmMkQIgCxuipoElj1qJX28J8hwRuhZiRW7dk0llWH7301qEXUZLOs6QFMQ32QbC9EQFU8vqW
cV9Etzp+GPK7bD634csoIuaVLzP45h7XXs0WzE2h9inznnrVtNjfMR3WvzOk2uuKAzQmC7x7Uc8s
BbJdNzq+mvHukoBTYHs1COHJ9fuwBLpzrYg9Ai+KMrLaqRi4R/1baSa8ry96ChooIMfm6CwfAkMr
EiQPcJibQK8eaMAZeJbGy4zSMXm17F2u3OzqHYKpQai3APJo2ts0vJk8gEa6WxQfuQ5jCEQdtvJO
GiazC/Ql7FX3q/xw1fiKaDtOgHBJwHpNnBeThTpmFmfI3WnwGbsZqa+h59VYeSZ4eftrSO6SgZDU
yQ9xQ6aE15EUwxMqsM+GwvKxHx1qLlSQEetd/ZRDWyBVj5md4SvpfHWqQQLxDGXM1Li87Mh+Z4wg
SFLg/WEcGSY4l5HlYqx1XhdtvMjQMJWRIZ3U74c22zcCv0p9qoqKvv3Gpn4POf9cwLCJK3kzJcsG
lg8DhfopZv+pZM6/AkGmRQUM9ZEBvuXq85FFILxdhXwEfocOVGbS+gbJfYwKtPbRwKvqdh2RWYt0
Fvohau6iO024IfOgzEvfVvPvJOZBlfrqeZKwZEH6Y7O70dBehrkWgMf9N5N/Q3ya6WdyFpTo6y1k
886IWDFVDn2R/dm4JDpDXCjs9hLZNi3uda55tlHKtmRPJpiOR/mhrcV+7AhRkRjMrVHB+tyDIW6w
S00b/j+7Xv7RbdmVExMiFkVQPf8smnwdy/Gx2MlR6ZbAlBiojQ2nbqV9RRZOYDhfS2E86RJka9bs
WFTABIecLxZxOCJckKelKja630iqz8PsKYwp+o+JXa/pPCUqGAAiFlmkzLu8wUvyGtbUS7Pbz81J
myY4cJe1WYZfsw3n1CO/h2DI7VKITwIQkZ2gee5KT7LGfUYeQdQXb7Y8b4RCCOU27UaOV/HUlsO5
S2FV87YeAf4xSStkJn+y26H2ZGH6Xkjo/TUjGGQAqvrvWD8vVNlWcVwWNTAZ6tjzQVJqb2xOEcwY
IRGChbeB3fWYykhZu5cccxOpBaEKNXYvhX5FU5jN2gEl61bUJ2zynCjETPWIoxbkAYkhbijJ3ZGU
qKZnFJfJZ8UUwdg3r2DODgYqMKVD6G+94o/M16RKWlwVBYahSZfakR76wFKLgixU420GDqwUZ4wp
P7rknKt6okQs4JIQo0fWtGYB8Zp5WEG3UDEBF0HEFroUx1f2qGABViJQHGgJmKlW3zHD9wggIgPy
b2AoGXfvMhXEhMUJrZgT73XpvWR300rfYip3qvxjwgbOBXkNTCTa+jjWDwD5vNyU+Xq4F4l5UFkU
Y60NZgEXnYn7aHNmMr9MxMaxVL9cke8wskv+WLykEDJmv9ERuw39tphwXLfxjliqe6qH16Q/DvXi
q9EPJxAKcCwXAhngQldlUnnn3DPSwdD1XQE+ZxgvPZeEfCtba8e7L9vfMsVg0b937aMy+O3yXda+
xnjjE+rPNMTJ00T3EPVvjgYXiYSXGQLt+PBXrmgEEVNCAfKlukXwlEMXb3MdGKrn0JebNWn2ODfy
2nQbDaeV+MDAGav7NlK4iqQdlqWpZkyK1luv3+b4sUSkAkX0IjF9YXEmO4y/QvMafmZ4m6ehR42w
oKq39x0dTIKrLdHwNWZXfHP8PLkX4p8cR74pMZEVSWCS4lwnw53T117djeVMo36RKtpTRQqgnHpo
qSypPxYxWt6C1t3Q3kK+anSgZfllWxcbll+DhqGsThNrQSd/dM1Hpy5uZ/JkT+8i3Xcoqmpi4Fg2
8GnmX1Tk+AoMThBru965dtpuSU5eey6qFoW7u5tadxZIm4V4MkCmsZLdyA7EKdxYydz5Nbzhfmbb
h4GU8EYcegsRP+p2jTwJpcpPUZnT6tNKwSGwq+fMroO6NYMQt76syUeEkHduCehxEnviGd1XshOD
5mVZuBkapi1xuymxY62rKzwlLn0oet6jNRiXBO62gvrHNqZtwQtecQItgO4WSSUdRt/jVttCXjkg
MNzJIWVXnT3wH90SogEB9G6mZXSb2QEHw+AXUFZMZFbc9k9Eq3pJjhmDt61WmWCauFp57avxR6bc
5XJBX9SFO9j0bo/4J13wFmTKFnTxbiyci+z8M9LkFJOSEAlpWxvAxFtKXA1sATf8rBf0njJIWdkt
MBdqaQJZKsSNOLtNZN9Si7MxgcoSpgGO8QPm1J2J2XpjIb86LSHbYKVE1ULZZSbp+2hajDgsuoVm
JgqDdVX01Ns5dMI8+23gzpYDnMMxOWbq9LogrMqskpzN5qTitSyGPNAH7VNK8fuUj9ZY7nn+25YR
Yi3xNgnyiBXtJcId3mjpsxxHJyG6XW84f9HkvMXsaNta5jdZr48zODUvyq5dwXFpyD/sT357ZXRt
U/GGWZDuV++B6YMrapAeNsgAHmWFvNBZp6M2RVu3QPm2lqDNBg8FhmvrxfM4Di9V3zzauWXsdMh0
qMZIBhyIWYbpQ5qXpBFoS7m3mSvF1XyLmaSRwh5YlnwZCAZdKFw7eWTuq11x1QQg2Bhhv9fFeTRZ
+zt7Dmz0TrPiQSr3TSE8fRr3nCdfWcJn5OCFHPcLy+CUxXgx8dbrGk86s4eUz2FTouRjuR1s/Zgp
q6vwqAhnxOWkUiPDuZO+YlxRvFfWx4KkvVc/qYByIhes4mdGcJunkhtP+WvPYRIr6QeATg5BPCVy
ZD0lsOVM/pep+oZciAHHb2+wMrZyGsmEXsww98PygKf3f8MzT3gPlewlDj30vr8RX70Y5I3BJYa7
HX4ItbVlpEGLz6oCo1KVCgz57zG/T2SajWbjqzjaRGgiWSRxQGejZZvHaa5ObZW7aWNiJcRwW7X7
petgZepwKknNmPrHiH2slMMXsdSewiyVO+kAc9i1WuZrdXxWGWnYhfTLKPNhZK+p85M0r6kE3TQ0
CDYDfK0Iat3O1ZfTXBv42HqIRQDpdPmz1rjPMrTqhoJ7gLd9AfNpMD4oEWdYc+tWVuk3FgEqTrrl
BnHFQlpgNh6SRN1nPc46cUHMsNPj1zWxg4hJvtqE+izzECSdkhxB+UC+TPueyBAFhonUtx5swzr8
iQ5SMnhN5qDjUS9R1mxVRvMrhigc6YxmaBV4hFVpL2yqh0HbGwmL2DyGc+XQUVOh6Ul31Yg97Wn6
IfsaCmVTafsmN51EVCLJcX9Q8XnJai/PTfJLlgTn+D4bkLiTKtRUkWdEmGTgpB2H3MApn3lOrYHf
jHwEM91gAL1gZktO9VRcmHxds7DHL2DdzXw9hNh58jc2CNg6Y28w11MdM1AW+UMOV8iMwQYQRovU
0+WnaPkyPkIvoWUuBuUiG/leHobfbOnAG41fGbY+qmlQRvGErGEqQApnWmY+jcP8DUzw4kzDi+BT
boolR7yB73NVyFPQS8uKjYCFUxSG31rtzJeQ5XcUcd2pnOfwFDfVq60T263oHknfXPVFc8sBYZF0
1P8bNPgLhNJxRJQhUr1Mu89x9IPv7SHF2S8wkAdjiN9piam9FU7PRkCIScib86yG+jWtlS8xTLQF
GsuhahaDpzUC87JYOhjmmRHAVnueYWGH/NR1OyCJNtqazr3KA8fAfpBMJzNOO7wh0o+mZWcSbpJg
SSaWW+G1oHtxO77YjdCrGoNHBG4l019VweE7C7yrcD2VwJmJeTBW1bRWhgTk8G8mDppgR8UZMBhx
QDSd+ldneNqiXEO9MooXC1c9c0sLS4dsSpuxUhz06fVNZmK9ToXOKoC2DaBJHhXD+IiSObCz8DyU
uR8t1b5v5W2scvqW6t2mpFRKLVAn6wVXv+UqChwbM0Mrrl9bjfE9YVxPumj+KhkaeaQ+IhCv2Olj
wNLYRg1Z2sdtee8oep8KDWwEfj1NiDc5zYD3ZPOrJievRaubbjmYXOWgCRPgDZkyPOMVBW7ao2O0
gnINGM+s6GTYqIscC7YtC9NKZidoFBJDcQvHR3YYSbVNZnEw23HPwmYLy7oK0mJ5Syrc4fDucb5Z
7hjRRY6SjzDtKnJGj2GN/tj4tEVzxlDmaalzlieGRhOCEDjqYTZ9oEg51FXHBAYxLyNJLbZIb2sf
BCMc8769GAoNKZ5LPOiydVCnhaWj6k8kZ7crVoojjnnIq2DkjvPlWuk9tARZ2TatuRU62wZmFNxn
Tc03PBQ3O4ouY4LUpFXt56rLv+KEwXFHFNPACCBe/tiF/NMbspXF4PZa/TYa5F3FGrO0zLhV2nKb
J1Zl8DaIoTCzgxRy4hCJ65iaQv0VvhFMdtGUmaF0djKL4jHm8VH00eeKVtLEdGgZf5KysYuqpfa1
YfBDlVFAw7a3lL2O8DAtUV5qNfpj7gqOa9oZsr7rkI5iBS1cMWn1U9dTUhQUOvEgMQqUXzLF5hRS
t7BlsC6gPau5X4m6bVt7l7KpLaRpD9Fq28adCz8FYWBPjcoWAQnTQZLAAeTma2OzfFAzTE1rG1PT
xBWzdZrVjNYrCTrgAmQHkrphsqYtd+Gs7Inm8O06B7MOOMkB58jyh62PnF0XNfTLGiLG+N0khNSJ
LZoEb6rx/HH7kT74lNv5BurD2FL7okZkfnFEah6QkbSrbPVkGv0d9tNuGosLyc6uQZUZDYU/KNI5
b34T5GWjgQocb06w4oXjsLzYc37iZNqqyfA8yRA3WMdIlfUYMmnbVjdreTcwi8jDXZYlnxSCf7a0
BhRaV6GeARa/RBpAgjF9Fmz6RIq7kpYAEf5mma1Lo2VebBbA9UiINJE9LCiEUrveW/OM9LfaOM5h
pVgRFO3i+3F7C7MBdWDpJIEqWRSGZEA0A/e7jozPPETJl7qO6aRmr2EeQ4TTOV/lTGhRD26N5UMc
a541U2DxMpagDlOHnZnD52FYol+XiD6JzV7lvMmsh1tmBgyheZ4JH5f1fR+Gx9LWSPiCjMItOph1
IKvYG8LfYnD8Kdf9RpMCopq25Fh4pYVZW1cZGmFTd5iDZ0zu1t6o4pak3udH+9Pq6jOX0GENs40E
9yhb5IngEYQXFS7ZNgqZTWczL3b9R+24a5VXtSi3hFU8dSbih9hr8uzQQniXs8+sfNSdspFm/UOb
DjNOzAjjk0Eee4bqnzCkTSkooRsGkWiLuFp8yHU4au4JwPASvWwiE2vP6qXvsCWkMEMqjT6QsTE0
xlqF1ZW3w1VFXCUr4M/zae/MMe6JaaNIBV1bi5AAwTMAJ1s72MWHzUSd0B8moKUHeSHKL8qSBzJt
nbbSytbEkFwwJ6mo0YAgVqAxJqrcslP9VWrTCg5wPBQz4JX+2xxflXXWa97WUdNgk95IJFxkOAdy
NbaaLG0WJ35uqfsrbCQROV/h8N0oz5kw3A7pnrF8E0W5iWTlRyWv/ildGBmyXWtCNss9lBGzcGcl
+lKy+KoYwiuT9JAszbFYgOVN3PVtuCudwrMjjN7JH5KrVNQXc2y/pYj0KOFQDaSscvGpMJoiJuLZ
tsk1xq+FT3Bn11owotybrJsObQh+AfEcFpL0yQ9RbDnk/CCj9y3eYisDO1R/DvFbYROaw3xFQdSr
goiI16plXokCjMFHSlQdfx5UHFQAB0mX91GM33vkWJ3nfxxhLjf4oemig8yKelhOkfbuyJ4k3gCe
suoDXytH/tRZjyadPkvTIrKyxm+tPZTZ/ON03ENRBuAgH0UBUImNlVpcFPFnoleJaGWAZOKvXrUN
Tnd0MC5Y802m0qrWn7WqtuUcekhAvdy4k7O0EddGigjbOhYMw01err6GbwtADhGdqrxOUvkIW/lL
6RuM1Hhg0FLyLx0aUDkLzA38r4MD34MvC2bOdlLbPyGp30A05nRiNRUzTCW1gcOCqVqaEdm07Ds8
08xjculkrTmxiJQF2rCG4WMn4UbhvC5kJFVdvl2WdeMzPZfQ6mcNEAib8R6HdqoVRxnZmY1Iamxa
LEitS5YlumGFxFowM4D0/1LdQRXe7G12ITzpPY9gQbL0gMGJRBse9Ue24Avmp01YcosmWV1ADzJs
eC2ZbuPaI9+bHMsGmkMejMAJHP21y6/44IU4UhvaKJal5zraJv0hRe8Lv2JxthldDhpYct+b+Vgj
uotSr5e3jC67fsdFLcB0nEzQK8672ryay3sxIqpDu7vo74X2a7AasfemcbYqxWNawvmV5JueWSi+
L6GdAUIuEtAu+F6fCp4708dGypIQEgncbIWb3QIDkPP6IQFAUUM5163pXJPfcipqeAiNr2J+z5me
dL9gaZY0YA6gnLPhoI3klHi8SyuFvvvWQbTDw2R1N9MTmvMrGAFyB26LAd8KiG3+HOrY2ag1g4Jt
XWLGgYge00gJEh8t+F0GwO+brX1NKQoHV3FekPptO+sfSgcMuCqAtMIZdpG6GJ6Vv9vla8+FSeSU
l0AjY4NmYAOYgih61opgkPYMz0n+9qq0phkMdNCAoz0TI3Wn8troMZI5CW0MK+5/Unsxk79qujQG
lEtYbDDiXprhSS+emhwE6VPd/UhY2rs3swgs+UhZWCzfdr7qKEEvAQshKUs7iJLBZX0n4T4tLigE
Ugkbi3iIGlGyVxo/SUJPdDAgupD2hnQvC5I3ACi2Dc5plQs1z0D1W2NH0kxuu/roq80H3asMyDFs
ACxC9SAauq0eABas6mpJKfxs+pYdEFNQCIizClRqMMQAvHslBsfpz1K86VzTU1nNSw4oR7mV9ucq
Zres49yy/33PUYPKwlMrf7BPufro18DJV9AuC2YeRDiLOIJgrItPeU3JmL2EDb8KfBvLRESTACZb
xrIf5Il9LMZoZ0rnsfArBSNLpJ8Zo3LXbEL43U8tiBjnPExAmok6xOBJSldCZRWU5r9JJ8QwAthW
7WOmFDl/qGc2JLHQSXtj42gR+dPsJy7K9I44qO92Q3wj04NXC1Ne+1UKd8RIOQZDg6cNFAa89fFk
Vq8Y9rkuK5TLmCgiVvzk76LE5u3pGdm/128lIT0GJ+s3TQ72qZcZdUmI+k4j5x03K1OXe5edeVIs
HDWOdmLonNbwz9ZIFD+n0TGo2wQYP6yyFfFDDNBjT22f5eJN5dNl8SWrfgegB1Qb0tmogcQjY4kL
P1Z3qdj13UVMZ/x5ezxdjR6wSBm5xOMRAf8PoM/E2mqQioH2M4M+4AC7A6dXV8PjJJ41fnSH4j/r
Vnctfs6ESAKkVAXMFSB6Mt9ViofK1b6hCknRHsCOsrxM9qs0Ev7gojCKTxIKsBy4OS8OrtmGJLgB
OM1WSDbhk8duvmhMvxR6hjZbHpPkheuxhu25Lo74IJFhBgaeEWdwx89o+SEnJYn/WJ3Y0ujJeCuI
V8R3HhEUdJ67bcGUF4D6+mShFnDFeu7VDwdtW6tQF6p/nRq58Yy4Dc1IRK0vT2wd7ngMxvmfJr0J
lDSV/qstO6QcbeKXlleSTD7brk0V1kVHZdgBiMlQA5Jtq/GAZPZZiZ6V6lZghuqhNs3faXlo1QMc
PJqFI6zF2vqembZbvNDxLRc+Llb+9tg82c4jyn0JAyZjUvGX8f4TFTbcHPCn8tZkoT0cCuRQFFqO
9oKIurPEivIAyg/zgVIJxex8nK1HQuC5wknolyO4CZgi+9L4zLsPq/bH6JSlH4bmJyENN4i5GwYy
/Idt8TnzZOoB/6laXOIkLyEue3sXlyxaCjfT92l8GHHfSfp2Qq6wKO8QGHqHRS5EJgJw7B2Ud2vA
YM1MTVZnX1qVr0QmqhiI0EctjxJ4YS9/y5gBu+fZOBKuTqroPP+I+Ksn1oC7E3JB5QSzukF4Fguq
c3yaJBisbvR/zMPNfINpuKJXopTk/DNONlYL4lJo+m9j8twMW+IB9ZSuiDEG0yoiBC2OvyU/M9Ia
l8Ogu/G6Uv5O+55R6mb5mBr0ZVtezmjcFJrHyAqcKiJrM2JRjjRwkE5F9Cjq9zpmrsy2ZiyWF2zt
TYerlpkhB7QT/YvVL9m5lzlwg/U2es7YkzqvjnZfAFRa3sp6kmLQmImfF9d2eY9YSlnSeFCT2I3S
yxo9lFRcN+NXR2sWuVm+m9OjGW3tPIDE74/DO1ZaFNMfOeB5+SfRPosGPQedWhe99fUH/mSMJcDT
85LJLrofb4p2ahdM0bvcvUlqsrdVeYPzj8fOYeE/aa8ZMs5W/4+j89htHImi6BcRYCimrSRSOVuy
5Q1ht23mnPn1czjALAaDnm63RFa9cO+5/C06PpD8LfhhQV7foqHfWR1ez3FRd4c0/6YEWun61xR/
CBariIvSf1HgrRiVwPY8V5ANVajgJXUWoHVPPw+G6rJJNICHIxVt3gIIN8ow+91efvfSu84ZpmHV
JDjEAkYnyLx17AdQlZrpLePgwpMJW5FTmRSlEvUVu8GexDWTAkJ1fIj+OVpOkyaqytAn6rDZT0C+
JnQrSb7pb4mhnllb5NI5011JQX2lPYxwXJjiyMZC+zDlfxHPYYIbL9PgCaG+hcH8CCwHW+zCkr5N
JEDgX9TozUg3dbxtk4sdPYR3xkuEMiMB/6M8jHplNXuU5jYroY7jkkOR/b6McMnxOXlD4EuV7mb2
rW0B3Wh/Cl8NAx2YoXu1vstIHTP9DrsRve16GuxF2Q9i0eh/fHhBdBZEHgnDIU2AiurFnxseWkIm
Ef/Y3slLr579kLVro28V5dQbl6p4T3uQvq6ffojpWAHGV0kwJzbE5ziEu4CWgQa9yA8S6IaK/ADi
gmUu5406rgrzkRUvhaLTt+WVBdtSYt7I9lglrxkZSsMdDEVrEZi7riGOvNpGzZ/UfQ3+FZgF4qoV
NG9Q/S2sHafTHdQ+MVZJ/Fmk+y75Y8bkKkJHtg+h/i5aApGIMA8plcjYRJf2V7MMhv3F44T+quRb
rLYSlXRem6d4ZJgLQC9fSnNqVfeQpSv7Hzs7zyJXj7H2vHC4ZqDOQlk/apaAtowRaB0plGC/MuK9
5LM14T+xl5u+lf7LZvMd6NraaPZW8W4wQpEdsvFKjGU0YBSE+PMYwQhom9EAMVJaZ9hxclw5WFEq
hNfR2YuI1mYFDb0GrpRYB9waE7PmexN8qO8wR4TBpoKwC10FtIkN8q2o2ck3v1N6B0/RJLsKaRzz
noCQlggsf4ET+GeM1n1ztIxvnUupvvTjNwv1ZTB+iHFreU5iU4ZyT7BClcZnGLDKoeFc9hLgDsZK
FrAxAgU3prpth72MQj/S9qgQ7OEvg2iAsL4maYI1mifJx5BQDSbViMhW9DpQaUcb4simZO4fslVX
0N2jx/Srk4SgeZSxhY3LVnuiJguDzRxPMTCfzknuzucdT1XQG2Bx7Tej4nrGw1deKf0rGooW/U0f
/6XV94T9UzFB0YASYcnLHLmV4Bh3TJqOorgoEJQDg2qBx2JibrJq1J8BRqSegqyJPnvmKqW6Ljmd
wCjrMHmjTVS+WS2WsGKvFNyaPRWM2JqcT/07DoKRVKzpnbEAaNUdzx4rz0y7Bkzryo1RfhrA+Gzm
vCCFXoqCeWX+N+An8aaJdqHMi5ExLCrWVfkVRwQ8nUbhTj129u6FP2GWluFjdUAH+4RB1c2BxAsm
28OyBPzlUcU3GejSnxydfhsdWqaflYtIYzHyGNQwA+P4lHt/EXWfEieuKVyzuGjooiBnc2wY/M+6
0/uc7UC0sQGyQ39vIqijDwJXxxY5rfa0spdKU4tcLyjfTOVPLS61DQi+WMwZ1XmJs2VZIyNX3z3m
HdgQ2PAR7pJeDeJcbP6NhW7Gb1OcegjEM6ALffKET5Mz9EXOtAjzFavLUAYtiaGh4LBMwnGZQBwn
DKEyN5n1JDqeeaHBRx9WD234l0KXNL/RE2DAuloveGaG75bJqZp+/ZJKgKR5axlmnwmC1qJ5+gHX
Nz8FTb899dSP/kriCl8pwb3umG9geHG7W8ETUK1KBCCtjhly5+vIGELgdCuj/hM1MV9bRf2o8RPr
NgrC+pSZq+GELXE5qzcVMPzAM32uesBhrb4fOBo9WgRGFn66D8ErTP2PMhEcvZLGQ0S0ER0O2Euw
+X34GwU8sn959q9AwkI81zYWv9b0GfzTUUeo0jbRPrFxuXoakWG07vnaqvmxfkfuaUk3qcDba3Kj
sERu7lH32SEmEjbqLuzSx3E8E5ZFirKOJ8n0iHdzZaTOoJU5VhT5j9VJIh09aVdK5CDeaUM6ttTV
dGojHGcJWeggffVg05bF2o4IjYVCYuDroDtQlF+DFDB+DQY1dteods8G1jRMzda4Nnz8YE+NIXRm
CsfguOeP4hwFtWZPnwm2rKr4EcG+Uw59661kqpIwWYX4ktOgOxJHLvMXiuN9DE1vOgLYa/u9XVxk
f++xzPCe+g3lXNN/GBLztkcClU4f3Syg6WJL+yVQRFlI4wzyp5r4Xv6QPQfDIuh+cnyEzHtAAB59
BK6QUtUn/UgLNMHYWB5z0SW4w7Sb2SiLQf5UjN+ooBFmRbPUu6dZ/FT6mxZtgQcujXZX8FqqUAHv
+nSCEm9HTHiPCisBT1CGzF+xxt17N7uvKPwiZyPAFqx1rp67SM7AEPHKs0Q2h2efwCfYygHHuqNY
y8J0+/SoD0t2yTWDPn3LJT4Z+E2gjSAEjDlMeTrGfEu/iv9vtFdtfdOtcVEOnxP3E5+ezEEdH+FE
16hjY5axxp0Wj6SVmMG62jFW2xHH6oJ4RDm3sAM3Lq4IU5noGul+Ck+e9B7kL6lzmaSJ+B6kmKSy
zy5h/XCXZXSOa5IJ4EWaKFcr4XriYolTpzhQmcLkWo83VmJdiJ+8+Y0R13WYL8fZ18QBGXUhiSob
KnFdPcX1YWx+lSLeVNzuoL1WE4mi+dd8AMYpZvqQgV75zGdrOiNMrZyHnjS26acZfBdKvDOKb4sR
K9Y2q2MFsczNS0bzggmMPEU26lxQSDEqV7IOZcu8b5P2x6glIJwkB2LbSGVEZdx+QV9AVbaN0t//
i7aHYr0FeAYF4+tViimz5sy1OZoM1NMguFou7i6nV4+eQsPIdJqB8z1fTxDgqF0EczbGP2LAURUd
ifrV0o2dX2rp3HFMk6jScdCMB5XUYAIELJ3jfqcaxMbtQn1HIGb/A7mnLX4nFagMrDygG2gaQYSj
REABHD9HthLBzzT+mIgCWorJtDyoGoLUgWAm9p0ti1ReWZ7KdZ1fTDrMSP/xmVXLEXbB5xhf4vre
Z5taQQ658bRrZqOCwDSeawspgqTELRijcwXjgP4nX3UDSlPyFBuEDVjNKoyWv62Pv/Wu+x0/PSiC
ucVjqiFBuZJrmVwG/whvJWT8jgvMnrqj8mS7FPPytbuZPouChc4Hd6qBYpelQpa64nfeV2hW6M48
zW5CCwQK5S02MEguRbxnkdBDKed0bj/0+gjMPpi2BNkV1jNpdzCuUS8BqSrplNMBiLq2kC84v3gu
rAt7yrY5gKAaScjS2lMn/ZnaKXxKHo4abE4VshhWoREghYSVeVFz15zgc5GT4OA+o7Gyaq67xYxP
tDSgh4v8jURaeHHhMlbY5cwdHhGnKAwaNjwLSjCr2rBIxZ2JQGX+BbX6LNJ7Ls+uPtwNTiO9jIHo
oHVg0WfAix95aKYVeWAZ4gLuSehuko9w+7fUHX/Y+3WAEnfgnnEUg5gPzN93L7ZwIIHU/hLavRjW
I3sCTIGCwTV2JZRTqARlcipy3gtUSYvxGFlvJJZQQ6wIXRXlA/UOuR518pljiYInVMPpj90poQOB
Ub7WbFTdGh3CqaVlPfmx23RXECFUM0diZAteoOzGnk4adFjbtCHspBU3DLYFr08wHgLzM9K+AvFe
T/8G6Wb332qxYY7bosZmq2m3sMeFyZ6VM6L6VNR70HgMmJasARj4Ibx163Jv6DouDEh1Z8GWTA93
GU5ejD46ScEWvmVTvdvsv8NiywCD0FUIMfyHf5RX8pwLgGYZK/86DnfypN1b1JGKMlPcqwUGm4Wq
7FN4NslPjiFXdim1FbTjO/NuIvzpxbgJ/sndsWxOORtAr/zVsP52DEhpwmW2xxoi4bUvnr23oGxN
xQ8f17rldTKsfzAnogkLcF+gHL9yiWDdn5R93z6iFlc8XwC6Pkgjzav+iqtLmJ6G+JxN3wJxg8am
q8CusgsYrph7vbyONmZRbuOInRBKl25fo1Fh9KFhMbwU4mZZlGbVRtV3Re14MEQatrndxi8uXfDd
AQsuJ+CWbedAz1pb0Nez/kePN7g2OotUbvkQoceCB0aQFxMMcNhZ+NaQ35ukf2LYl/IhSPi07Fc5
bpvQQk+Pp/8sFx91XjgAOFDQyxY3xjbkncv7DUnukFUucbQeEI0kCngLsj/5EezkJIEVpPMRW4v8
ZNqx5DYqmGf0s/iJlBz15lXudt1EeGK6T0ny8greuEPMhkLephMxOFxHg3rtlQv9XBFfQlxcjNGX
Bh2UetI814odM9ZIjuqXkv2GmRubFlS8nCqcO3lyJI7EAmMHCYVUTAGQkLR55pwyyDLT8k/tHYRp
Kh34yCHf1rVD8vSiwf0TkewjgiUK6obErZS/Gx0CwecFmuD4naJJZm/r/X/LO7x/rcamT+G64Bar
5+l/wZqs1q+pvmpkax8MXym8hw7wcE4t2aLyq1F2P7rhDWSHaxPuIuRlrDvAUsEe/sjdt66/pebV
QLWK7I16idlY9Q64UisvrEi6mY22ZB/dEkpK1MZkhCvC3tdpzKACrUXtwaAMjviZNjFJwUaYfnnV
QU/uCegpxswV5x/V4gvtClbyEBINFjKLpDrqoXrDtLsDMs114f8ZOC/tADe0z/jsSFANqSrm9F0z
rEi8vdL9iR9zPCuGa6hOneJf4FP5hX07ArJM4nWE4ni8UvxpDFvEm1Ed6pinfW10rPHPRrVRtB7H
tNNk6hYQCS2n60cY+pBw51W8sWFE1lP1hiYJZMEYaituxIEgwKjm+qtC3LSc5eMyyr6aaD8XIkFK
vd4ri0zd9dFnlK0j2kBOH8JvRvEkS1OflW47fryask0XWxkV3JYIzhoKgGYdhg/ygXRtaesH9kNe
920lFwA2ugn2KbrH1lkpnizvEMoK49zLwLvQi9Fj8BXs7fRSdTc1J+rOZX1UJJpjdRcG3Jq15yP2
wpul3ypErwHG16nZmfJFkk8dtz7CH3Y3FtM6Nf7XK5gpUIqhHPeLY+8D1I6ArrZnoz7FDNmV+hy2
xxHAV8eggfwpeT6TyG1liDbfsYsm3DJmNiyqGQQfsOsUQsj0l6oXDN2AeLD3qOJ3BQRqbPxjUYle
jGzCLXmHLnYKFoekVhGJu88tOBvPpj3it4djxRLmo4CjDXlqIXS+2qukXWwTXxojqFxcjO6qJ1ef
KkFV7+Kj1B9T/0XGkUowJT1MfguSt3kx62HLFD/CX3uNE+TfoeJtMh0AcvFeDs8gu/WE5ZFyaNBA
bpvyPno84U5hk0vXY0deTAHGBnJ+aYZZUkuoh1FA9RePgXbmTC2LTLQFydZj+mpdY2Uvjcfe5kB7
1EK4M5iyAgqZUPT/RBZjF8VNst9E1o6NztyL8T9q+EOkzbE1vaNMsPpxWHqC1tnK0UDmbk15WAoo
kH/zWEUdN4QbYHlK+Bw4O5KL2d8iZTXKl1CcC+UAKoxiLiLCl+VKqiFnJBmiWUbaC1W0p63KDsDP
b2q5KUNfSpoWZbhgpFPw6CvFO/GcEFm3dXDIqK0DsAVVHS6E92bojjUtazSQdfhhc+qM41XPfvCn
6707IXVjO4qiXi3OrP3LPEBY/kxz0obWHjUS53PNtTE7d06Z8g2fAd+l30IiOnY/kzIubGPaiYJg
8tn3++S/bGooCDXkBwPdRIZaAr83/neLSXb4Qp/C8w+o0/Iegb2X+YK4LQIYHNFfMR9RvOVV9Jvm
n3yo7IUz/7NhDAdZxZq1BAWAwvSg/o45G1luIrSjGrpOmWXzw6Ab9VS2XawYcC0xediZvGGCadoV
gqg5clzhhZK+eDLjYU1IiYnPuNzYxk1iYFmp+7Jcy7x0NZ7VXN3g4YsxP0bkZcTzKPQweb8UIqCk
GRIttXxTxmgaVyixR4nbj8GzDyCh7cqN1tM+Pczin1YbBAr8yMw3BkYR/RdvG0QLTfyxcyjTvZUh
dUCkwZu6Z3BlR2BdX+hG6Nfg5GbM/XKSInY26xB8abGKUpvhKtExGrCNe42LGWCwYp/bluF0RwQX
N2HnsHtQn0Hd7G37U0keM9ksUUD9WtFyPAXBuaDfllKbWVkJarl1KvkcVu1qKH5bBAPKSjO3EQzk
SXnPUBWScLyUpmdkPKPhAtHFrtwMjEz9bCLKx/waNAxh410oALAWnzLriYxIDqNpDg12w0g/VOau
KELWSvcqJkhXo2GR7ya74+ipBW/4qC2ZJfupluKVKZ+LCf3UDWmAXeF4vXi62859hnqBKkrFe5DD
t4GjyTLoPwZHFOOanaAFXyynK0J2S8v7HppPlWncCDiRoIGxd8zoXfZPNpabsvytCIXhE2BO4O1h
C/B/GRYHDwzLlvqTIVy+hIC/CaNbgEcu7T5M9jMechfjaaFTREKMlZILNqbYiT8l/6qWJ1E+reEa
j25hbftTlB5pYMCD9KE7cT/lfxlaqjze4mVkytmnK3W6pg1leevIuHdAKcc71ltJvVEf6M40YzMZ
6ya/icFJFZp9Z9BYFdQMnpFZ5t1XiiLFz+5kpOJov2bGmTUVo8qOFccuG4DhrvzhCk1BHbaifevb
TxVIefClxicv2WhMrv3y0es20+JpyUXh6KLeGuIyGG8yEAjZ/spjTAm3OKWYGBx9ZHyN32UpCA6l
XKv+RorbwnokxSkm9GHYasNP6m1mY4o+Gisl3IzDr43vLkUMyp+A10Y/ZQO4M85mYnVUfNKx/43y
gviFwUBgtKb8lWxE3/1NS5C7EziJ80ert1nwjQo2NG/x3N6sgRV44jRQWPMBR9Ff1X2jr4qz7Tzn
9NPjAFyEqVFgusVA/42/FK9ol5wz603urx6fbYqIXyDFd9Cxst1hw9Nt/d7F/+IRW6sfG1ZzETPl
CvI9JvjPhtY0wPbQEVsrgQIJkkuIyh+yqsg/LCjGqQPiz+rXqO3b6Gb6e2x/YfEtmf90ltgIBln1
C47rOlwHRNCHSxFtVHEfJwrHBv3Amwix+7rtqyC6Qb0MaIgblCXyfLO1hCK5vX8tYWhjktN+tBh/
FUpWBuDoR2gQ2+ReB8eu5QixV7J3Z4YhzJL81FuKOqfA+uWm4Qan41BfusZb2dlpNDRs+39oodZ1
X6DiqpetsDcw2Fcdo/4pvlmzRL3+FLNX6lMr57Et4XEx42tPcIf/VO2zsABDW/z8tLIsaxYjBbhG
ARNTRaX8NI0s38msHQ5ZRcYgw7KXH796So4yvEgmW1SyHnOAgQweA3rnQnlVN9VnKfys70mEHpns
CF5Sek4uP9G6knxoh09JyjdcARTzModKs6ZphjBSeb8qUyRz2WgnY+L53lQGPAp3/A6njRpQ4k+f
8FQk9vb98C2MRwBaidgC4rsWlnmWpIM1POewlHEddo6kuyNMbpwi4j7le2ako9jU/EW0f2H/rwNX
MkeAJ/2+F6802irjhwd7pBZHXyHl+0IjJOGR6rEEoRyznjlCyvI8m7DTv/pVZsOyQgHGAktt7xrq
kIJHkKYrCZ3JOArjNGq72PxIyXXON+i5kStoD2a0XgbFe4VzgyIWcNPCRFM+8V5ac9bqM2NLanLb
T5Yz8bwaGfQrdlbwTyQTYwFTgfe4ehMmQ7ivKQH/4P1p6UHW9wJhAnboDhVh8MATpg1PVdtnCbUo
jwDhDTTTVQWz+6jzYsSGa81f54+WH+p5HlfvcVEmwU3DBqZSuAxUODGLxdG/DeW9iHUK2C8rPSs5
KbbzmHUdtzskJph/U/jIrb8btE+lh2eYroxvGVEzjJVmPEeYF/PkI8i+I/uq5zvx4TdLG14lE2T4
bAInLeMAJUVKjshQ5fOksKyGYAEywTducjNTs9BpJVzQdMaeuu+7YNeBkos4awmmURAkzsr62a/Y
+O2qlTej5koQzfJnjt5yFFcdT0CE4l/NnDTbS7izoDaIpfqtqhuFNi7xzjHy30w60zemqLSlGVT2
r2xX7LzHjLoAER+rhrMNgqwn7pTwVPLAP+AvmZ9NcE0mmSQwgJvouEAsET/V9qlrjd3Sn/aTfFC6
n1K6kUYcqgc+VhTY7bjG8bGovqR5/9GhnWXwx2iz5UGwsKzp4coq/6WeY/RUOP6vNDi9+GF4nHiu
DsBBU+i56HAC5V9R2gsDyU3LAEJ8xOqyDJgrPBKuCKTnLgYC5SgygGCPUUNDUzxN6b0DsZD4N6u+
YBNjEKl3b/CJa/8ZmyYDThqIdjOgbFB6KA244Hx75fM7IxOcz0BHwsndaV9mfc9afvTk2MVH0GA9
zvHE22nlH45OQ/62xpUgSReHl9q6ikQI9+TxTf4M7RlUY9c9O7C0g/02UJZJ6meoFmsjuY4Y7RpU
uQE/CkERy5jRljIT+Ga5IntMO8LNs5L9dR5ljqw+Gm8zs6FMR0wfI7PMGt1iS/WaH7LBtXXsHelZ
hSljbkS1I/SME3xvxvtAnNgb4eH7LokRmzTWxMS8TMqFDtAQx7w99oRmp7u4WEmG4+P9lfd4DUX+
WTPIjK1HoN+t9g+oQ2FehvyOPJHDoEwPXMlVxGvsjBXl86Ut+X/YtEL3Ie8W9uuqLjdZcCh5z+s0
XQXqTaAthzE4X0RFsBmbe9bc0asD6TyU5bb54lrlHCpIL0oefkBXs0gUCMwrtCGpeeuGK0N8awJc
f0vVI1dU/zJUVHvvIKiW5Z0VMysNVpghd1hOXganDaEJ2M2bDaInQSCLeuvyu/KZxrem7ZbNe8am
U+ZTJQnkpVjcrS2ph3LsKER2cRyjsg/DOwqinL8voxz24+h7rbtObzbnPdQItWPcrCrq8gTqUWZr
e6x3PNgv4yDb66w8t8jmQ//utVtPWWXmPmmaC8iyVcjEKPThIcIUJgOsRcetshheY9UuBQOpyZ11
+eOzMn2k1je8zHJC2ePGlcOFVLRO+Ois7g43dcVoJpvYrkUnELhw57zuF+5DXZGMEqIbJF9LO0rT
VW+Bi6U3ub0OcDe9vZ58xwBPkuE31y9xwR3NKKlyLQQ0AHkJNK1YiHaXOHh540eDhJ0D6SMMfiuB
yNTaA7YrSCu2h1VZ2GuJ0k96USJY81WJxRdiakrhIrPYoRTET58jscEMy8Y77d78fps8gxBNrBAA
yq6oj2iOJSSz6MMGmK+obSr9fYTb0aHste3fIdtNbDEs76eXP1R1dHzo8Eb7olEeCxCbFvIS6FAB
WgzBECoJOVejnaQ73cOASYqPO9jhEGJoWyQrLvcCgh2KX4VpvkXkrtNP34zr9e5HQVExkL3NpPUQ
K7vMOJSUh4P+6OP9KG0GviB1hAymsAHJ9S3HzKTH1zhjDK4sefdAxWv87YLmvSftr2koaE0oUHeh
HQvWVdVVmo7gjJY01RhLOAWzwDVAt8BTIurbk52Oz2AWSwsnAlVcF0ceuYy9IWOf3PxNKbOYIkA2
qg2ukP67Ns9DchIEdbVRwdFNeg6AY/VrNGGgMH5vUMylR7VYmFReI2pYpAnlmgdcRCdd3vr0/uRS
0pRDTygXzHxq41N5hNE/dN2S7ET6UvY/tOpVRr8CGLJMJu00LwDV5lmUOxuea/GmciNj7m/2Yrjw
JUNUEPZpJp307OtJG6fhLxnBpUyHq59Cg9W5VxGMADK3N0aNnhOx4KYDhQXzUN57Ojl7qNHqVYMa
itOe+cIsuUD3z/lS8B4kA9KD7olFZVXF99iYXKMjKWRoHqrxjZHNnXTcSGBh/aUkbgIdtMibxSgB
5B+QsvFrM1Ww/eePY14eph6i6vzDRMxAdtKltIplDsO6Ixud1JtWl9dCvafVRyRVW7154s2uwpeX
6dxZqE3Na2e+2hAHJzMprbuPzGMTyujWU9YTcgElOrX1H8GGTo2oTqUwQCU4+ONGiwRa7OBSEl5e
8fHbDA5Bkwb1UgJSUSBMFJRnsf4Zp9s2v1TV0cd6EEIm1qLskWD9tzHflYoreZcE/aOWOiEFuA1j
ZySpO1EN5kqzvJlRi3gO4NVJuVz2AOWIu18FjboQcFXajhREt2TvJhMWi460g4SEJcydvL+RbLXg
y4YGx6qQjW19aAjVSup7SryEz6lo6e7guxEzW2DAi551I44HeElE6KBfsdhDT5HBHovFEMa/njRc
oJ70DxsipbbdREKV51gEKZRMMKKGM4weB2/TUvToKBizaGRh2WW8HsVPaBiUHSr6F3SLo1uNrEqM
CecLE5cVzsqMLZ8YQ1SLOPyxTjFCHWAoGHhgbaofFRIp4HUeoSM2MidC3pUN74TGbKboNoTsVbk4
YvQ/GAwQV2MdU/WlqmDLJw9NmO0bbNAzMrOd0GwEmAn61vpb8eAdVHW8YF0RRduUAJTRduvZlP/w
x9/WumKwwl159SrOQTa3sMlEdrWll+R9pdYBzuJyGB+dd02UlyhfFdA8uoPplGWnIPpU1WtBeKXP
C1dx640DK0iWK5QjEApG+FgB5w8zw1JNuXLf8UwvI+VNTu6i+ZyiD8U+1qzRRuspo9Zh5Rmx6tZL
b+nbTFZV5tQq52PAvUVeJPtDRi7TZJ3SoVwHTL3C+jj77wsZFVf1G0fWfZxVsgGpjGn4zy6oGeET
ZnTV0BIWlXKWCZ+xrn3SLvp+vsHAeoDnjJtzYBV7Ikft4CNCLK9q6A4l4pkCfgdqgy6NNgkzww6f
GHlwy5RBo4q6z8B+UegaYJH5C+2fMp5+u+OeUXNnkCSHvQKIblbRRsMEk76lFBsCHbgwFOTi/7qK
FVnd+JzY2iHvSxa35V8DZM7kqQBTxkUNUF0LwVeVTtlWGwjeTohQcegoakIPaeZGr459JAhti+9K
9S8i1TEhjaiq3svGJwboRlSI3mz6YedlxTkUMV4dayGznCo1mtdudAiiZpzzmc8/+vxh1K0z2gZ3
QcYu3LBRrM5tFdCWkAGGuitUnS+iAQjbdH+pFp1qXfmVUDMF/f8ClWXL7FKy3jTjTHYBKBouGHgh
utYgPB3wUberBDUCU1PDxkbncu0FDe47Fh8R0Cg1/MEZAVSTmilAn74V+l5lc4Ak1RNXz/ywuoOI
OG77taiTffmhUttMLJJzTK+NqS/9+NPs/jdrEeUtge05EtldIiHsag2IMUktceSGVG69FCw8mp4J
MIBdY0rs72nMBbFJmaYZFvvCiQgkQfHHWvNQK3NveBXGJextdsaA8aDo9WsbDU2XLlPxL89/JjnG
+T/BH3QrNst18Y2a8SRFHwHqc+llUdJRn1WW26LxRf8Z+giLWIpulYrHbF804IC0ndyQm6QeZf9L
Zl9doFKRlwzpLoWmn0c9fWas6mhERLZrQd8nyPEmhRzR+KAHYs5EWMpoAi1sO2b+zyxGtx3+QMzE
mCMqBGqMY9jrz5B57SSJdSfvLEPbx5mJ4aqnctf4smcyGNAAajKrglY53BTjHxFtE/IeePb4X+rm
W0N3Q7Atq/od0BaN0eHQ3yN1RrAuGo3hm06m78ZncRfg/VnxEhDwE/wzxwsFsiq9RxZGIkYgFqqY
pHsUJaQH+ZHHEaAxai04uXO6ExMALz2k/ZutxhjzKM0RoqirnKep5ktQwo/S4joh7bzPEMpakELd
KPlG/Oy3t664ihJwH3/nZGkhB8Ait2hMrPBotQUbc+aRK00Bs7/q7Q/kBFGmrTQ2omvfe1gSwEB1
JXN+S1bnwtleRAy3YKgELCs4smJrlUGhCraxsg10A+Txc/AQn0HoZGvFOuZH8KyX+BFys3Z1LJIk
dPInjQD8mfwN8d026D57Pq076teKfyu9jZAv8rhPq93wl4Lrs0ZpWSIXmXtZtmxKfSG/EvUH0VeH
PEODfpkmJB3s1TwkNSeapqjbKBiGOgZ/Q8jUoDnF/Y/QS0DEGAf2pkqGtMJP+y8v2EvPzLKEirV3
K4ZaIh1AxK3AR2KGMnVz4WOeSuTJMa1uHSvUU8QIpzAGUVPWzgha38MeMFNEOn2D/C1FGujL+dZU
HyHS/SHJV/PvkjJMyRt8TNG9gRDor8vmOLY7yWKetE0fmfTe+t+zx4B/SgRdmlN5uxReVg0WZnqT
Qhcpp8/uR+MRuOLTsYqbGaKdhGleEemozCtAkFoakCsVK8eIHIkcvivmzqOHWiVn/zEyjo7peDO/
PE3xvNCFZVqPsosayg2w3Cd4D4iz+xppApqu3TZ2gkudWZPCMDZItrxTZHPqTCrLi5+3a0SXCY+G
T7zeninuKNZzPgHwOFKpegA6Z0xLgeZmZHfILuFedrxNBsdILgkJiv6BBoKQh1mIjFHcJ9yzY96O
u5EQVgtNJjPMYaUzuG+Aar61xRreix6voTVhGxlZwBSbUXVVDd3GU8LlflfLc64uC7w9GYkyXhTD
7LlzhbYTqohv/pyujl4y21dfdgcWLeyA8b2gzLBJgK617xwXadGcjXZbZfcGTcDwW1NrVyWXUf1O
mNuCbpHogUSf0zP+dUzYh2ritiC1o8mPCYv8mgNbNv9Hi47aa5LPdc2eQl2rvn2gm2ZCJzgrpmAt
RLgqq2mNXh13gzZIKGSeKi1QHL2PUefm1dVP2CL524KMrZjtLKTeVPbWg07lcPZVLPs9V8nAVAev
a3OTWTsLIov5AFU+MEFuJ5vxlHHxo+j+JvC2NXxwHO9E5Jy6wWn0e4nIv7GellxRfl9i/9CER5M6
UJVsCuxDoJ3t5qKbrFfkvZ09BzNZjXTSRvHSFAirMoHbmFtxQpY5aMXEd2foypAcU+1aaX8BawlJ
eRYzyr7f2Vge9fRLtCkzuAwB95HIZuKvI41OjF9Rk4JVfKUFoW0wGSiXTpZ8TUhow74dvufxhiQj
pjAIeTdjVOyY0ineJUcPkWCnkswfm0NipJms6nvVuhpYYRwggMxR3EAVA9/4FpluW/urLIjvOTlu
ymUIj8H0QjQQ2vNEvdErssnEyjdJLbU/2vHq66eSKhyGvDtlG1gsmJk0HYceUtVZoefhW0/JlX+f
mHG0vHjM1PFS+2Srxo5kNC7qzQ4SQcgU3MsojvFuoTJTVCQfcKzVPwU0TdRbuDfXSrENA7bzvr+T
w0vQ/4tR/auFSkkR/cfReSzXakRR9IuoIjdMdXPWDQpPE0qxyRka+HovPHOV7RcQdJ+w99obz2GD
oL21HOQGllZXzl5OpAAzf5rNRxdf9JTCd43TbNdH5ym4efVdEAfh5qh+hrVRXBiYQU1G4Uk727Li
/pL2PEeCmY7E4zcylykxScGbq059jnQIQZDjAxRDqR7bN+3d992lL//FxHhWfCu2tkCnRTyba2Pb
XFQs/HK2FOE2E3sBdbcwzIPUWGA7NBZ82/HVMx4JyAYoOutWmwh6btdpA7SrNpghA5hEgCcYzBpW
vanimhXbj0cjhEv/SSBa4GedtHhQeeA1rhLMDNxJaG5XgHZcNKruPxt8TzTsAndfBW/DcLAr7Zf9
+T1vclbRLj57LhFiH3RyUSVHAeFqW9cLOF+gfxXI4DX+0iZ+bX0XJj9G9K9jhTaIcdepfV4rmtB+
TdjmpjfZS1DLR/guFIPBksSJIoPI3WXNR6xFmJ/8ZRo9l74HbdARSNOZUBluv/VMfze/veVHw2yA
1HK0yiXTselF92i89Z7I6uxtYjdsJp8dwpoSC0+GCsbOqTeQYqQBirfS//X6Uzx0bAkxsRkhKxx/
hbjzM2IMFxjhsbXQlUkGfAHk37o/Te2IsgQgPxPxDmOFdMgvA0wT+NxU1tAclPt/t0oWIL2YDNyl
oB/syNTS8hpxPT6aZmg2FfoT18Snzs3bs+el7Ers5j2HmYQ/YNh5xKKZhg2WAEfHwB9jcp9Su96U
06vLnJdyWT4mZDE+6UCGCeeaEhF5Y8wc3zJxwfGmpVazRwCzFI27jSZ4SJDtqlagl55nIy/RBKY7
FCvpECeK/9vsl7V+d4ZwRUAhrfzrwOtvMh3siYkjDK11fyEwAOuITnlCHnrMtibL1R8mOMZpTcBy
i9xoW6zHIsV+Isa1dK0PB0dryibKu2sFM9l0o7CaZhweCYr7QMLGxOnTDswfwRtbCP4jj09b7GjH
qM5Zu2JcCXjMmOEWouUoaup3DU1ajTW8C/ai++LekohfCgwMaU56m9BfI/ZfQNFwVYjVRAg8WvOA
HFvNLq/5ZBEsXb3hrM3G9rtyIfsPBTSDAnsSGYOIIpMoWGrt56gD2rCto+TrzL1ZPSx3KQdN4WR0
hpgeeGWrSq3Dlvk8u4qY67znpSlqPOJy1zJDV+1n1j0THHQhVXxBJPaTwPTtI7Ny6vGcu68zZEH3
jyk6AjUFmHa7hZcidGsTWE8+4RI2Ug/ph2eX7YaovvkPr11h7fTpoy8wdDKfqrN1SzKdX4wvGA1Y
6+QzyXgVITQKDEaWOJGT2j942UEHX+ZW/qZLo0vVM2vLtA+vHs2nHmCt+AxZj0q8mBkDrNhaWCBr
tRhRfV6sE0zpfr9182OPomLIdlbcLT0+ZX3aSnTbY3HSkI74DO9MMM65+i7p3Ec0NkaP0xs4OJc5
f3d71ZkX2HvrqcbgSwqDgPZcp6Cvi3uLQiKYH+/Ab5GgTHdGBBxjh3z8XCJIJ8b8Kfb1faxnpMjE
i9zM9unEdAWtKPqponvhMezIuoNxxWWCusAy5EbLjoTeMF6DY15WE5aYmcjZLaPUOFZ1eKlH3D/Y
ZDoona7bbg3F9NfJKXnrZwIit+Zs5zXTWyaGbYlBxEbUWLC4Nduby/XoGzS7Pd19FZbEjWmk1P9l
Yzo+1V1/iULSMGHI+bpPC7eBWbT0m2xJZ7HRLKokOtGAfRG1Vd+xHgupJJ2XAGth0HCKRl6/NCrr
SP//SEKm9R5kh1MHmZoiaukjfsi7cmHRpmpYCjKyb8YOci1MN9cCCdt6S82C2Y7hCuhSB9/asrSd
RufbcYC8WmrTmf6XokkNeJdj2/ib2I1xd7BttRee6SzZmWO+WehYuAuL9sBK3mOnfA1pMg0Wu21m
MrPo1y1WHJSXT33/K+D3TRWFc1hBi2CuL92LoeLlgOw7RagDwXk9O7OZ460tqdh9Uj8Ymzbbd4W7
cuKHYKyvkcCYjj9OBJnX+h4rdB+fjgeOpoN4bcUnH1WzJtKXwR3+jdoJYd9gon30UpLdIEj2m1wv
X0kUQdauFE5GW34XY3LopT/rY5d5WT5c8WgLBzJOAxi7kJAwYPy0V79+Ed5JWAXyrQ+/Jg5rwHMo
4XS33rVs1dVB7B1wZTfcwxZau+61QWNFGEoC6zp7UUIcIulvM6tBFsCplo2XUPN/xiqCnIc0eUAS
U4c4F++dj1mzoO4F7kQwsOkglzRnK9W96DVm284+asVWxQGbdJQNFeg4Uh4w76LMb3HqRbQ99g+s
1kUR07rOogauRzjUthPT4b6b1nvCdMpMvjrBqD12fsmWpXsyANuw7JSY+qJmm4xk6bUhcawx/cPF
4L3vOuALuDsK+Tkh5g1kN7KhqfGXg0YKy5uZY7nRnCWKEfz8ef7NrHyoyIrMfmrf+/ajWcJFYIuh
ljbLRFYF7Gv9VcFwbcTCphoU1TjQ3E4jZOTSiZqf9VZD7Wvx8ViMKQqV39I56zOgXCNnr1evJUdl
1XMGX1hj6qzfQusOUr7yj6VD5VK/+LiDYrqX8GB1CGMIAyhs5s//YuzhlgyIH6EPZvsddZJ12MkX
81Z71hcpVM+/Y/VV2yBV5XOWIAZWWIE5r+dYjGIEU92BByEIyGBSN4g1nHva/ZjOF4hGFXkrZVp3
DT7GhIAKRveyZ1ub4VdzuZeDDKRnEG0nttnhvPzlxWj4mdUg/fRIfwkwBXSmDlVdIey1tzGxY1ol
jlMU7+EVEio2f9xke4N9vWQNwR8BR2WMpt7GsSd9EGdcJb7s18YssUWUw57d+m2s7gnHaOXXq6nw
/vXJkDHOEhsqP4LgEpaskDuJQHPhTKNR9Z3rEDIsYPA7CVRBvIwmRtkhvDVs1/kfeS+/SJ7aRS0c
cN5rJrIY5vceBKK6BXCuv9v0hY25VKi9nYrs7Bx2zr0mh6TBalhiRKraHu6leCrzr8nB1cp4t7F8
3G6kopXN2sW7IDLo+t4+xoFosB4asmpd44nWs3o3OjEta7TSWGyX5iEdr4FsDw1xylmtnyzsGXaR
LjLnFKTZNiIiHTLfh9W3+8yzgGB0RKPukzmHzrmVuskqEF0qAxqzz/40toqJrnHzQEPP5mThQ8N3
VjmIvJAjmThiFGPHKLG3Sua7ukc/b42bDMkkmTGrhHrPRdJoetGmbCBr1dXH2Iu31B0RaX0XTCAN
wLUiMBdx+y8rrFPssH7msEr99kZc+dJi693VJmvP6QzQ7SliQFHpsBBUcZ5V8QmAvYKBA7i6G8QP
QnAenkOT3LJNbI0llymhwdbB9Lo1WIG6eB7Mbs4c+Zmzkwfq2Vq/DXH3bFDz5JOgqGs3te/uSON+
stPqpQ0VfcUb3j3Qq+lKULUUVbUy7H43Upz4bQA57XWWmmlUhR5xiybVXY9tLSnlTrnjwda9Tdnn
m2ruemDWUc6TEEN+gMfXwY6cdOIYxHqe6O90W6hS9HWMsFBX0SOSrzIzLo6PDJiZXjuSsHRN0QJU
1IfZeAt0YnLwUOFz3fkauDPOrpEDLcb1lwfmq4nNlv1E1JH9yb7MJAqWcL91nhTr4H9eqLOi6OVD
7zd2icIiID53Ki4xgy27Xnl8YqX22WXPthsDjWZLRb6pigCD4Awc9XPVMA6ss78hmdYlzVJrBAc/
jDZeml9Une8r4Awej1tyQJRgjvL6HcUp3UB74+HHaKRsRHN9N93s4tjblCBexO6aokqDQuY11Iq5
f25lcApEchGdt0wH+jYSESvMrmx74qTeDJW1jkksTM14bSNa9RN9bRpiLyMwarTBOgMBg5sEE7zQ
zROw2aJ52BQS/kscYR8NXCRE5DiUND01f8wfljmeGS0UPvwG2RYrxMVQFReFU1MC5MkD0hrYGgY2
qwGKYsF2Y+eyPCjLAa0g/n3adV3oxJUUm7zZe+hZU0xWJcwsB7c7kA8ox5sALo0r4LHkbyENalQn
XPWMirif8jI5eKRSiVqeKCRR1AXnCLOL3eerMGJfpcmtMYpt05arkroc0D5y3ebWBtpLjfu2ZSsw
YICeGJWMGWdx0K1Y9KueWYgewpkzVgH8FD1XfMNsZVcW/4ZIsIWw0m1oM1dRwb4k68h1ITXxh3Jt
rGSvbkt+A9JPnkFi8I3guyvRkXuYUe3voPogPzCI3wwmDrnUlz4ohhy4lF9sqYw2UTC9+S7ZVqHi
7qQPwurtWF81oLCQbb7SH1m+THR0fvAJe7taqIniMHCfJ0djREAsjQP8BwXHrBURI0OuHByXBYjY
V+uOwWvQy38tSZtJhq4xq/kUkDrDhgiAf9QIK5AbbO0JIXtKKYZfx47Tg+P6P5b9lRRU1VK7+5Z7
UsawUdaAOd1YjZT+Q6g9NJ9QirY9tcFfN/5k0bLlcozlXB8ZB+FrMNA+GuclnvyV1H+V+6s5wU2n
v5jn9U31Z7lqIZFJDKnOPNbaVx59TlqvQPAtLZwmOnOCjL+qaV1NuORDxuaYdjLhiMDGq7HDheoG
ZK9DF9dAH2bfh/XHroBqIk2qpy3N0MMNfQxhWHeZEjd+SicfLJMGaIWnpneB3KnHNNoZ0WnECVOG
wybUGGxW9t6w2l2ZhgeHvepQv9jNuRvY/OiMAYPAxpHNGhW7gwtpCI/VGQfe1tA1pBv+FVYgjG3M
lZTiKBq2md0fJbtjL8GzEGGcNT3MRDn5KMFOoPUwdCSjXc7/lDarOq0/p3HYCSYrXl9t3AlNmui4
LnjaI7kKgBCAoR/HvnoVXrqPvekqTWZoItrZ2MALCMy9zrxyig49uml9JGrVBcngJhs4zJtheJPe
+KDoY0KqrxIfWq2FFMIu4EBETo5+IcWB7u19WDM65neJBbMLyM4oajCLA4MgiSqV5SyCZDMxgN43
t9E9d/TMKSm9epD/NVDTn4rYukqWfB3BJQ2TznSqNnmpPydIHDrfJBL1O5IvbMk3QsMuAdmxqWrU
v/PuAdZM70KTsw41/7XWYB0FJ8aa89CycrE5IxQiXzVAWQkNJOXJuSmjBx/9eZzCN89JuCdMN18M
xqvBVN6sXhk2bUUBeBVBVMmOKkOspVU/BYE/hDlvAff+juUG/vY6ROQXtv/oBKle5ROFPsYiZKYX
FVJqWy6KmByUEZ5aXEYptPtYHArju5K7mruRd+7gjN7DII29Bg6dDTyBOcqQLiGYpkPvDz9twsAe
e1tCNktIJqUhOSXB947ULZ7z0ZbRpmAzPBY4WwcWS8bTHIfTCG4j9HxhXP3kA9mdLk1X2qTrEd+B
zpC6D6lHOH48YHKG+6cYH2mjPAVwEWpIB2Vk3HVjpnjSUgONc+w7slw8pcnCBDPfdnSnaAkc9MGx
/uMg+JK6jtWywtoBf9W2nge93sxT2Nx0uw15t7MbC2ydhH3xGNo3HW9tBA8oGPdGRb2rc9mXsFvY
bB5DvtSqcl5JBnlBxHkNWrw5bjYf2hE0vehIo/MsYlh4LP5aaykoVDVCe1iRPRk6cyuTkUHOcDMI
rY2uGaeB8zgawUQq8Rfl8wqXX8zBAmGzdgaW8U8yExgQ9tUO+nbIO6O2HrLiVvnMl8JxF7N+9THx
ZnG+lzabubZm15wtWqLBGhwHmlvtMoNkPjymo6K3DsW3mavXmuMm00wKLhv9myVe0wqBI/V1kciZ
9cICrDpY8pbDOcll/5xO9sprwncJ1NEr0sOQNbeejYE+pjut5m2b8x8q9DJW8sIvc2/EZzUNp7AW
DITKBYD9VaH4VFsip+DxmcO4Umz/zdkgJLw3O6RxHcp9DiiiSpGnWP5vmzoRmtUO2I64EUEY4Wkz
guy15rghigBBeTQd7QSsH8+wkDrBX/mqVP6pwyumT/0jpPCeRnxTCfifEkheseaT2YlB4ltopw3R
9RTsTL8NV1/r1mtrU8EZEv9BygvhNujlzFp/i+srRjM/cXelKtCrUxKmRnohxeHZVl9l+qr66VDZ
nI+Vc/Qtnbvnaw5zcYDylfbSGLD8gXXWW/8wDeNOlBUwOd9YqZaxUohlX/Y+WQHoFPUWKlF2bqEs
+KmP7YGyuaruZo6gJY82OhF7TYI0wmN+2nYHS7hcIZIkk45CjabBQbEa9PmjHN2tqyP4dQEQVc4+
zF71ACnKnCJCFEIn/HsBLqlSIx6CedFXY0FkIoWCS1rOOjFPanJfZd1uG8s695G3sdg5Onm4MPRy
X4lhbdftIWsLZEBIzBhZ/lVBdlAV7+F8CaoG73C6tgm1skYWIsJdq7J+VcmnzL6mFrhJVawBfHMM
sWXK+7U1yX2mq12UTM9BWa58dM9sgZh8Jwt7wvaFs9majhYzsKATKy5m9E0ZbCNiLo2P1idb3V96
0EkrXZzNhj1Jom875CpZeooCLhPZk9/7w0uBoYf0PCjGw0QLBZ2RdHfuYOcsYzCVkNx76eyUD0uR
JUwBMaQyBNocxoZjYnLGqpvHzl+RzRJG0cYkawmzhC3mrmF2ubp70q8AgLMSYQEYkmarFwp3mX8C
SdP2xTVAPMhdex+bbqly7ASOZDdC6VsDDJq0r4yu1ESGacvqmIbeJo7db6nQbOjN1rAnDsSVF9/n
HiTWm3f6LdYIKcu2DiXJR4kybkDsPelqX0Y1EuNf2aLIF3g1ZylCi/bFKPtLpmNPMfSLJbyNU5c4
uYb94IDcT0KSINh+a8I41X6wCyyxcvrmphkuxjnIHUxUxSgxpJ1dksEnb9MZYO3+5Ua/SksOU5SK
KRPD3sBSW2xlgxKWktup6q9MfdRIpHP/02G0DXv24U+st0WxITyOFOc0/Ui4kcNoxJQzhIdQMaCN
2y/XDe8l6/dl6nZYfAIW8LahZhtSggFad15Ff/HK/CT9ZDFkdzFb6jEletFRr9J9hkO4ZwMEBIEJ
G9+aUpyP7n0mneRw/pJ4W1Tv6RQfRHu1IchEyXjC7LGp8DT47nBJ4wlLJ04AROOWrTB9N4t4oPyb
wQLK+1ciGbA69RjH7CCUeTeJ2dJl+WqHzMgGd9WiB3oadXiCQF1dhRqSwjJwstnxP93CcAKmkd0M
UaFlLH+1KmDZp5gTxd9GU1D+KV66rnPA5sTDOyo70pAkc6Em8hh22HVADFWwiSOClEizFMArijLZ
6GhRpupcjfnVMsi4Qn2Sx9mzb8IhEKdERuCrmoz4u0SjGLGPZfQjc0E3i6gvZEtTOemaCd5+wCHZ
F4BcKuMtzJhijs2sNgaCAfHWTjJCMJDyDz+dzTQdWt1KD7q9PrpMf8pNMkoM8YDAW/NUNfiF/GIZ
KGmio6FKm/xTmPc3GwlwzNGm6e1Zeu61TKKz0Me1mThblXfcnx0OC0F8zcUpXqbgWRspZwZxaT0D
6z8ugqy8xoV1GMNm5+HemtAYN6b2rHkCqySDYaIurb67JBCn6xAmvz/5u1Eia7QAW88zZ7IXEg0L
Jt2UVncnCVk5mmmBQPIgRnNRZ4dk0Bd1/+6n7UY6XJHQ45SoFy2piBHHEL8fSyZE3GF6mI3oValD
9jU31Ocz4tvg6JKbpMt2juacNS5rJSVvPVHnYKSiDKAkGUHOQGc469W55GMLPa/OYBKtxDBR4IXO
oslmLTnaOStmvNhiZucAN+Su0n9GQiNM9mpprO98KCgJwGL4M6R3W7vOHLeVxi+ZmZgs0J858C8C
AbB3DEF/qWsoPHktmu4PEd62iZyXsIoapgv0Yphy0acqFI5QezuzePXmWO8YsWaHjCqe+2DcS62v
LlR+aC0wlzk+ZxeP9TOlT2tmt4vGXiM17A9Ta499EDy0ovnlKLmMtXMe4+LPFqiCcrSZOr2iO0GQ
StibFmTE955vMugxGVZ29I0ZNwQoVdC2YuLe9iKLD7r7KmYBdpNhfzQD99AlJYBdD+diWIUvDJKX
spB4s4AFP3GnPXUlxqHoozfe6/FeldOmDxL2dASlqmI3RzfRUz5ZVrgWYvxtZc2pR6la1RWRnlDR
jZzqmPukh4QOiRwNTEMPOEWEzcTZzijTRy3eTIs3pqZ4sGwBUBk+UgCVSSARGRoSahWdq+axDY9q
75ZogPLMeN9zVo2wHYSSBzu1zhmBO2CabNTs/MkjQHy9rP6Npflq+8Rh0+5rmdilrQ2CBHZlYDib
zNO2DDAX1NhbBypV7OkbjUKY8d5ameoR5+a83sPBgKGLE1dLm30UjywwXIZN+bKV7DPT9t6w4FuH
fPm5UuuRo1QiPRgb+9wAxG9F8dm1am+4tNqZs5zS8pTBzbNY/ubaX1A8EqLwGM/i08akY+bE/E4I
fIg9ovliYIib30btqbVgG3Fz5jGOzjJ+dOT4OEVBWGu+T0K19aovRZ3fNdOi7+8utQ3dCs5yhG9t
civxb+FJBUTz6hXDezGhBVJEnjt3ut5/BZ6+yDA3FtZkLS2Z9jRwj3H3SLiS3NfaDFSgw+qjo2yR
ksWz8GOpAHUGNnlgbntsZHlLYnV3c+Om5VCHJwsoCbhH3X0Mqfp0ZLctx62HPbKqtWXZUQM6pG9o
wb+ycRcTu1mPgYOuMHsypopHA1nCyE+6NZg2pD+R5hGLNPsE9OiHIPJbP+I/7wzvRZX9RwO37Cls
ZkC6cYDFSask4RpNuXVDOHsTMZJ4bcDR51CiGOjVSssFX+Xh3tI/KhzSKQ8www9bGAPMtwkPTlU+
N26yN0g3MkXwDQH+yCIe7q+8+ZhDOpufZq6ulSWeK4u4FTKNTETVKESuXAwDkywmWhrK1yi7ZE5x
M5jrxWOjMSkPNnZdHJyctM+S9rBAGo3MxNH8j9pCW63rD601Tp6Fg03JloCjaGOhiZks+2zn3kaG
8abxkRIh13EUlVZsPoD4QzKCTcbE5jzoTDZzl8OhC9l96BE1BMwbs6nvcWWvDd17KSoamzYZ1nUn
qRFtVGVkrWTOh48iAG/Xb0R5QvzI1e1CFxPtiPsZ5noWGw61AhIWqRH2HgColnPuUBfpc/I2tBE7
ZmtRy/rFaOSz7fd3RRPKQBP0ogkYbiiQsUNO49lvGiBNLYM7euFLhhBET0KmmM3R50ddatn0NPgE
4nmyoDtMN0bbrlxq2ibWrkwtiAjsYQtjBRzVW9HQM2MM72nwI7MHskTZlzgcim0c0rOoN3rNXzpU
fEIozKqS4VgFMR+FPJNHZvTCfq1YV6T4LtOh+TF7dp8mOSrVtBhSlORyOJrsOjX4xTwcmuVsN4bD
2s39lW47eAzFKvQ9gqmBVUCZNWhXEEkvJwgAWmcuXbw/AsqrjVTFZdzVReKu+rRfZt4cC4ZWpfTf
CwtcIGWH2zTsn+pPblh3kYXerjMq+guc4tHgx/jXZyQ1bfEM0m6kfu9TNLule8aJR/htgJ+sAIzx
13QwsvL3vC0p2axjbY+HpnQPZTOdyyy9Zn2yCTK4Y2Zt7yLrEcICslqEsC6DCyToNtvYxVibCBSE
6W6ZjDw3obUo5jmjX55YeP+mJRhcAXariEiGy6buhJITjX0Wn6sQhHpOAECqeeypEL4WnJ2rqbHv
gnM2DApklSWeUSzJGO6yGEJVgRo6FvVBq9trXzRngu7WJaUE0CjrvUyRS5Rxx4ZeSxZF7eHHdeFr
mKuir+hTrfzuKqatqrwwFTvjd8EoYLzWZqejyeJYFx29UxG79JLZZ2u5JRkXHvtavdo7Wv9WjPmX
H6vllLuH1opujLiZKYFnIWESuK9c437/7n3W9m1FGGPDZ4hZm38QEBEcUbyb5bSXXfKby4wwM+2Q
oE13SpdXIbraPdJ//iXLCyZSbROsDcGoKJMHh5Io9pAlVhoLiJDhe4MvkQOSmBETqttEVnCTsHDS
saTJkJLWoxQrcGUbVfDVZfkRff+2JsdAWshhzfBXT9RzaQL+LbRpYyQomP3RfoSe+dk74DNj5Fwj
ZVrYC1SKVNKgxseaeQw5UmJy/aehY9KZw4rJnS5eevq0U5YighpTmdOwaPDhE+PnCbCqVW1+NoPy
5A7ZXyJ6sr7BxxayXCVmS7CfU61zRbyYFu8zYom5boo9dSquBqQfhrfL6Wnc+l+KNrCZ5KXW4VsL
SFjMt4yU1PrUX9giflSJviHolwIf2rNNWnfV1A9WhysThjfhSriSQv05Y5c42d1SM5AHGe7Z1Kkv
ixFLiVnteHiIyLSVmp1RSdesGS8d1GSegwi5DAVrnfcnU7fuRcSBn+WnMPHXWa7/JRq6ngo1kOcS
sm42Eld4ufahGSK5wStqsFujRlEeOiKBRpVplomILb06CMueRvahmWDRxjQPASLe+2l6DAJyYCM1
jPi6t56orgeEUkYcHYRgHZWw+dONCkHxcI/q9hz7d8NMd1LvD1Fkf5MXtirc+FDqXMiVfjJbVt8W
QVYCfRxwSlkGi8Er/4V++KjkiCrNOSY+e/qRhTqxt2hOABQgDrfz90xMj/lRFQr4m16s+Qywx2Lt
YW2VMLqUcsBoK//qANBCqRWXTusvISZLzeeKiK2TA8U57qdNHPp0MCaml/CvL8Btm7ZlYfAbqNnQ
4oTFedCcR8MeS+tYlpg4CwcP8ggaiqciTZl1e/RJvYkegUIL9Jp5GA19Y3UohkYC4GxukrB1rt2Y
cE0BSxn0GyG9T3nvLNmbb92UlDbq5KecqM7c6ACmU8WgIO874y3wEeizTyai2sdrh1sJ0nDm1mfd
YbBRYHYLHPrbgTod0zVRiq2zDEvMKGOUHRsdI3TroM5re4yQ+SyAbcL95ImXLCbQDovm7HFCpLJr
cPjUuvFeGcOjc2flShFsdH9a9ar/EK7G7x1uhAjPKbxddIvGssbVBa/npnUs3xvXvudBtW0n+FuG
3Ltdc5147oWDKiUDBh3aIRKNb88BfRWNd8fyqLvMnMVe+tKVjFxdn5JNXVK/4QTMrx29mgsYzgry
eyfjh+6G+7GbXrJJYxGF/6ZM7hnYhMIGfsHqmi0MI2WwdTrAe+LmsHMCYMA6ouSOYEIaXFgy6LP6
m4Pdn65r7cmZ6l5svdhZWSo9OYRGmz7QPL3zPzx6EI1DPuwcHwIcKs1BfTfeG2fGuxF0d8NjQExA
iGPc7cldRAVduNJuHVCkkdLUceurh4PJzc13d/SfQ0ZuGaHgFV0KCoCdWV/BzGKfqFeW/ZKAT+Hq
gVPFughtoDlq52lATNHzxpSZeIlYHrlYU1y7+kWi9RaKGN/mi6PMKy6dX4uTuIjubKvPVezsnAGu
f/TPSfk+kYMUDjdvBTnYVkcjQ/8S5c3BsIYTIYa4S19sI2XDGaEvS9zuGIs55gWVuIzIEyC9zNcZ
ttuIQIvxqwrYAOFttaC1aJgC2QA/DyMvlXAXQ/GqOQ2uu5ReGlxcZe56M9hJ7aeAD9i2xXZ0gaKb
XUOxCgViavjptrDaeu+lKt6HhEckx9eoRx3NlNQAxFKkJChjLh1sBltFSM4IwU0jt3g34ajzM+hE
8EKSHBAGqOh51zD9i2LkHoH76xiclTkAqwRUIIGCgNE9GzeY/lnTDSs87okaiZ3ujkUCarz1Txge
z4FyPyyuhVKZ716VP9VwHJQXv4yGTVr7t6qLFyEBXKsWViZyYHZFRt5vNHxOIjoaU48DCSuZ5aOA
SNKCmWm6LwyNEZU/08VWJcFYXkogiEs4zBCfYh1khFbrW83tQC2yyogICh0CSFATlSpc6ktco0Zz
vOiqZHN2JBJSo3NIR+6I5mQHzw4GVcvGjJpDhLtW2N/TvGxx3Qu+Deqzr2pwfxKvvUzFPKZGYZCG
jk9HhNepYp6i1PeIuHkSRJxHmn0tvZpt+rgMIENYrElgTDfsXi28QW0V/TRljlSSH7nfjWdSN9YD
cjWm/bsR6XUbkZzAK6K33huo+HetJhcLX1iBvDNz/Dl1UXvKG+6LbHSPU4/Wts3Z07f5BvWUvqxH
Vicxm+gcEfdTbRU5/g0w00kWcR7mIG9gt2vaVypHpId+sBVjt9Wj9uDrHMymRnp0Ng0XbUjBHTVU
atm35rn6MS/ZmLkKM3CRoxdNJPmBvd+QOVhi3dCb6b3VrVudNruyw0FrUuDWzR+mjVtYsmZl5k7Q
k4+WJ617YhgKHzlLv8ESimcqNX/tEcPaKLSPGkU8JaCbPc0vh0efg+IB2cIATCTvGW4aFvMDjsnb
lDfEBoojohL8B2F0qWekmFGxAdPV2e7Lm9UxamcsANqhPagBcojKzD23DX3KiIhauewZlJmcgY4J
ABKg26ds+tKK8mLm3q2MGcxXFX9m1H/XOCuPpsy3dkm4tWiuthPuNbLUnTZ5bUAyKKxEGVFrSAP8
fw7TsJqSvVEawK+IPtmzIQOnrovVDOc92X5zVIMB881qee5xBR1g1MvdlCJC10SBLN86RXp292X1
6aOSV0LHFGHhqQPD5QLwIk7LtcgOTiOaDCP9AUO8nJI/r+FHqnl7AGW3QeWfTA+eCYLYximXcx9/
w0Sy1p2wkZsB9mOHxGib+8RnURGlzi7m8n5S/qcNpNmBVFBj0hJO+ePaxnuXTHsmkVdnKDeyDR+l
N619cyBRVWPeJXsPe5rcJ6lORaThVAdRRZjIIojbh1M1d8vJLlUBhJJqFVUKocUox+KJKHZMAQN6
D5/rMzHtj7iXyyp17nGN8nmkUhjBQsWJQlmHMnUwyM7zyD40sIh6ZvUwI/8lNaFTe6X/sHXrhYiH
X8WoY2g8yKnQIkS4A+JxdMcejpnX7WtH3w18/DLNjrKsT/9RdiY7diPZlv2VRI4fUaTRjGZ8qFcD
v733vUs+IdxdEvu+59fXYtagQgrBhZgkkKEI2b28RmvO2XttWlM7Y+Nz1db1GJiNcXCf290xiOHe
JazfHKyxpHKN9uSXTAI76WZsrvO4DWIuc4PCyI3mzvFiiHgJtmkXAmJQkcduBce0jC6End7MwnlJ
C+LhWmdP/AFEqhWHCMbV1VSBPWQG1dBc+z1GVfCBsZNsR33jwEOcqP8osQYx2M1d75cHtvx9NHmn
xj0flXIAjWTyynMgthXRLdHR82Ygq6or+r2YMjK1qGqiTHVmNGgKBe44NWRKzMl+dhUBNO1uyupL
N6XtzdckoTW67TNYloFr7zB/pkR4wbgUEzeHcAShvfQrtosQtJwa8zKCgaltCp+cV2YE53NpPboo
fGYnuWxasMVFiNjC4ixYkY2suAFuxQy9L7WW86Fx7lWynAqH5J3ZQW3Tpg0xmepj6M111/SPkwOC
tS3sr6J1v5ice2C9QsJHlKVeiefLb1OW1ArF9xSXx7ZY9k1Jw1bE+THATDjlodyPjbds8yh66ozA
8cYyL+A0BNNTMmdPbkueCL16FiFjrbQZVqm27E8qcl/HhDsZyN+bmFP53hn9/cJC5FmSUwBEJ+oS
5a7EX3DWOul7GXof/6nyi+VL7JIZGy7Wj9D3Hivbb3elhbWUGMyTyaYLYvqu0nh5M3aAyGUxTybH
q9410Tn5qocJMik7HyaoCcpZGemX3syv1RLeUeM7ZKRG1mN/jLirIazsHyAdBWBMg21fFBMsephH
Nqbl0q3upZc/WfngoEYcXqnm5sc1aX5oRhvV1XgKGxbT0ax36wRpRzdR04JcTOeFUm6e5pgU7QrN
3EqvK5ZNJYJdJ8fHMk8wjyewIoaOvpMsMBRGuXvPmXjNmaseck/Rt0XO1LoX8WhehhmLY5Cm4xqt
xtrWOQ9N2/EDRrDEqrC48lJzLbNRbThQENUxjTQrZnwyoDVtmw6tHrhFJKsJtnad+8gvmsvRABln
5I/RpbdbG+/ZG+hPOiPn146b/pnll885DAp/hCjQTjwE27KavUM6q59mhCGP3Tcrx4494oAB0API
xvT1OyqRx9ie5daqJyiO4t4axtciqdCAOdy3ZRgdwzGlmFRcNBGyixiV+0JGYX7TB/WHlBxhUoHz
2y/Hq9ZRX5mo75xyWxo/NWgkPhpXCn7Wycw4EBSQwSqm+gcJ4TGWvb5WSOHxT2UW238GDk0nAaqy
GKiTyDQE594e7PEmdyLO7lMQ0TukjB7n4FKK4lBQ7Y3j9McAas4izyvve7IYyA0ClGlXNJg0xGdD
FvdVWD6T/LhTxj9vh/eG6kVA4RY7bRxw/ktegdjTbUpoUr6CmLkLyeX2C+6vC0uvxe2971uaOAXT
JAz3RYWFOSuv7H5+0ySgpboCMN/Tp7vxHft6ase93Zc3VoJ7Bf1RyA/G3/Pgt92tXaszSPlVO2/a
wbmb5+HC0yOU6TfIWVt7lW7QxF6EfpNhfkl88KHCFD+QLTAivN0q0ibO28jJDzVaOlJHu/emrb9z
KMbh55LJMuAn2/UxrMo2aovzqfZojwJkMn5fX0y4OW8HB4GJbMGTUVNCAAFcvKm8+Vx3WXJfe3WF
gbhEk5WRXxrepgt4XHD+XUW1llACj/DYfoV3TCwwHa4VjwtnZPv3dhHgAS7Fj3yh55XC9mggowC5
wnM037tIzlBq0VrlkV5O3GbMdbVK7l9Zfez8kAOcab5447avr7vl2ulW+QmXCHVMCD5PUSltwOoN
yUFn1g6S6SYZHkD6R3TSBd2U+mnRJ9V+cc2pLoldyMudaYptUL6VIfxRay8AaE8kQenwCGxy66T5
LmjhA/hbhMMjVmASfnp9a8a7HpVC+4ork14JXZ+zanzGlEoBMu728NGq/gqklVuCeD8utOPW6IyV
/c8cQvB6FHgEaJ1GxYM700BFpbqmJFznw4FLO57fFFVIEb6E0LADDz32/dTuTA8HDXbPAmgBnk+Z
4ZlFxhlfc2DMuO+76mqu3mK8VVHgc938YQGfJFCActD3EC/RMOSbBH2d58Y3lDZ5Zbn1s5pq+nw+
09cNk03S0Ca32CY63l2ru86Q/Xk4DmPGjLEJgERBzUbRF+zm20Bvi3TC7tJtoBWXp9rneUCffo3c
8856oVNPJJgVXLh3GEe3dK+pv5O9Sut+I/Qhh3gqI6jAmALDUwnSHAZO/DJ73nFqEKKdiVd+Hqcm
ANnsSgSXXOHQwl9MVMYlmygtPm5aZXyzNv/r+rkiOSCiM02XsSSyt+R8SFgGoHd6baes2MUSdRLn
FS7euFvYdIa18LwpUPna+TNMZ4d3gcgy03yNonOmcd8dqJyQfKaG82nYo/k5a+igRWcWZ6Wi+r4+
2/aiKi6Vs8K0yuprkZzc7raFEtJj34ipcG3qifZItdHF1ZDdRs60QYPlfG8o6II+EO4NIRd2/z4t
aD6u2/EuBW0rDiq0SSg7cMk4c75pLvEeRWFHH8tmP6DjSdYuDxLl9FoX9/jcfICCXGkjuK8FgRct
f/VLip6hi8/XPj3mVeSzhXquu/u5/l6lmEmm7xWpB4aLhU+9h2ixhp8wrU5dcs3NrMGWEPgID0Dp
g74sijNJ/YX7DrKT/CKZx3sHDmMZW+celwIcMmyDmBMuDJ9oeaizi8JHSsqVAXhQzfeAT6DxC3sv
mOkXed8YGAfPLTZIa1f5J6s/Nd1Hn90s7f3iXmD/QB7KWxFyersH9kScQk7Nzaq3zswaHMAeXWAm
Zo+CAApQHzQQqR5h/NHALd4wN7TRMyfitQ6+HEe5i8PtVCL4Pi7dYQo5yQyos8/Gyj7DpMItFb37
YRVm0fXIPPYGZl8RU1dGvii2oqWWfw8DwoVePrwFyYOnL3JH4FeUx2JFZsgCF0y/M3Qu2+sh+Wpl
2WFZofxOf0ZQB1oZ0f7H1rrG8nL7zq2rCg5U7V816/SjnuJtnfKHa9/F5b09fcUjmeNYRYkAjO3A
ok7IRxq9pfWxdp+oCyoWkkkyl0AEpLf8v62n8b+UCB25wGHtSK/sGEJsc5kH5K9vbdpKFTdlbzB7
v0WNsnNQmFpvaggecnHoFX8BFr9ZArjm1IHrjsbTWTxfzzSluIbt2ggR3QAuvXrAb7utbRwYkiZS
TNaUJsPxoKavkEj2AAM2BvdbqDjAeNwlbxt1V8a70D8kQBgWcedOp4Gqx7ImtbVPASrZbmnYP4+e
tTY9vrLxRulbZPb1BF+wem7lc4nAy3rM05Umgcdhk5vqrA49rsHv0NDiYZ8A/vS6C489ZiWaESuL
3sE9Qvggv0ZYOwEfTACJ4O44x2BW4PObY1dex+Ilpp4gYMuk2TVtMRQm59YCy9S+6dmQp56kK7kd
ug9wobK7mKIrGthpiUpp148I4GOaM5uOGZrfReiu2R6F/62ZLqP5W+u+gUyt0eaWVFrS6TIr78dR
oKw9JqsTdjqvZ2B70fXUN3dhdVmNy4ZEt0OaANOHxRhcdfFLGH3z8TRMydeQ14plawA2YVeXvTgA
GxiiJ/Q88iZRt6Tc+HxzIEB+uXfwF4Y8n8Z9cZ0fNieZZeu7X7jCSnevxYU93UCWRHOQT/s5wyNz
O6IIHFmOeMWItpzTFxFSLiT5bbrVBWdankh6qrlWkSqStRBsXpp1w6DyS230LGV+l8GeM95JETUU
HSskOvN1PT45lOPVu4VBK+rJLX2AgH/mNiu8IAPYUPl3YXtbzHvFiT0AXAc/2P3SEt9Eg7wRKD0R
katzXC55c9mgALQAAAIj7btjhjU5X3yW9fPIuejUR2O9aus0EIeRkG+nJJ2XnfPa4oyxUTe2Jyf+
5oCR6fM7q31eLBf3E+AaxeaB24Xea8FbIQnOjLpTSz6sZfkv6UzYBrDMZDlqD2w0RVqOzlG4deRz
UsIhOG9Muxvd58wSiMtOhfela28rskrsLwUSm4DreUP4Gpq0gSideeVBXE6IIHHLF4IEl3sVp1sX
uqUXnFu8vLCCuKhtXTaYrL8OBJooil0sLfle+M2hLQDZM+Pi+1VawfQUoYsx4biypHo4jpQBsadX
I5JmvA6AjvPzmju5iL4Sr1Zm5xogZ5LcJ/5T5aDisp/EsJasqN5GPpErdzaIB9ro8AuO9JFYeF+V
nQHTclHxXzXx45R/0f5z39AWOro05QwLmRrZd8dXRSU9B72PtYPbTsWh8srLKgRI/ZZQuH1nmg1i
RFYGqJbzZT8PdGOqQ5fSDd3bfnhq3Xk/U7nlVspV/0vJPGymI8j2w9Lmh7G4lhLzsHttCnVsLSDg
7rGTCHeAzSdHqb+svP0Eeh36sUZ/cdJ4h3xx06KGxY27EKZoSnqW/YdjrhUWGOTpFJxQzWPxZf/D
IdUAPQCD1psHK3zrBI4tjJh+DIFjwgHcACjEeb2KobzxWcNxGiN9FGV9XzrRa0BijqkFk2c1mqFt
QkfgIBk3hhAkesFBWeKPF2dt71/R5STeYjq3auuhGyiU+7g5stWvEXvxCe7FISJ5zolRFgNJgcj7
FcUuV78cPqhdgLctA8XarbaK3oZNDHzE1pON2a7xVlMa0VeTZ1dXZVMK6JQBehY/fUQfAogXGFRu
i02s/WO3youKKHpAs0zfFK2HG+OA9fVhhtOA77y9sBVQumnlHlg0jDd14B5UoA+ZCQg0C5Lv6Lvu
q5IJZLosPPWqfpxrpG4+VeHbXrXBSURwgefQJ9C+mvKtFffVS9LVGLZm6OyIW2fOWn4fv0/+fyog
0Efq2b8cfX2a3GrlHy4YrBVvgCt5oyvyI1q1RNDge3UKC+tW6zA9Bnlfn/ca0drcFghJlX1V1t6L
cZwJZBFTbswrSmyh57CKwy+HONBeGz7uWTp6L0Ql02TUo9x7kwqekTnQWHA7EKoTPVkIiNRv9PmS
Q/VHJ8l5bpmufQvDTl65en2at2Mp+wvbCuuNlsRP6REbvSeca4q83KeWqwyvg+82nDbG+SLmoJfl
ArOMuXF9CokRR6uNaPBT01g8VliJu8R+c11clD37B8IBbqjVxm6Et81rGjUl3Y9c8sqKuB8p5EMX
6YH+eYSngBlIy/m8MGA6Z/VhLHTqwDLZZju84m3tHiah3COyk+MUr9FEyblSGhCRP2GtkHyfOh+u
Jzd9iSme4PU1p4XLzoxAf3Zqeng4w+aVeshW29IhLw3gyaZfswxSmlQVlEbb88ixIJcAg5TBtDID
jQ+i5AdqXFKBSXHt1b0gidNKIDHHHQizgpS1GUG56imelF9jae4HtH8RFoRtOwyHrtLfiyX9CGv6
I3w2OjoT9JPWepsi7H2SJkHR2W9dt9rDrW8iCb9HrvVUKnAoPkd717rKyP3q0Qq0ogF4V14lMj51
Eb+4lV/nJtpWU0QaJWvc4p46DvaZNM+Id5A++sUV/S1Bhx1HT5efcBzuB8213ITHBDxwnOCnJplN
ei2mzvbc1e3Bte3nfEQrifwH8Vm8TRrAjh0GisXDW+IV11yOIcJ5yV3ekGCedo9xy32p9WGsQBy0
Wi4w4jULrA40ioMbvQu0S2Kwo6EViMNg5tH+DpNmwqCh2kKN77YbS+8tTJGlfnOGvu7prYH+d22S
sTKb4McRQwMkT9fKUloRRTkUHLpKryxSsQ8bWbKTdFa9gFlie6Y1G7lVRoOr9UEpUcwgaIW8RM3x
Ea9fGFWWuIlKo4ACd3kAunDjFoUvyZdsIWuwn+qmQgtL3nxDOYstrcwofi35KsJuBD/bGcC7hshj
7LKNpKW50Jt+n2MuOj9slJeEOOilFQRISWsIhi8B/+1aGvCdsNf39aBzWF15ktGzQvsb9BwarHyu
zNco8BAyUATTUX3DXXeAI1qaNmVt0ECo1iZPz08lt6m0Oi78wEW5NHT0JKiJLItDOYiqkmBfKQca
lBdjmg9Ftq11rkaOHiEH/avWJfobVJse3GrTeiEpFWPky3OVjknOLjTSo9i2xs1h0eGgi8gsRlxb
cCVNkTNmr61PiXneFHZUUh5LkS8F74GiH5HvMNNJavkxWcPsTHkfZ73ehtkUtIQRqQB5LrCPkLCA
MgoWVSMUHEb3CHay5D6gg4p8jY02dAVzJh7yTpgKnQ8Itpqn8sdSC0e8uuitQO4YZjfX+0YgywU2
V0eqJElVtWPw3IM/MY9hYcIKJmTgUV9bvAm5GrHLluJwJbPS639A7S+J4Wh7McDTzjuTAmkpisp5
6MqmoSxsp3U2PqUdgiXUcjTekNkh0//mp2BFyfdso058Dx1RT+CLh6TvXxyqT+LgMK8Wa1U21mC8
zJAWItkBBp3JaWxk2nORl1Num/cl8USfcOZwSii0uRUUtnOeBbbJf2TFaBu5tQfNKUGaehIprRvR
UMm1meTeKvS3KkLcpOMU5irtx848osUPNVrSbvGMf4jmNPNdCiedgvOtpCl9AL6+O083I7scuuei
YzsbYzeY9lkdCYLpx7mTivSHXAeUgcfQo791FqnJBF+6IYmx3JmumeNvsTYJZtSWvbX/8NBUYjVj
9ehO82DNq5u19RuHllobcjrc6QhDRzQSd097UuOYpEoohiFtEWzQL43FsSswlI/nWlglOVpzlGj6
yb3lxSAYc3gsqYAf7/ouyTB2Kxxr3/tVOT0rDB2YaROZpF63Q1JaUm1Nh9ajR+t0Af0nMU9L2qAE
L7JggDwUdgPC6Zb+DNJEr3KiHZ+tMUdRLzWdls6zVhlPjv80HKCZrCT+EG0VTJ6+aLiP4vkpOTF2
XTMA1WuQ4dMS0sKfn3PThq11UbR9Uky71hpD017Zrspyb9tHYdPi1MnclQgazJms3gbTh0sM66mt
5VfBh0bl6th2blMchi6Yyi0vW0gNBF1BN5idiJtYPLQiCDJ8mSxnVf/UlqWXY9HBGdD/cCjs9/lD
4dFsLL7L1gqR2iZp5S/w9O24oJzQRbHJ3mQgU+cqTCNZU+ItVYE0bKwxQIO/cUqJy3+2dO6vYb6t
1z8H6ZiK+ZA2o/AnlCJ1hPCYE8NAuazC7ydZlK3Kuwn8RopzO68LQhQFv+Hj5A4lt1lsZ3xpjeqW
NmLYhsyCPE7C+gsCIcm/XKMNHK4ChC9Iz7p0D+VFP4a2Ih1pkrRA7yI7IsNiXnQBcH8QAJJZPhEt
+bO/ni6jntIfwrH8ougNgncUdmb4LmSmiPnUBM1OL3M7VYT0+t0suB/1S904P3ihw+WK78ZUSJYw
je8APJby0lXOWjAAPMLendjJkh6iLHbcSzU17Og1KzgWw8TjKlR3XK92lBZNcmVJsxYBm8a3Lgca
sssJunEHyJD/eH5Yuji75yeOk4vYb9Twrh0xLSe7jDPgXJGDVwnIuRfczdQUNFKIzimO7tLnPkyR
rvD7gwwzG2BaZnG31UseA1ususij1Dolpr7HR2YBODRlYcfUwZamHo5oIv0OLG2CZwiXPD2O57Yr
WiylFpJHf0etVEZb2TWLsdlDcMa9+ktF4ZQp7FJeEC5Cb4oR85L80CrPR8xPcRg3D0iCc4qIc2AR
HBWK1NRfxlbGHKT5jSzKIE24jFglsyBAwBIW4RjTMkKicMwnos1xj5cLc4cS5iqt013JWYYkN5Ul
jBAsZTacp4BpAoc414HiGFznsA1oz2e2N11pnzL2OS9F5dG2GBoMvJyukfRxsJrV/GHVAwHwoW89
N4j20OclSb/oC0sWqaTxkBZZAjXJn0LkzNM0w7gHxwC6bRfGQU1ztAL/w5Sed5LmHSDLELqfyRYu
jKU/V3GEYMSEPpyRmkSKctIyaAlVlxa81ryJ+xh9SDlkkIgyL0oPk2NofeeKVWzvEsKlDwYnh/U+
sQ9QgBvpmh+6goDASysqceG7OfvE1oQx4k1TVDAsNfyK4NLyJS1z2zZ99OFjEO/pvERDcKitUMwX
6LGG9okUkRRfV5MWQPVwMU5IpFwRsHhY7My3c5pLqEsOGaDUrcq0YJWrRErOddR9c5nQV6KtS+db
VLQNh6xGiZy6jat6u4fXZMp8X0sbH5iVIDChI8cN7GrxIQ7ctkNrnItqtEbWC+ZsfSrcupYXdbgE
FQWO0Onm70HQ6OwYu8tMNaboQhrOxuKNaoKuRWCYdrIhIaTjGGvJpUieoiYvuide1TLZjC07N4gM
px+vWbHn5BwNRcBaPalpuew63nFn0lW4bTuN4xWHSv9YNBKoT2rSSZDFY2CRTcaLyR6k+UMkbh+V
zD0LrquqzsdpJPc1pxUVXdIX7Tu8giXgcgSL6HK8VMXjuas4JJ5NSuroyi5qOjQj1cph1ww09Pcy
sO1vjvSWdVMbjLx1giBFVl8NyHhAqXkh97zKIZtoLChmdnbe6LclFimGj0KPwx3118w/5FJrRKxa
d6xNTWoQtJWWP2Yn4G293CleFrlJVcWyOE5uqZiGJczEWjQC5P2cppzZ/E58RF4zfBv8suPjRC5x
AM48+OBcitG55sskN1LIqCYJikV+a3UjLZNZI7Mjfa2xEqQZY0odPQU7RKlwsajMyQ788Ixmn6Sg
yCe4VyDYOtPjgjs2szU6wJnq6Hzme6VCudG5Ne6yshrNWhv1kmup80ltKnjQpHh2XveetlLS5YMN
tcZymDyjDuQk/sHUPXI0i7a4cy9iMSFR8FJf3i/xQoPVcVBN3aTwV25EFSRfsYrAVXG7JARKX+cz
Yg5BgoxCNv5ae818pwOD38pp0/BcB5pCd8iCgloNWT4lXrcuCVQKNYHrdQmJO8BW+162Is02kygL
/nce5m+o4jU9ZlT36T7Bk/fVFoF6850Jzz49ZaJ203qMcZWELFQQCUT/Do/MwNDII7SkMzWkLzMd
1XvAiPVHnFXk66iqiLDTNXGJwgx7IWx9mfQgdRB7ktUrvYiQTXSy8dF1JEhOy9cCzCQQhYfG9hZS
6zoMdQCRgM2tx3VmgaVcmVGYNLAYrWa05u3MKsNf3I45lBw37dAHtH5JjZF1fN5NvWMRt4WPvdiO
oSZKOGxswYZkGcyLDF6Eu4IDpn8WC1/BmMdHYe+wdoJXnaOYlkw7JmTRe8AgMDlquxgo4TXd42Sh
ltrluQZJjcFHWXtWc89cJoNvj5tEhYV/ikLVfYPVPxQkfmMzw3E4K25FzCuLnVoiRbUiBAswqorz
KjcaPjRcXZBxY+pF9xxeJBibbHBBA5eCtOVQKhgtiJ00KZVpBIIQUyJnG2VTHt3PQ2bXT6CVim7f
cQNLvzAhi/YGe1ERb31p2Qh/oylvjsYarebNK0fiU83cjtFr0/d4Zh0Y4vG3LIT1ty97B8kOqLNZ
FERlQOpKb32Yacz5BcmuNBxXBkwsTurV5ghudc6effRXKftW5Q2XHV2r8TQFdpl8sH1mTJJlhlCD
6m2I6JVyIrCCyyH2EBGcjdzxBo6FDdQ0CjpI/gYKZCuV25mX24kTOzqieJknKLgtp/jBU6K6M43W
LgkD/oS03a97dOkpwrlpU8I9oi3T5JHN4VpDk2aiR+0xgNUTf6uctuCAUMcWuQFRRdCXL2Ok82lu
UP13xcKNNBms7H4cKgtN2Vw6aNaEmdQN4RJ6OkA+y+/TwRP6Xrod4lhw1+EbB8Kl2Q10NeQxG6QX
PoWQQsm06Wy7oq8T1QXrwjQFSQBUTJZjfBgQ1kGF7BsPWoOfjVeqHPp4J6uozK9RtVIUjTFInpps
cipec03BXPUKnu5Q52l6UY+N7g4xgpTxaE9FGiH4DXMsaeG6cC19WYAzW7jpWDRb0tLfZI07BruK
TS560WgCfSx8Mqc3m1o+p210KC3n9hBvBy2YqZk71KRSO3sqcRJUrnRpbv5XEMeYLSsWfZxbW1ZQ
OrsftX6Q7UqP7DdcFDmLGQDSeLFSrFXNesZXCDOiDJ1C11HJb2putrTE7XKCBk3RZkmfa97jHv1W
FqGXQ+3gy2nz73/9r//zvz+m/w6/l7dlNodl8a+iz2+x6XTt//xb/vtf1f/7p6dv//NvTxslDC+H
r43QrqO1z59/vN3HRci/7PwXFIw+qyI80RlITAgtyonibZ4GnXv2+UD684GM/fNAOeSY0tIUViZy
ZZKLxs6CnJwqUEYb+HAFzD4yV8algLH++cDqbwO7tuP63Jikq4wj1z//yzecBSpiP+Lc5wQFrut6
iusdUKQJRnAaRg+fD/b3xwnAyPN4rtpmRNf9ebDeD+LE43Wkzo+wZjMUecx1nTNev/18IEf85mu5
hlumVErYqDR/HqkLvZY2Nr0XylYznOpS2eZKOSsjkXhk4kYbq64G6EC6bQ5ptdCbGrypXUNvYtIZ
qqRGVSABYrx//sF+97j/+rnWz/2Xx21pJVyQu6hhR5KkQ9DVKIuafhMXY3T/+VDO+h1/nryulkjy
WFodYZRjfh4rbJWkc0qTsvUiHjbHXvTIyLKOrusKcu27+AhgkvKt43asZVFMwVQI0kd71KN/+EG8
330WrbRtFEssb9PPn2XpxswtNS7mMV1s4jz9nkOhBimL4SqL2SJMpRbzh0F/87AZzJXUpx3lSLF+
qL887IyX26o7bGRBo5pTmKru0ueJHWJCse4+f9i/+350CbXvsU64vlhn/l+GWgTdnIJuIwDUZj64
chKkIwMJtYK+v4Gz4u8+H89Z/8JfflxjG6aSovUiwRn+POCIUEs4EcoGAwzXi4L9BM6Gn1dNBIi2
F3pCv+Q4W5xcJPn1PrmCKEsmMwG1jYYLx7R/mG2/eQDG0ei4ORFz4/J/mWzDXCsuH9hhpdWar1k7
4dHtpHa5vcIDpOZnuX6w//wh/H3RZCYJqXl3mVP0gH5+BlFaeFXi0qloG6f/SMbGeeQQ7R7AsCIC
kuU3n8Lwy+dj/mZOUWx1HcdVPr5H88sL3IRTlZDS7G4Ce46tx3jSGOwbbqDV+0heyvz98+F+91iV
lML3JNOYTejnr5go1qGxEg6gpgiMWmSN8c1AVeOSdll2iYB3/vh8QGd9aL9OLPSWrBqCmSycX95U
qxcm79aXhuXb+W60KRGPsRVXg7J3CpH/oQ2ndDuhPF9LSaI4pSgV/zS9f7N2sVL8/0/xy3RqOApG
mUvwoAKbf+YG3Y/SzfC8VEADOJR9NJiCfgQ2dOEidOxj0oIrK7mUbz5/Gr97yzybQ6jvsz2igv75
8QtsdnY7c8XNejt5iOiI7Sw4B++fj/K7OcXi4XnKcbTPdvzzKAN6TvS6BaFXOY2qckiqCx8ryIvN
P379fCjvN2PxVfR/lgzj+Gr9878sVIZySNj4XKEdb2y3TW9Z+8oKgDIVhi0wIpqM4t9K80pJbKS3
R2debPTku6dMDuk+0hUR0pwDaZzIZ8O5+JbjInW3EaiI76jkvEc1Hxal3uE0ybH1kAfs9RCFLa1v
qJFdoMZ4qjv5YFXUkEFaT2w6wZ6K3I+hSKgraiS8RWpR0UuHFcj7nMceUSYWReW0cCiLY2Jf4nA4
ryQHCXrn3Gym9D3pq4ekHN95wJCSWolNjtARFyxCNrlPwxQhs/ZgT3S3sZt/bzN/nxYpes+awF0F
MyVO7Ls+am7TVr1wEyFU1f3TEvm7V8tnqbY9x/FdKZz1Zf/Lsy9EZnnz+qkTGg/wm4MQejIOZwgf
c104twsq5x8R9SEHOUKayA233D4/0D3ldP2HecBQv7zlvpK25nirXMHs/vmjKDlhDVMRU87Ba0a6
r5e2m4xdtKMqIp3vRd7wen8+5t+nHoeRtSOhhWdcrX95mYpgmjKc4NAQ7NG96ZbceenpGpxF2pse
Px/q78smQ3mekcpWPt/yl683TKG2LYp5SCeH5rvVlPC3WsqUxRDYtL7r8A/j/ea8qTwJzkqxHdnU
o37ZiuomrluLtArO78M8nwHIeccoBcCu6bHDhvwTJTkcUJ8884J5esTsz90FiukmdJb6D5/m7w/6
5w/zy7evJA6UqKLv02uvQ9pcR3AbHEglCXJOz7v+p896/UH56JzqtcsD/3kq2RTMdQAb70ySCrCP
ejk+LInr3U4TmOq2S4t/vOtzhKQ3JzwHxYX2ftmBXU9IRYgGluPcuVwiWhpot6qFrC00U+B9ikt6
mN0f5u7fJxSjMZ9s7i9CsJD9/CUrsaSeF8N2cVzPfu1ciC5NnIA0chbw/ChcVnX+5891fR1+fkU9
h1wCxBtGsfXLX37FHvVtbDB6nbVxh/CxnuyDTyfQn8PuYGN+aLfJ1IGT+qejGldIjwglW/Gyql/2
onKOxpLuHbfccSAXYjUORXlCk2uYvaspUh9igSL9+Zh/n69GKUiHxnOM9oX/y8KgqzijhZ+UVGza
6C4vyfujeOodm0haL/98KIaxfeFwUgW79vPvKPRMV6hgeR+bAWhZn2JIS/pCITPKomD7jwfTttZc
PFhlpTC/XEJ7WblZN1A6bto1n0HPY3+OAaUC7pP86XdbD0Q/z5b1Qq0N34xqBaWKn78YXAJVEThd
g4rEvEPt1ddgMyJkPf1HV2vYg0MRROGGUCpZveLPwAb7D7+tZ9vcoOnBK47jjvrlE/RDgFKM/Af0
ibXjXfhzCn85CQ00WyyPoXfx+XDrL/XTF16HE8oA12cp8MQvbyTht2yy7UCOGTvJMyq0fk+trbz8
fJT1Q/86CqZQ3n1KQLb62xXDGxerHgmRlukoDjRh2ofeQAjRQUcap6ro2KhBj/904ng2RQujuFDS
QTHeL7uJH7UC46NhVEfnABxX04jKunNdF/M/f4ws35J13/hMVfuXClcl/i91Z7YbOZJt2V8p1Duz
jaSRNAJ9L9A+S+6uWaGQXghFhJLzPPPre1FZVQi51FJnv3UmUFkBD4lOmtHMzjn7rB1UoJKZo37U
iAPFDGfXuUr/4oY+GCy6qhgki/+QZjq5IU55kLuaJoXQWcPLLGV6Qa8QUpnPR+v9ZUxWLl26lstr
YJ4ms5zWp3pZ0QJbkcH0121i40mcZF2y/fvXsdh65siMM9jp3Kv0xoGLCdtpAC5LA5eJbwmtG0Vb
Hj+/0PsjI73McwZLl/qcwzjdXH3yssru6VOMhFdv6jGvADZ18c/cNqN9bKOJbq0Q5fw4whOzaRHp
M3TAn3+J9+8A34H93aWJWNikG94uLZ2eDwOwRX/VAMtiIekHpAWrqZ5wDFrqZYZX4zKsib6HldZR
Xfi7MRiPgDZliwG1AEqdRkeTbyEro/kdP3a0TEvKM/2ZTsPSV/vtuy2e6yjedaI9wdn8NIPR674f
U8YJAH2aRnmUIsqDR0xnJv8iacM02hKUOsYXh6fXg8PbBcYkF6rmLJXQLfs03PZSNY1hjm61T6sI
9aptFUcIMEjqZZwfesvUntGz5N+phA9HmgjFjRzr4rK1aSWJIzSwjjdIZA2pe6T2nt18PvQfPBMg
VrbD4ZAtRb4ee3+LWIrG7mB7YRaZ0NGAAbKIFACcPE1nHBWihNrCyTWnA+fzy77bzGzSOYpFSUnX
cAxzfs9/u6zW9sSUPpeNkYReGoit2MnQecKMFPu0M9w/gfb5B81pox+fX/mDG35z5fnz365syxzZ
HcSVVTA0GIRGegdeoEHhU8LsT8Zwlza0SX2xbH00CZRpzzkeEi486JOtEwVB0ZPIQlqVGecmUKLV
NCArLSBsLCG5oYFHubRvDM25cpn+B4nwCKmLhTxYUwDTKF9dt3O7bKMK54uxeHc4Yyz41+SoSR+n
YZ0cYpKi0Er6njkQQmbEL0TzWOk8kH3oS7540z8admJSMl2CFDTXfPvwNcvyR8NA1RxQxV4QIwN+
GgkgFpPXx9cpeKOztow5EfdNYDlfXPyjkf/94idzDnMhkJuc6fFJrmA8m2YyHkfYGQejbbAVCDtI
wZ/PtZMny/Nkr3JeY0ahhG6cbL0hxWi3r8m0tXEa7zMf2urodMWZPzrF6vNLnSzhr5cymFyCitb8
78kEs8GMZFmK2NLQPfkkYt/bVV1Lc5ihxkcjGozr2AX08cUNzjfw29r2r6uSE2YsDWmcbpNuVUeQ
+OhBCtug3ptpQLM2oRo93Dn0oxbvUzeArtIRR12DEjWuPr/pkxH96/JsXOzUFmkH03g7nSZPm4OA
mThFqz29ETYSWvayqcNaLEeiFwJx+vyKHz1mtus5CaC7rOcnjznSg9EHFkGCp4yRnDV60vkQNQZS
1HmcVw3dd7JEFJLWKHM/v/TpSeH1bp05OlUkKumXP5lNMVYDoV/P+GZQ5dsEmfa1oUo8SCJYQl1S
F1sn7LRd0bBmoy/NsDiMpi/eoY/un4iHeptp8BzMk/uXZmI5doco32stTdIt3LbsXvVkgcwsXEh/
rj2jaYXj2V9c+f27RHrc0TkpkUads5tvx9rP8d9AOoczYVeUmxwpwbkZu+HaUP8PN8mhbx5cggJS
aKdRnSwpnxPsMaQmq/VkDt+NKr+x6RRauwpTFl6x7edj+34iozwiZ6uTOVSKpeLtzaXsREgMeKyF
CGeft0YcC1NE2zJxsj0GYd3Z59c7OUYzlbgeeUqD9IpkfToZRq1ONXrHU4p1aUvTdxy7bU5i1oTs
+fmFPhg1sBCCEM5gwzfck7CgMBXyQ+WyLHUNRjsjbqJwZYfroKU57fNLvVY73y5GkmuZBP1ssZA8
T26KpggkDiaJbxp+mn0QYdth4hC7SWZ/NjeMhy1oC0Ba0/jdCWisciu32Vpz1UxYtJNNdiVXg4kd
Ko459nkvxz/DwIeT7xb2F6/yh0+FYabowLMxT9+iUYLvijvoIUIfs7VTCIukT44oEA3qFzPro5F2
OH1SxqHYQjTzdmZNvUBDapGSFVXdnck8bWnMs6Pbz5/9R/PXpVhpuoKY7F1JyZ04SpfIrShEq2GJ
ttFbu0CP94jdAkCFMvgiavrgARKtk4+cE4RIGk6G2qWXDW05TX16iQvYECZ3Gs0Cqz5yrM3nd/bB
83Nc/Lh1ljtTJ1p/+/zcNkKg1pBnRmQw1qsgiaAAGGPT1l+8kq/f+WT60tzmvE5hHUHffM+/HUyJ
eW2sAaC6BCMiVuhu4/e6kd/rARJQYUTu0kfh/1Cn1BW0Ir2ZxRt0RwwuJTu4OIgNgS6hblp5phrO
q7BDotO63Zp1eli3Kleb3AJk5VsJB90We+ySVMPKKZ0nOmjoDkAcDX3XFvRl9t/1DqkAdPVzOejW
LBGyF5kJsTYRBUY6iY4hU6AvLRHsY63F1cF8KVwPr091bCv3z1LFgqh18PeFkao9jkDfiaXnLvMS
CDjQEF+M1nIQRnrMaNTY1jI+d0fIrIao/KWYLH1Z1sgB//ZIkkbifaOgTMXv9DAW+x0uCzkidydz
gY+PlptpGzVJylefX2iefKcDSUKQ2MYgvfsu2WkkNeLysgfQEOFkQoYyu41Qrq/K1HAvaX1Ew68J
44uDiT7vf6dXNTlYM00IMjgNvZ0+kZuU7CICPUw3hfES9SpRBSYvzVqiVFwHppFeDH3urJwgCnZx
O7wSwMu7qcuabZFbGgCYEAKSN9HhFvlmchO7aUtHO9VYbA6VeZXkRfrVoHzwIpNyZ0DI5bnUNE52
9aIZlRptYBb52HtnQY+8hGbcqPjW1Rb8p88H5v3FSLO7zlzI4Kgqnfld/+0NA2KKB4mDprUrIdcj
5UYQS9/0JqbH8otl4/2lCPZ0IluuJokCTkYj1MIqUKWGDqo0wk2CWgKYHBL3yNGK3ed39X6F4lIU
ZQiihW2a9snZwRw77JxCwA9p18MvyMJ+pbud+iKNcRK5MZXnq7zWCzgSCfdkoCqXYKKF1UH3aE2X
W1lC5hpTuhoi6rkYYIztJmVFvqxa8Ep//wZJ2HBzFM45HZ3coFbR05T4xC65EY4HX4shNRLAf5Em
ff/WMjWoOOlSmUSop1uKtEc1dT4+rBHFy2iFnrFdDUEXnHnCdcwLOO+T/q3sXev+87tDZPjuzeXK
lGiV7aDJIAn3dlpi9obAt2Ku1BaNxtCLt6NWQzNdUp7hzzit5+lDVnxPTRzLml8exM+hC1aaj6Oz
AzsF0zk0ZtO4TOJLwpGFVhnQEladAuLRo98Oaey4q4CKTFODu8iy9J98KvMqEsvWB76e3LTTlcrF
phoAu2fxmt4JqvsJwtLizAQpCX0DSD7kyJI4T9+ABRDhjvaMZWpfNPoAiCnEGsQ6KGzoffegASV3
nzuQKllARsfGaY828tk4ApwdpEU19wdBNq2weyhsCJcDxTxPJYe+jcrzNBgeNQ5xPl7s7lkSVkvd
i9jAnnxkIpU3YKdKB0drPWD/0jcbJ9hxcOIwqb+mKg8x7Xj6pWoB33hyNdEdhBX9MocVArhajnee
wkXhPqD9npVmtL7RWwFf51529D7jbpXSYHCXYMhKIaUwbtoWlb1z3mMP3Zfmopwu8Z2hO2Lh6Bcx
ViU5DXvDPY4PeVABTUI4jmOYQ5kpoOlaeT8nDINN+08c9ybzAgeqCWPbgHpxDC+CjW8qflpkOePm
OW6JL9YuJPUUTlKHC3wj8HDPHhq3PJcu4J04viQuWegAyKb42GGF16abjC4X1LXSWRMT0qVxHmPP
6z7WllowtHB9AEniwqu1AF+MnWF65622lckmbnWaSQ+ls7RBg3gXgVdfDMm2B50QV8fZXDFCSYjI
PffvQaviIKVPl7247cs91ALh/sjBosVbCIxAXNrzAF+Hptujv/ZxHAQmrec3g4RV1V153dZ3mzVt
ebghXEmA5nkATk97NCb8Sr8ZFSy8+Dbsn7FGwi0DbIUOXKp/8af7vDkYqJFR/hI5NOd2fIONjZVc
G/GmwyO+4JBUQ6msy6cB9WMV/ahQE5UNdhthiN/EWTdA4XLOELdPBehhlzbFCVT5rOS+KOSZk8TL
gCZYKM8oFG3gWfBzmiervQDan8JCCWmaHMbHyX3JO3bw2wRZcxxnZ5Rqde9SJU8WaOQiwxiQTmbL
0u6zLIdbhIoZKrQVD+dAKncF8M3GXngRdjNttCns8869DuAF4CdB0x9YilHSBICjYdLuwKKu6UVd
V61YJcRijX0V49rWpeqIKI2POD9lchN1jJK9dr1LI1/RN0BzLHzbH4Y3XNFDvtarHTKamPY3Gyba
56vVqQzidR/4fbGaN77f9lDLSEaRex4qwMH7lUXDT48ldU1ocONq2u3clzSq9GgOdK0mgX4/5RBA
7OqL+Ol1+3x72HFIAxBVCgqDKGpPtoTBivyawgzn/8E6yCChKwCrd1kfc2liHes08dqm4fOX8iz/
ENQ1dgBYpk6I6RZdjHX65w/l/d7I9iTn4o3Ll3oXeNJC4/epzgJu+n5xVrlDtHOaAXxpklXPtPLT
u1RFHa4GJqYon1/6/TmDSxMDIVwjka7sOTD7bThqegA7kaPMCj08fFv8oXZFSmtH6tVfHWvfnzMI
IKng87/EeBQN3l5KhV49TDnIvoCa2BylDO4BwKr79xM9RPBSEUzqaJvf5RQNs28r+lvmfskExODQ
RNe6pyI4Ll701Wx+v/WSrDHRLJENIXI9zV9OVpX2mY/SJK9G/zxsy+lscDKsyoYKQ2gkDaw3dY0q
I65wHJMY4wkvvtE5ZtK64vrsOrac3dsgFUwdi0w5Ap+3sbj64ot++D3RpM7ne4tC7kkUj0majd4W
ZmGGxhq48DCIx15X8l6oAbosXZ2YsqVVEIgvjswfvO88IU5+inwY5cHT4oCZ2wYcFoGdDo7maFmu
g56uHL22987suzuUYEenH1NZemsrh1fJhltCffl8ln8w9ajW2SaxMa0a4lTrb5Es6Tv6/5A3B9lO
9yp6GCvf/yIC/+A1dqmDCZRHBGUkkN5OcPDbZmT7dOiaFu2pVToEF6WH4xLNnOYuCvA3pAnO2Xk1
7uyf39/72I0GFFLK3CO1cwojb68cTYVNr42PgMRK7+lnP2In89Cit15VwJstzXkknHRmz9nLzy/8
4S2Tx54jVSQd5kl6jv5ht60bbnmia+w+SALj2Fl6TckRHhlOzv0G/nOwwejzq8rB+xlNKwqKboUC
eS4fnCxcSPdIrdAuuehqXd1mxSSvUir7uDP5w750amR0yHWs9ef3e9oxwX0qUsik79GvzxKokzCG
DEougpaDQWEXDoBwQGjmQks9cSW9tLyxKPz/yAs9AlDh4aMBpjOLcbuBzI+FtBu5f3vg+ToUBpFi
sX+861+gOTuLGgvkdq3fQdIt96gMwe/zD/zeDPiqAupnBPAIXWkUXz2MedV4u4uSPyN7piRVf1Jb
Jw8DNJUW5U5TLpKYsrcZgj529TI4h26NOxQdZ+veSsInM+3GJaOokBZJTM4Hp17lfZN99XXmDeTd
16G0wUrDavxOhVAWbTt5qGIWnmd8s8ohOtSFUd9U+7YY+zOALiY69KUTG9UalI0OgAs1eByMKQZJ
X+o9378ZPJvfvsw8f3/bWFXrBlpYSkAEkyf2auaMedWF0sD+kcVvL4e6xb/KdJIvnsJH7wX1WJQK
OirEd4mDCnQsc0AwJhBXVsIrk3VTCnQX9NZRxbvzW7v8YnV9/1KQDGGjZfFBSfs+ce5Gc/VXIqop
9boHG2T2tF1mcEcnhAcpeldokZ1cerUOIn+avUfsjnxRzyB8cZKa3/o3U+D1m9CiAy6G6tJpKBya
oqV5yg9Wivpwd2ZSgBmeUP8aLvS8UTMN7HkMnsvnq8K75ddAE8tFX3VtdC7N289vYz3SFVbSW0oS
tbL9balvU+0b5VpmYgVy5cJv3HGBP4j2hVL/fUGP66IlNi1SywjPXj//7bo8VK12ChsuLkhUuVRm
fxNn3b2MpoBGU1td+cWIsBhNbnKtbGgMlDUBQOw+v/uPvgbnurkXhKMrm9/JMqBTuK4VcnCK7raJ
R+mkYZZNl7bfBOY67+BEgQbHhAhH9x0ZIvktHYj9Pv8SbweeFRDhESNAJdekxkfa7O0Q4LYzBOyw
M3jDip59MzSJXDMxtauSfrVj5CV9/sWb9vZQ8XpJWnwoSSFBoagqTjZdfErAAdmYj7Qirqx1ORbF
z5o+3uGLNf6j60gTqSLCOMpS7yoIdlBZgK0IVnV6E+JG6Hcu4IovRtF68+a83o0xi6YFNUtkjKdZ
QA/rFRylSPv4YSqWtl550OsCA5S+N/36fKy+uNTp60LvtPBy0xzoOldR+INugrZ4STiOJrdGgHfL
y+eX+2BqzFqRuWsGPgxBztup0YqwFo3jVou6MidIlCgcKb+PFbZkkZVx3hymIPgi2/nBLf5+zdMC
XS4LUeZ+yWtfoNfajioqxbltjBiLWLyBzV+D9z/edCHXr13JP/NirELM7E7++N/H8GeV1/mfzf+c
f+w/f+3tD/33ZfGS3TbVy0tzfC5O/+abH+T3/+v6q+fm+c0f1hmtn+N1+1KNNy91mzT/7pee/+b/
7Yf/eHn9LXdj8fJf/3z+lYbZCreXKvzZ/PNfH80N1ibqVh7ufzqy5yv86+OL55SfvMt/PvOLsvqD
n3p5rpv/+qcmrT/IPSOUt0ipuzpZ7n/+o395/cgSf8yaNZtTlMPJGaHaP/+RIbMI+DHrD453EnQ0
MblOjXVe13C4eP1MN/+QLL3zP7QXuKjg//nvZ3D113701/B83ENOjvjtJKUxBGEhOn5BGYOeK77Q
20nqD2bqJAWIttwas/PcVBTi6HF3rMUgJwOYZ6cw6fEHzb9n97eg+Nb6FV8eqq+lldtKZ8+r+lxt
8XYs72WPf1KKLZS/sNFm7UVhcUpDYl0vdXeKd5HWpw+FN5jf3CBzvtkgCv/EwNS+01VmXik0bkBo
dPfeAE+0cVyvP9hgONVCSrtbF55lfpO+0T6WLfZpPFf54Fhld42bqNp41eA/ep0W4lniTh1Ifl9e
BO1Y/ogtjCIs0+6oOoIQrBziFbOKNfgLKYyeFFQm4n9xEQxWcFYzJjdeDi0HeDq0gFIa5IhxYjhU
ZabILaZpvMow86Dw7alNiwH2NZBWh4wtbMakT71tQzGU/iir2kwtTotBaJi4hHTD3ilH80l0Ur+B
JFji49qNWxqPwiWlquiRw6o3ntEKlgBadsDqlLTGhCZ55Mhrc1D7pCejrurVxi7qGabcMAz4cZWK
ZK4vsPWEDVa5Z0Zkensr8X9OLWQOxGgmeAjGsS4ecCYp9nUQp5cdFkDE5LG7g4+grVJO2yTmI5ls
VZUWW0vDBFboceFs8yDF17unbvrAHE3wxcsjUKlubV753aBfJPpkkSakYfqBFUQLllFKymfRqAET
eCq3W71Pu32H6fO6mazsKrfCEfpHXVItGCdeF9W7B6htak2LRXIja5Cf4C5aLE8CtNK7wWraOx10
28YtMv/INhRf0eQ3YyAyLzrn2J3spB2P39rEmDGpHAWB42RNthd60eBobym6+XsrPEsm7KS2kzSy
bei1+tFrYL7Jaszw5mYFn42t+35dtGFxT8dFtqqjIbj2YQw9MKHGfikCq7wVviHvX592Tty9hwai
trSMwx5Bk3sNEA6eLCEGdP3IvVCeOw1U0sxi7Wl5uM9b01zVsEw3Md0I+74pYZ75Dr7Girl/H/de
Ae9DIFqljdcY16Eri2KlxgpJa5eYDYfIqN61Dc54i6CYvGOhm/FsVdrRhYfnMIz63ogUZNbOPcS+
Ju+jrMoPcAFBOddZtvOKtNrm5qB2et1Nl1Fnl2dtPGZnXirHS0Cf7VqC2qFhdZKhvfLRvvyo7aG8
VaJszmK31GDxN7reroXhQ8ZuMXPwNwNUmS0uj+6ZgnFXr8iEALFr9ZhUy9DsTN8S5N6nWku3dPSB
qqsHJ9zH/SjvddFrDIxljdiXyOqx6QMc+5w6nr6ZWs2YtPmQPtRY2VzHQ8vD7PsxeJBNBd2k5+5X
OaEBz7CnRiEb3oF4rNzxArnIlK5lW8Kj1U2g3jsaONP7fhos6zE2B4D+KUdnwJTtUD90wvAeK9JU
T3Ysy+faa8IKk2gn/Z6DZXmhX5A2yImtXq4dr/PvqEyJhyy1eIdz7tDH0goe4iEwSdpCSBldb0HS
pHiw8HU9Q2OXWmtVSihoVU6mbhlB1NiJui10HFbj4DrzhX/VFZGzlngMX8KnmxQ25aMqNiUk2pcx
CwfCR4hlADb9qZfAnHoUuUmj9IOfawZUsSg45nElz1Hqd/eJ7HF7tciAzJRVGvHbSrh3TGexFmYU
S/CyqfMkooSKjdRMDNUTzvtrXGVz3HL6ykIN6BTuQfFqWLSw2kx+ywC/QS2iCq9rrWZ2tb5IEcKO
wXUeuQxUnTNDlKmpi9hh6se1py780R4nMtgDvsCTVEddavplULT2Lo8Mhg351q+Y4sNMXen6l97W
sIkUftNvpK/1d1jqRc+QRdRapjg6LftJpLglYtcLCBQt0HNflWKX1xMA7FhAGVzFAPnISRS8lH1X
qyNiMgxhRM14v76VfeomWx8m5J0C8XrJK1E/xU4YXOOKOM8wM5jR8kLe97HpXeaGGNM1LyVQ67zg
1/VYSlzyLfgutVMG19Jz+hfagMJ9n3CPKEr9X8qerzYfZnc9YrFjP4TMSs2UmHvPixwSE5zjuuxc
wmaGjFWobW7TsACjVqkLBQEPa/mqWNd1iqe4H/MyilD7JXxTrjyHVK2C9/+64vi5k2zlmPO+V3a4
V0k6Cyeo0x6Qv2e4wYfuArYq1bFQZwCMeLjLNf52nNZwx2FnwjfhN9RRiL28lJSGRAANNCsFr9XI
ei8cMuW8DXyZkF/YN6Cd/J6SZZ22fOu2HX7EgL/Mlex4E2OHCSAmc549wqy+S/ZH8J79sFCKm/Q5
ea9efxqDMmZFzQtxyCGIcRrn49jtg+sKefFSlX2PvQL/T3Ka3TkCVFbP01/nPlOIXgQM7GrBF/Uh
5y2c2sWrquFmeAdcoJ02swkMLn3xbojBEynYCyGT5owdQa1567BxwURorZrYvZj351u/YzD+uml7
nH+3ruIaKlM4L4PQ5xCRULTiJyxZfRd50IBF71hJFhI/YlwnJMt1ric83NcTVDpqbLE1Q+HHTD6f
DqZ9H9XzHWvQbKAozjMfw+KkxRjMosA5Wj1u654mt3ajmpuMBuVd42r17dC32u1oOe250zvNok9G
ircoqu4I7O1rLS3Nyxrx4kXqIZpOEl9Cj4tKf29LVa5yoFegXDJr3wYZxc24z8+aOCp3th7DSOqL
6iGzg+Tak2RrpVVXM81nRLFlF3PGysObJYq/+QZOKSNuvaAD9XZHGUVueZX1neP1xlorBKqqApsz
c0hBQLjCO2v7yN5X0nSv60n2+Kpm4Z8WgOFVWgl9CfAoA9NlMe0E7QGIHvOjgSrth0aMjfXPGGJT
nQfEgWhlR31S6wJJMo7tJvJhkLXWSuZNtaka2N9IKtWh1VS5Kbu83PStb/yicpmtOce5K/RdFEaA
Qa8tbngp2qT/lrDpHd2ud28QolXtOiVjs4f0gi2NG+oLS/PVvVVO6WUtyuKHmqrpuwq18qDLNIRt
nYp6n7RVtXOKWKWLPtCd61yIubqRZeIaAJODSSvpgrsWt3RjUbFc/FJiVKxsdfwnYDVfX1sV26CO
svECJlSiATaIUC/oaVY5VGFKmxRS71jzEuGba9qJOQD4VhH8SsfGuASOlf6QTCycMGqH4itPvLxJ
sIDHJZgN4mkC2NedWaPvPIPtL0Du09B27+IFWCGSq7xvNmqrajm2HVxXMIpoyIoybItNA9vBxy2+
zO79UGiU4XXhXdU5zi6WZwCzYGu38pVlDZLZ2zoU0tQgqeOQY4Ksj0q1XXIcBUdH8o0YwkddBICs
q9MXDc3LBesY/Ny4sEx/01uZjq3jvHj3vWRJz4q5fThKdfsqnab6kRMtS5LIXTy0/BIWq1DzptRj
V2fuBO15LuVremNXna5363wY1TFqiZWg20NVXuVxbVwgm8O7NfccXD9UBgRzpcKm+g7s3zE59HZ8
U1Ehc1j7VsYF5BTkq6khJcBO61OzHj0HCEPGZhFgPhKDjpg4VXnLqqVaFHWD2S5rLSyOLXKvK6T7
GLHEJliduG7jq9Z3nRtDq6ej3jpJDqLehGw6jbRCGVYYqAX9LIJDclom0fnA+g9VO502eEqMK22a
tBy8oz+EG6XKiJ3B7rla4wxEZX2fQpouU4CFC7MT2oWRTU55jo+57HiOfZkusc+oHwGYpi9tKadm
2XlTD7ELdgpgX9uKt7TjWA+w8HQXHwiBQ02HXvVSYk2PN6Qdv3SW2fyq7dwArNH0+ACYht9v276g
rTCpsB1JG12SUtNRvhVlEfRLsxARvWF59t0EIs0WFZLrtpzOQRbiG/2mih3MohC0SHks+qys1iWR
ZkhIl4DAYjlo2ddLRM9LJcDdIbWOqn6N+4z2Qy/VACcIMLKHU6iJdVQmPIGKoqm96Tz1B2zNqIX2
JPscMt6LXER1skxINvk/WETZ73sF0O9iokaZP875EKgfM/35WuYxMiPpdWl7zNl1tLWO4cEeKoUT
LgJNSXstiyH/iXWg/thLZzymNa0Fi8E0cmLCSK+CrWr66ZaAtu7WodOirY20ipuuxgTbwKHVI2y/
eniJK6iNmr8z01jkK6ZAleAEl3f9dZhWbrb2jSAPdyQvh3wnrVyGsJQ9e1hGAJNiqhd12BIeJeDC
C9L6GcikoeY05lcDcpzSF4cgJYO1wKVoZO2OWge3oiig9KsrXixQ5do2wFaxWcV+XmIuTacJ9N9e
jeGiAgK/70rHfgrr3P6h8gZb8NQdkpfUCcJvCUHl00RFilh0sDoQuK382bmz809rORO5/WLKTCQy
k53v7JBSGI6aGpcDYo1eF0LsS6rV2Of0iAr2Beue9wpZf+iGxFnZuonxAzOrOxDU6tskk9VZaaSJ
POsb4JVF5+Uv/kCZEfIe/kKbIkqTBz+NFPqdVHAUHgniaEYO2gwWT99gtUWU+mi3U3fRNdYQbUTt
gDOX4fgtClvWv6kmDe+BZcPHYQQbvvQSAWINi4KpP/iqtDil8u6gxSEo36ZFhreeV4xRhSmn5SBc
GY1wUZfDcAWlXruRZqj9cEujuK8STyfZH1FrqCrMQbVY9Df90IYvvAH2DxoiXSy2g2RYOpUCmJQp
I74fhd1974eyfZl6jlhkE40jFRofX3WDw8gizI2phUHeOZcErjj2lUY37jB9L/ehbvgXtIcHD8qd
LVjnrpBxoZLYfhqmsL81NUvcOCPIq3rqWPIc/OQ8Oh2uY5aT5ZRhMTz6wNSjvrTvgVznISjcAUcK
vXIvh7gzk2VMauaygo7+vSykse4dsNkLjOajJ6csgUyGcrx1kIzi9jNIHNlD6zBwmDnS7IUboGag
8+q75hx+vVi5eg6yN/JYc6KEXlnfR2LGYQbbc3d6NAqsT4uKnXuho0A9FwjEl55u5Ye4SNHEqEF1
ZAWwW4cb0+0DIx9eZC6na29WAhqMREtOp+42tijwh6ejCcSviSGL7zU3dkH3RjJa1bqucvc6aRLn
ESPa8EFPveJcpRZ+3l7fXSqUWTMJhQaaRPeZ1FVPn90UXRsOMOxiqLNlYI/apTPo6V53UyxxWgsz
aRwvni0NVxgPBc1ZVglcNqwJx6UgDg5Zgv95r2E/YxiNy1Ew0885hdcHwEUVLQfFZB3YQuzzkGQt
eWjcSztEHLtGw2HJRbG0cB3NuRFYVtz2fj7d5qqwz2ygx7tap+qR6EvDMx6jpmwOeUWs0ZM8uygA
YJ+TP2vPKUw6G0+W3lEQ9l6yZ9lXAav8t24On9k15sM252MB8ntJSxE8rViQoYBvnNwU3SS/m86I
6D6obcjDps5hx3eLa15Hdy1jZoWmYekS2p2+MgboFTpOJks9TZuzPijkOrLc6Qojqui8zvX4KEfL
W0d4Tp+7vH07X4X5paebDSd3C9D1Sjch0avcm6inj7Qe16LF7jBF2KeyIEGC5ye7gXJPvTCq0MTI
wkrPko7gG5ejaa/FmtybYWYcR9pHdgYQ7B0HKxr5RBhmt4AdQRgnsB6dbDv0Rp8ghmnjAsSfAOnu
Eaf+yOIww9EzjQ+27pd3ZtWUbLTW1N/pdclxdqorJHSa7X+Xha+tg8F0j3FWo3idEs06mlmU7LKK
cq/0/fEIUNm7Y80FEW7lxBACoeK1aCb3gGCCXIpnwE5dgOdQoIuHbJaEDeFP5YTuRTbMM6i0EyC7
cRXXAZuKtBd+Iu2VXYTOjRMQbUrWrXPbM8KjQjup7UkEzQHLmAEwUqBAZRVh0l4SGSlbC/dmQfT2
Gi1FFT5dTjJGzyg/k22UUR7lDepJdplkc6WhfZuCivyXigm/EVUtI5ekEkFQuH9NDrCJDz8UG5y1
EFor7yn+Btd1XvBrqqjmm00dYbNEtfAgtVSYi9f0nogJ7vJgTtT48RxJzWmybBgINtl5zlor8W4U
xOEbrAWiA0YJ9pMF8ffOIP3ypMCar8seDKtWS+2uNk2SxBVpV/Jq0daw0GcmMe2TTjFk7WIELsRO
l1XnvnD6Y+EE7gZQfI34tygPxIX1Xe2obeO3uHmYfX6gPVIex2QYf1QymV0/bP8paztzZdFI9TTk
sbaNMzVdDIPBQotrubuyySrc+fAhf9q9yxQv0oCATQ0/Y8fSzyWiy9nFiMktDM6vc+z2nOMKfRdz
0L6NA+YBBx2SnuQNd0SzzVlnRDy1KsYoBZ2rUd7WFhnFbhhJjGiKYRQ2kW9VknKQqufoHLa5s6Pn
r2ph7mDn8vha0/hbBZ7/30o3r80Y/+fCzf/6WVHI+6sI9IrSnXs3/lWxse0/ZrIR7BJKJYbFsfc/
FRvH/INuNOSSFlorbLBmBc6/KzbOH0AXwXm5rgNFBF4QVZT/VGz0P2jlpYWe9CBYjpkG8zcqNvYr
PfM3pQFsRzGDV2aZAVwUspunBRs0om7vC9LTdIM817o2nhU4i0XL3CWps8inwT9XbdfsHKfob4JU
pIcSWeBu5EB450+tiadpHjqXgV86Dz28BDinUEdXpd3PGQ/q2XNLMLplQZi77jKb17TyzWpTmpoX
7EpWSETAOi71tZ97h6DU9a3rDc4hN6o4JAiM8GQrXOsorGA8DGnkLGmMN/43e2eSHbe1remp5ATg
hbpoJoAoSQaDlUiqg0VREuoaODjAbHIsObH8INn30rSvuJyv99ZruCNZBCMCcbD3X4aqHCWQom19
W9zZOxdxq7xKEus/Neo8HZuhzraZNhsbCH1nMziE6CPb1M6l8PpDwiLJoMvSzYrFYCI6EI5oTYf1
B3Mgcn62y+PPlhM1F/rllI3dTUbp2rNs8uLFEpXg+xR15uNEZCK1h6YwbxZULKvNe9hH9oDQtoTr
Cps8bo9O3eWHcVT0q7IzRhqr1PJZyy39tZRmv40VT9xMeS6vOYDyw4Lv4rIkyn07q0VymDOH0uJC
6tdpLYdTm2rllmqs+FNPCmkaeB61KDP1F5zFWUTPH2VbaKClvhlUlb7artQPuk5/uAV3vFHJRToa
shAnMu8J1HLURg9aPPO7JCYIS5ilvsXBPl81drVsCMTM1ryv5TDyjCYjuO420TJSsxaXn1WlOUta
f3ZahYV0IX83bKMSB3o0Wb5JsuKO0HgKpNXRQZdZjDJ0ClP311T4jVc0y1ZtRXHZjV1+S/2OSgoF
tVnCnOfNMChU1xpuvO2X3g5Y9eh78DTjdaE5/th5dUOXi+tNQakIWBtO30+LG5V7uwVjzUnUp/S3
vyLKAzycJPCQ03U8gr2WYVZQ55AME+sw7rHbES3ZvqT4BFxBXU0GjTi3Q1MRJUtrmGoo6jlv0vjM
JYdtxce3ZfExgINm9VHwCB9ukhxsmE6NCQXfwWmzOv1cWoPXmxtFp7rQeS692G5bFKGdkgpGG6LE
24A/qYQSWhOqHg3ORVFYGCQCvA4TCAV+fFluKZGfl/TCxp+Wa2ca7ggrIhMl5OZIDvlg1fdKRS7K
it1soznTHgrFaW5GQnTu18qLUM3n+UDhxfDIgx/L0MS5fxZWVCLBno1Xax605zZJ+o2LDzGYaAU5
FH1G3yV3dezPedVdiM5wLoHzAIfo/1IohevEccl7xt7CXE7W5OlndLL5MzgNSetNray9Co0a9Ogc
z0vbLyowf4Q4dm5dHsrQUcRI5fSca4XaXWdMV+2RztieLu4F9XA95LCLgwupKYocx8TaQLgUi0kh
RtbsHTJfFG4ie6IwWGTHTMz2vnfi+aYjufxK5xVioGyLS+AaYkxTRpCvSVvodFkb3SGnXOpuoj+K
UgSTL2cz65/bThUPlhIBiTh6nzN3WfWhQGW+Q+Pt3lvD0lx7sVWenFGtN2maGefR7bxHSj1W54Gt
dJ8m8nriPW2dGHWKIsHfPStV+023qfCrSi29kVlblYGFsubLgJDuGeycxN647hs2Hd0MkUjQeb7Q
rfa1gtPkthsJLPNlYwHwoDAUO7XIWDi7iKZQJNEMhrGeUd5bq0p/SpwkObPG5zeeO+chFWEUtpq2
VV/lFL/d6FMrDYIwXNIvlyS3yxCIrt4OxpB/MaoOtEWlZzRRquQiYkN6oAlXXBQ0Qu0TluSgxw3C
hJgN5r1sXPvYW1F7Al2dsq2nK92dGs3WHdhPhJ/dsV4ip1SPS+IZxzkqms+FQalWQH9MItYJrt5w
D3kHI83tvc4TiZYBsgvOMbUq27QavVMbZ/0nmu/qXdcOTKZjlnu7KbGm11qxtMM0L10o0ja+RJGn
7KlWjraoEMrrJScwCTrF2aeI5V7pzux2tLcMfpfyCQb8+nh2kzXWCGhSTY8pMY5hifF0kzkZAda6
jrzVysb6gABs2aKwMPfG1ML7rx45vx2LFNcV439NCrKfz4575Tm9+S3J8FbxT9prNY0b4YMtzCfV
s5WL1prnG9IxvJdRqNEDAF+DghT1/Wma54RHWO6JoAOP+FpH7bSXfTI/a6qsrjPDUbSgoTxsvRer
q2FGeDxwBmVB36XmReaVxn0RDcNDifwv9tNylMcp6YvHgqK/TTrmxG8sij7uUl0Xdxlo27mdcf6b
eqtdWb2q7IuSobS32mZLiwsGpiqjCnbQRea9VjWWjgN/J55HAkyCKonUUxMTJeDLqik2MxDW1uhX
9r/RnQiMpjdfRhLtd2WRNSFkVsHxaSoXdqeOLCiEEwaNbVIfXel29OAsMBKpHCYqZFrBElvr5rJb
ambewMlw5kH4aTeGQXMbIB9liSF30fyaiNTazDydvkRuO38fzWwCzKhAvYk1cfJN18wARXVZvAJF
ScqGkZXcLC46bZ1MwuuSr1NIU04R6rpi86CX2pVNC8pOibs2LLWFhotUb3ZMAfGhq3SVmC99VVSJ
YtzluWgDvADWriWO6ei4oIL66LWPjtbXoTvSFk6Mo3exjKZ10ZeNfbGAB291o7LuTV1EofA6g66U
yNimNG5sdIbzk6Fo1qlx+ZC6bIkOFJX1V1pn9zuAIGKAFUULYemmy7zD12bTC7nX1UbbkSavfUK8
mZ6WrhQ7bjZ4Atk2celnUxGFDWog5rS4Vf0Ci3O9sRs7upg7vbkdWml9VVHdhWaUUiyR9k13Dfkm
qy05SzXxiE6tQJxf/uyGw/IVSXYCHeigLL7hbEEWYuSRafg06oo71Cl6DD03XFLjNnmbeknQwjST
oX3RIE0OC3R2wMrmHLQRWB80Dt0Pipec4gX1sYY1CCce+XgVNfd56tsXzeLId+iG9LPKnbe5Mhcv
Kqd4YLWDt+0SW9+4EiYnoTo0ZIEernLWbxQBpbx09Fy9jAi2DJjeysfIUKdXW0h8gL2TBzIT6pYW
Fvdu1lxxHhpHXlGpkd0oU89sEgG5LC5zrN8wHWGq6JUT2px4m6dGfLaXGHVCRGuET6Gpd9ugkDk0
RZPvrcnuwjS25dGRECw6gamh3Y2J9PmAq6uCPpovoP5umFZmTF/uZO2Fi1Nv9ZOdUUDWG57Y9iWQ
B5iZRvVM3dAU3/aoTk2iai5oo+zB5KkQjrmXnrW13CW1suxCL9jLyia3rjICA7aCF7AFFzO3C7VP
OOWIjSKBrdmlCWXLs9bW+xZmYuc2cbovpA0jYefGkaS1cdc0vfo8U2/5DU0Pfa5er2h74u5odDcI
sR8psduMZeYx7jTfaewD7KvnYmdQV7WNVIk2IzG0y8HOqDsEw9+aiV2dHVGrhy6mgamcy3GDQhqc
mad3EEcugZwTESu1bS4cAH10zAfNCAq6G4IIuYrvOrlNCwoDPCH6044/rzZTmccbq0LnWBXJskN8
YFzV89jv46JojkuvOHzPpOnLHm7aqjUNvNJt7/hfvIPGlLRvOpDdca1UUiBEQACNKIzJ63fNfpfm
HlxIq+f3dl1zCI5mdcG/rjeGweEyWNwH5tLJ/WSnd9GSuJvYdqdtulQhk3V/IXkaH7ulVkMBEg57
13pbgZj/QLtJvBFuam66fqLXsZQaCINotRvF9uY7M3L1wz/fqv97yiYxu6tspP95+756Ger/tUMw
2tdvl/Df/93vazjqSCBi8rGwEqzesTXq93fhpK39hp2KvdfUV8Uw/71dww0CV1mK11BGA7PMmy3c
/Q3lA743SK1Vs83f/YMtnFiKP6mWbVN10WySO4m1DOk3mRl/3sJLF+UAmwv19UWD5E8t5+T7wAHd
0S1b2uOVRBaKv7mKRhR1U9uMB4V03/EGarXScRlXpb6nM0pU151O7+QFST+ZuStdARJqWWOH5M1z
JZFNkWdQ+lpI8guSBfA1ocasv5+7aVZOTh0p3+OWrld84qPxqBumwUI1rbWqWsw2FGukzeyjxAEU
c+OoqnY5Mnr3mvAQGpiN0a415tfEohZcKi42ubFyIHYyQQr8dpI8Jq+XSDQshDh4UwO1m0Hvu93q
5reizDP9VMjYzM6QaZa9NTEEUIxs2xRZq4nLXqG6DWI01kqXwixjSbtTYYo2IQ67Gc1bNmE5hbYa
KUvIJhXHgaJm5cyDEesSEwUjd5jiil72BfIZYLt2yRZoLTWmIavNyRQwUspbgjhWEjJdZrVP7RPy
smZFda0oy4/Mru0YSC+idTUvGDx2yBxj+5PssjjfxZU5L7tKdoPDADzOOjxkV1ifxjn1bstUcTJO
xqqnGlAbKUxFcYJ+QU0KYNuacud6i4O0H47ge1MfNHBRX1U90ZONNcmy9DsCNsIZ3t9GVqAVQ2gY
kwzaotw4i9cOWz0hYMqvsihpAi9bnMIH2Jzs68nVq7OLnoZ3A66mqgztxva6aDl0izmOCKUYmEIC
8QwmfaIZtJeyHFV53YyT4oZTBLGP0sK06VohFkUHBErJM2ANKr2w+kFmoRrLi6s5ypfmG94Ze/RZ
uGEZE/juZl8vuSa2ub4AscvStb/XMQWtvtBix8G7yJdyp/xg4rSs0da2Sx3OmRk2z/Jt5LF93nfQ
B8aGYBZP+6aUy2we8SYM6n50xdSoYVVWeCFZakzaL5tuS2WIGznh2NF8S7uCQc0ZrIc2ftbiZl29
RMKPDWqnNYxtZ3LffxrcRDdOepTWCX1hKpXCQ07d+HGiiMqDYmoz/dYYIYa2Y0FrXegidKv2tZPO
3cZN4fWJ2oNGvx1kQQqvj7t2NC+9wV7Fl9pQeFe2aZeNpPa2kua5b+cyQ/1Aq1rgGA2h2b49Dqz3
zUCkJVRB7i5AFu0y3ueKA4DlO6Ur8dabjVZ8QSZZL3tWuVyePYdq7UOc1mUcDDmIWqAoI0qFjiTl
5eBG2aJfc2f1K1EeR9qmW9TYfEhwnUXJjAmjbkasPtSZWWbY9Dj7rjGerBO11snhs5i6Wuxr9A9e
kMercC9POUc3MKgFiE2sLNt8WmswdcNWvhT23CkbCLzOCumiND8bsJPYpWqRdBsjb2l/AENXlY2d
Yt0A+iN4CRRw1gnyLLvqsVyGZtk5o+d0V90oKnUXucrY7KmTXMptBqlOVOZgeO23ijLnOJhGqbtg
/FplHJYIVMuHMkF8YbqrXLVDCtbbVV3dmBaoU2DQj1ekT/OityRqCtscbogK0Z8W5kiEoiayFOrA
WhQT2lARGcFOk2tkoXp5tBE0LMQB2l6jOqV6m7bHdDEYtganRQwVVF41WEcTzlxHwGB97U0XUrHR
JijnGBpGv0GT31qHRJrOuNEX6cyBxrfQ+sL/iHIkK/SR0q6+pdcZnV7/xZ5U5pZFlsO9WpXTDYNr
guQWjMc+lIqmVC8oRJIu9EDODNAiURdnnNpjsik4xfLtImpDu4PsEdYGAp6ct3bU6JoMQam2cGlZ
fdEV2qhxXBsYmKEmMjILC5r9LgXN9N+Z0axb6ZH3Hf7s8cVnFn9XuqXofWSB5hXdAaqGfDWhu8Ms
SH8Q7dJ9g2dqn3Wu3a8VTShDydzr2KDsUn2YhZ4WF+kS5cRAwFrCiVIYFd1Rp1KpaBU8aoDzjniv
Ikinhel8gbf5dxmwYSdWRG8K9bqS2ILfO4GLMtbK3USVMP26dp5ph58iqb/pB/aoXIm3rPyZEnRt
zrnNhDBGOzQ+CHgopEsgZ3TaLv9Td3BV0k3Sw7B5PoHJUCmKqfK1+Fkm3JkoaHIf7wGPK1tNO+tJ
M1Eg+UnZKgPoi4xJHJl0Gawy++uapbbaNUXJPVc5CH0Cc6Lp+4SS0AOmGycqrfI2Jv23ZsbPfHi/
ITtardXoz2Nblw+1ZbcOMVaoF0OqUxyXak/0/4EK64piSam99CKLPVzhcaFMl3IwXGqzFhVxjUJv
M5sKEAxCoqlMMj+FQeQsyEB1SQBs04myJ+qNDxFKneVAVambbmE5gbgndLvfYebGB2ZcgmuIplQP
nDE1abVVCfBbxq5bU2poxg/TEGFVa8n52oC5G9dVNVpwqG6fd/clZogiQDSR9EEyFcI6GKp5BGrc
taqVjtd2jyoGpEt1xKGIPELScNwqYusatKifZZ2xjkVgh9orwKY3H0Q7OQ6HbleNR6tXZiPQlWGo
ALkETm5Zk9lzEJ7t3lpS1SqI7tIAuyyzXN9R3A3A7vJyhrAe2dBpr6yzPiTZ01t8csdbW/AX7PWc
I4VUz64seu+I8odbwFxJko2jpYV7VUkDZeaise1mKP02bBec5N0YXaP8gqoUgurZEInYPNxMtb5q
N41Vs+pIVMp837j1erpjvw5qZc+3/7MbDPNKtGnY9X+1Gvzv4iWuX/7kp/r5T37fCgyMUT/4sz92
AcP9TV/Levi5KkZYc/VX/UHJub9h0Md1B4u3ZnL8aLj4FyWn/kaWuo0gUCM1gc40958sA+/77vA6
keBL9BbR/qZpENH3bhfgpnfbiFrK5mn8Pr0kQbpxD9hNHqetc0yfml20efO2/G7jelv9+WeTH/Tm
uwuuf//GfgsuXQ55wQWF0cL4d43fA9J2Xq4H/+hC+DFtTyWhjepAyM2/JMCPJA4YaIlKSJt+WznO
Z28YzmYX/3QR/slE+Pb1wKLyG78hNbkQH6LNSrdmZLh/qQjpYgW8ikYB35ksKzkr6ijmjY1i7bYk
vLLycz3JlsvGLbUiMHo5KCSOTtXB0kRm73hckuzvphROH4h1rvNrWlM4V4xFZDvNGowgLRhKYpU0
gHqZ9SBJ5QP/yPIzG5nO/Zgm5tqDPa9R8t0+X9rs1qJEI0zzRO6s1evWJ+lAKVKfOqGsTHkbTT1a
tLqmaLttbah3Re076qm8ag+O3x+8bjQ+YcXoQ1Tu8jZz1tiwdtDRyq8c8qeycbRrYKY0RJQYXcYD
Ibr3gi6DC7eX9pPWRhV13Fio7lTFamB2evPAeAci58os2bAD0zKGO2r5bqnUtIdCdWIAo5bwmc6Y
3aOeauIlJnmfxtps8gRwjOt4YQZovVf7Ovmq5KX81DGufvE6TdlZNOs193ZW6pcIoQTJTUJBrtWj
SbqP4tb65lCNe9WOOANkmpavGOzYW3qtKp5dp4mQtfXGQWV5xIQDbji2qpv4Lt2D5NKO9ilLKn3D
puE2xEvhy/N71OMIqAtd7jlkeQTYWn+EesGNxK4Qlhm67KSy7HvgweG2YAPdUbzG61x6SXKCPj1H
zpr0haCaDDUE6/hg2ui6lV53ilF/EHqRIwv2SyVfVF8Z8T8IwK1vCprNOCAwoqkYr83+0jYLcWVR
jBkuYBZ3GY64O3RzHcZHz2ieG+JSaWNj6/Xx0Xs+uz7DR4Tk8mhhzTqMhjrsuUNthIhdbQI24cuZ
a0UEjjlrW0FLkkqA2ShIJ4nqE4C9hxhWn71Qn0W9l65jB3Mu50DMzRgg0WXe1SH4rkFqjaObtOlT
v9TmyaST9XmYIQG3qT6PyqYSbYsG1uz6LRXo97qA1ogSAklsbUZDx4JU0Ec3aWerLJdLji7t0Y0K
mB0T+91dPkn8c1ChxkGWc7TtsVeGXp4SwJZTVh20zbLcNUlTPZjA3TTt9U55UcyudlMPuCUCO7NQ
SHYZO7ZVTvKTJe1sIxay9/226qsj4wWWnKSe7YuMnp/lonSM3rdS2/skhqpcyPUz0k8O3YKhKdvq
GYbY2w3w4ce5NpZXfB/GNxl1eRvQNkNd+iIYYN2uXs1p33sWmme10nkGL54V2nGu4sJQzZcyq1rP
j0wtPcdOPd1QBVLF3GRGHZbkxaB3R1Qx7i1LVre0rXkXmSKtvdQ1UpY1jyws3wZPRfrbTcUVJyPy
dwtP2vWiNk3sGxiqv+dOZIVagxIaILLLbmIKsCdGXAVKynMz84tMaf4ay378hq62+dQYEMEk/BGy
FWR4OV+GUbq4YGR3UHBpPXXCEI9w2dFr1mPsdGM7eSrnJTnnmgR/TkrGH7/DA3CxOgNIVBHpSpFJ
OTxbYyXTC0nHxUzaCj8Sv8lMja4r0EQzYSsDhsbErYgtrITsj2ATEUtdTG8V5sO4D9Fs8NH2xVg3
+D/LktUcC9JFVpuuRVCvM5wyHcRg42DEftA7TUJU5Fb7JU3sCVeDA6FiZOZtpk75HSncPQxrUcfZ
IVK0+lJl839U6wU3WK8NguBemAJMRvgMA5N5+OyYKNQZv1GA+FJNzLtea7NLIxnmcZ/lWGJC/MPK
BmegRYRM9GLW1KjlnnLPyGCHgzWXp7isBvhLjkaJ3I8EHqs374ul8twPImpXMO/d08lwTCqC2ZeJ
V3qfGzDWwpojsUADz/Xi8xj53MnxJyT8H5+Bf3sNa513mG3Xnr4/P9PbqNGSqeUahDBihdR9Z/kg
qWL9CX95FW+u8M7p3RY1XkeTKyjVs8h0LDsYA4nFAdjy48T9YHT46PWglno7o8y6JfRkvdpgXDrt
o2Y//no0WX/bX7ya9+1XGH5cYcX8fFtGxbp0PdYJCYKLeOwEInA8p/5cdR9c9IMX9T5TjOe5vRhs
1r7jjMjq7fG67dMPboR3w906ChmIA/+4EVYQ++0blyRZPBcq14ByB1O9tNouHLLug4/no6sYf77K
EJVdncxcBe3ylcZxRmZymNc3v/6QPrrK+n6+GVTdae7bCCjHR8fVGQcjuQJ5/PUl3ofn/+X9ejcM
J565qCoMpJ9c6kd1096kiNhyX/ps/QHpp6ERuF9g+twvcVh88C5+dD+s4QpvXl9Uq7XAts/91ywb
gEDgHcP/9ev76C1cv9VvLqGbk5E1BW+hCTw3JXfNaKDPzj64yo9+1199nd4dDk2OBHUxeSVT4O5A
C4aD5rcBMQ6mP4YgSfYWm/kxDj86Jt5nCP/l43t3TmQNIngqM5k1j0OYnQUTxCl5mk54R47mfYah
4a46YSQ1l9A6/5fe2vd7W1cogx6vl057YX+FCY8PnsY0BTICd/P/cy2HcQ9Hxrqz/vljFHJ0lMLh
WpqGPnoSoQS2to0PUvH+9mbBMwMhhdVOM999F4yIlPC6p4UYu7yQCKuwrmBo+/VLeZcY8vMTe3OR
9zd9uyRQEAYHlMiGk5y73ZDVe8Iq+4PWax88ev/+FfHsJeQL4caPPNU3t388KIKwFC5WLjQuZbuG
+YG2iA9u/799mNAP/8dV3p1Tk13ofSx53zTUGSIhOVodXegV9Ou4AVQvveryeffrt/FH1OtfvnJv
Lvruw6rEVJsI5zmCd/CIzWG59LbFNkaTsJ0elE0bNi/xfQbDGOAnC9KQAmzlozjaj97ed59lwvE8
tEDKvtgm5+m791rfAnGH+tm9y0587ef7bjfuf/3C36e2/X4D/fvdfvddaJFnFp1Y321yCQ/JOKhN
IAe3ILW7sWitbZurCQUSEdtqfAAzUIJBV9ODq8p/lj2FBZBnLTyug2jbpGHvfXBmu7oPCH6C8Rxx
JaO1HKFIi+6jNq2/+8a8vcy7d9nRErW1UfH6KiYng/2dhA2/jR6AKD/4bv7tcfr2Uu/e20oTmlx1
H/4QsuwV597PN8RFaxdl4G3mJw+vxDnb4I7ufP3215/r391Lby/97hFiTGQW1y2XTpuOy2rGtumE
5SNK3Pz6Qn/31H17oXePDCrHtXHE6E2iv/15VvQztM0HB+kHl3jfme1ohUNu6/o49JzHdJqgg7KH
H6/iv7WzAumEoa85cP9Z3xF8e+n+7/95K+341z/6A8Z1fltzTIm+4lloqNgl/iXuMLXfTB11B89J
Yu2IuOIe+gPQ1X+jY8Ck3Ur/A+/9t7rD+c0lRouWWJ6vlkXChfePAN1331fyqLkMlo1VCwGG/D5E
TeDJSmYHPKC4FGGbH4Z7nFh36QOa5gTBBw8FDkbxoITaRxPJ+0hDCrwN8jPRaBOQwJ5tvjsqEs+b
cTll8BIJKnM/p1vyrsRA+4CEQtuNZv88ItT+GqdT/90Scbr5EWYBX42naI1diZsCB6CUxW1f4Oz7
EXrRk0m9IcI1fynNKLlAQWVczaSUjiiwKuupKRGC5VaJJa4z9adKjxROJyBIhK9ac5dmsXyiTko7
tKY13BlDme5GVvy9yCzz1KQTziTKUBaCn6hyIN9Co3Ldlx0Abq8P+oPdZ/PWhbkOx7TTL4eYougN
N4i4x/KhATA5qBbntD2VOrE3VjuPu6jtdOrqO6FvHYNMcrjr5JEciSHIZ4LmSekYt2NLa4hfwTze
G4ostmqWLRtBBu/VOFALG6RAAmR945891cJprwcnV8DovLrfQNbzQK9SzvnWzMQOSYhzMytqcQCr
il/Rd+sY/5sqItahG7aEh/aYr4lulmOt33NZF+9djFkD5cASWJBpFyWE6cYZSoW+W32SD025FF+r
OaFvb+xanKzYbXca+PGNkk4yxA4Gm+SBQfORFI7cZDp31lgOxg6oLk/D1BEeYnx3WWxUs4RYowCI
wkqHFl6mrt+gDUQnTpJVgO6DSX2Sj96AK4QezPYmoxns2KCrPuLAyzYd0p3LdnCiQ0/Gy5MOSXeW
hdF/hlxXwccIlzp1fW9ekIKkX+K8t3ZKZC3HkTDfM1159GDFlWL6CAlUMpdgHvBD2t4jGU3G3jPL
eO1VmIoXB6UvAJ2jEjqR6vJKzUzQbmGXF4bUBoDhzr5CStMiNUZWowXU8ibEw1oTlRIpEOle6FQ5
AYjbbRmUXiMtzCdAomE2qTE/M2vMZ34R64DgPZ6DhmDSPqSceD6WeqZsxspsbxISzi/7WpV3BOvO
X0ZEBfe205BchPNePkp7QKsD64HAr3P0AkNt2uH+JCAu3xd1idXTItXps1vY4CMoBqIt+S5OxO8X
d/eGkViX9gxZjA9nTL3A9tKlX+WqtZasevF0N1ijjaUeUFBnaYfY3w4Cd+bduCiT6qPPSmnmNvro
WU6qToGF22jttzkvHVjTMm1vQd3Rg5CElDooTXO0KMYgJzuopKaMnx0bAQS7NLj5lmCa/jEBHe8P
lDZlTYJsuSmdvVycBgexPTL710VWzWfOzNq6BAnvNqmhEYhMVAWSZ6PZmkTmXTZRImiZi7p6ChSC
ZESYCUehPDeKK5tx1JEW9HvjPA8LgWshydfaRaK1ikdGjCw8IrYn85joTtVzZon4m4VVJt7Oi1Jc
Ec9qfNYcskrPC+1Mi08E0fxcy8aEJjfiSVkpkeGkpROOlipOJG7Goe0DvoDOV2zTfYy3erTA1uHN
VzF0NH4n4kG+mjmhDxPy0aeq70DUe8DNvSySyYR5cd2LhcSEY4yHBx0zqSv4bMnfmc6oOanMiKLK
JesvLk5VqSKdqFv9yUvT4okq+A4qIxfJJxzYw86O22JbYCLDDNDP+ezjAFbWdG9FQRA01iaIJwj/
aXLX/jiPtGVH1Vbv7Jyn5TV5Y82XrHeNp67ODdcnMdf51tCCsq0stb2xMjO/pWSw/pwgg0IL2OH8
yF2RGxsFbJpIJaff95OpR6e5g2be1nOEFHxOOiMNyNHoXhqZ0zxWo5V6phcWyGNxJUUfOGOswJ4F
0oCs68oyMPPSpfyAnA8ETCNnQYo96ikRMBVOGlfbGK02G6M1DV/0vs/udTOqrvElK+febcnv5SEF
Jp5J7Zw7dXevJiKnJqcxQvxt+jOCZ8ImIiF6NaDErcsDko+1I2qqDqg0hrsTaFUesK6m94STODs9
acej4Wpw+A0A8xXAM19PAgC1aeOlUfE6NU79LHnDCfmS9LOMhapcIp6s7wrEICFNbl6/4UOMb0rM
BzYwnOXyp476oCopvYjo3hOCwEZ6hcpqKR8MmlOoIGHRv+raaZn3Xtrk3mZAJBciCnOPom7wOOVo
8xcsGVqTbGgLVC5GjCY3Iw7py0ozR/T8hYnxyVWa3ZCohnqTNYQQBfSeL9+cava+qbLRHjl626u8
dXi2ROR3HmrA95ZyUcc6E55nbb3IFieHRLo2VGQXo/AQ064a44K2pjLZKpXXvMa6dL/as8oyhF5S
fnPGJL0T/NKn3lLRuqPD3vPUieheJrNnl6uIA53WU4nYjtOrqlaaWwD+/EuKhvlxkjSt+oi7jCNW
UeW4UHh/L0ZnYEGw7cr2U9vNLii4Sw5CI1SJJETLQIffZg8xdrSnupqiTWlU0ylCvP65FaVxY8qY
LDsjq3dGpOlfZxknX123QDmqlbp8cspGuyAAyyuDqdOGTykdOrRnKsawz0tT/ZQREYAGL4kpHlFL
R/1Cpkhz3SCfJ7qzxc+z4/E3PeSJNzwLve0eqoWSrZuC8e8eh4EFA4g0KPVHblydIKC4ukFBgvNQ
rxeE4E2k9g+K05EeAPeg35ZmYqCPN1D0hItTaubJ6Ok7P5ZCZp+nvBWnLorLw0TgIdJ41S34BjjN
fVLnEtSwbpc60PRJucA81QauE9dP3KxKUNViPlXZPM+nobPyvZJPOCXpa7K1sB7U8ms3yxESTejF
1TjaRPrYPVI+vtOag+8OCdgxYzSaD3xUXcwxWsXWBSpNx9uRGlAl/kJO3iMyenIY61khII6VmUil
yqxGCC0sZV9iqctXWfZOHyDJdbQQ/SMiSn6b4QDJaD4gL6QNj9ArjSaliJC+KO3j18Ztl9t+mrTN
MDEI+3NDtFOgyEZ+WdbsvTlqk1e7wg3MjTtXl+gque7CztURYrxyTGNTQkOZfLClr0iJMTWGwsdm
VX9UE/OXRQysDD0AjyPM0y56jj/jZlM0Y8rzGMW7/MExr1EIvVlOzj/hlrfSA03nB/wJhTHXAj+N
7BQdmZD+ntuhHyUe5mFgDgqmjctosx/2g89Yxwq98w4fFWa871O3qdv5EVj/Y8VAAvtuQU/6mXyi
ZIxBXOb/x915LdltJN36ifAHvLmF2aY9u2lE3iDEFgXvPZ7+fGjNL+0GcTaOOHcnQhEzEZSYO1FZ
VVmZK9fyrPaUH/qTir32QZTt/ljfd4/RId4rCyyyQisv31ldvc1LZijFScfL+Jw9a7eFw7VgD275
LJ/2RO/kjS/6ztZqyXolp5dlYYtT+qhyRnBluqNL/9WiqnwyXSQavDZ4jD3/lXmSU5vYRuQkh70f
8vNb6v2nlle4nCjWenTb+SHqERKzU39SjpLDQNiuy2sE0F+LainorVqahrATL+TLIj0vXSNuARy/
uQzz4tHKzo3b3LXPiRu4hTf/FqvuTuBuLamCkCx00IZMTK28GycBqRNGUPEue6humGCxW9u0q4/t
0Tjv2PqptMOXVJYTBCleDqC1fwX3+jiFAw3yD4MneqrHbNeB7sqNeBBd8OaPgru3UVZvcHYiehoo
nhpggjTe/KtPSl8YbrbGRwJwFtw0hSHPyw5h8tdX/FdFmP8/B3EsRDW1pW71fy/VPP1e/56vazX/
+a/+U6tRGZtBrAzpyuWoojPNwfGfQRxNXagyqLssRZf/cF78XauR/wfsNMTncNojbi8qBO//gu9k
/X9YU4Z0UNBBLIV+3r8YxFkFJlg7BnQB9ynI4gIcW0eJxESYUEpARCAYOkP6fGioOJbC6eKzbFwS
P1thoshQ0VWhbiVTm3q/vSchUZQuY3CwjiGTt/RZY9jZ0o7ZpO3stC1LhsjdoDL2hCjVqvwz6f4I
uimLXCVt3BSJh9b/AhfxdXfWd5Cq0zLhyyO5IInIb6x75+MM/rmag8gdD9JB7+kTHUN3eGo9EfVQ
xwyZ4rYTF6rDvTbjT+5hmNLOIicBB/RfZPTvujkxPF61Fbq8SY5de+zcZDZ2DsZVxvDm3DKqDPyT
qx359veLhQrIoDZ6GEGpiSS0zGj/3udbXXB/WUCsGC42RPMo0723YOopHEsCFkLF0eWPyiE/ZMf0
Vij+GNzCDb09j1ZH4U/2VhdqXTVoMi7LRSJnB71CKYSahS5C8z3vRPrPpgxkxEi2ZFZKJaF+71rn
J6hzqzHc0vFdwCA4jIROVXwAcGdfj8ElzblISPAJQxasOZweVADWgR4oYmXwMMMna/JmeDDtTk87
oE66aM8MUbt5vpMD/Rx7cPqA9cUqV4ulr+LCSiMtqQ0UBn1KL1jT7loxPhdzY+0YWvfS33xDaFBZ
hhQXvPLqI9LhbdWBmR1X/kC1hejwv1I7vh2d4Olrekrck/+c/nb9c245h/YSNIzLP6B136/bIDHk
D+Nk6EoJM+Sy/NxV+S1TTi/XzWyt2qWZ1fHUlGIOWzyRP/g9gLKWCqX+2FjRU2h0ZzXQdrbyVjTq
1A8khZMQdPfKXIbmQBtB58C7pncN/YdOCbdGXDsBw3ndsZ8PDTidGOqkV0EGh7LO++8HBlAdlXK5
R9qDKP0hSHvxvmPgrSd6cfJRJp0tZhwjF6lmJ+xqd6z2RJm2FgduUi5Ceheq8ZaXX5io1AHS2Ymw
078JL6NbPQOFuYHjOrCpq31E6LF9SG8Et7kVn69/vPUb6i3g36SvELUwGCNR3n89s6/7gnEIbi07
ui3nF7/jbYGsL5y5SPnew5wr7BwfG/H+lh0CxuMeM7Tlc1/4CmC9V0CDRy4q9h9bBvehanzsLBTV
rru2aYdJYovcl2HKpVV1aYcRx8bIR+xInXYyVNjx9Zkazp7S0kagkyT9bWaNRIEWJA/7AloUKSvu
NL35kMs/KvEhGHf6/dt2WCBUX0ib1opEeQGq0zfYUJUsnhmqPftS+NpZKcV9pdoL+fWraAmLtwY7
5DkwTsjG6uNx/1ZJhCKI638blMF2RDhNuRzFI92YH/GRd8tjc7q+XqttZrBCHLrL3YwIm2asATAD
QCmxjmDG6qrXnKrBru7kKiB+MrA6koSYCUa6G+zj8qsIKi+DLEgeflz3Ys/IstMvojudq3CG0zp2
devJKM+J8qpHX/+lCTJnshfIclikpbzy3gT1ceSQkX5x67BO7FiNHhlzuLXqYKej+dOCvNlZxuQl
IvyNNO/SFboWRt8NLRs1gdIob6m9GTsQobeX7kUuYZDqMArN+xTiPUPWflp0NdGYh4RHWHrR74X0
QGXFAcIm2LmbfFswgBNEK5TOD9Sx6Sbd5Me9vu2mlxe/YBUVqtUWXUMd21VAd6XJfSW+XF+uN5zT
zz4yqgnlwJI4rSwgqsD02oiF2u3+LM/Tt/k2dPPT6ACNYiJBcPdKRj/FIB9VoYXGO3JJK4xVusSo
veSr4xi5ojRKhywVPzTSZHpCZO5EyOpMels9KieA1XjGAd1afshFsC/0Ir0eDmxZ5Bq66MYn+TPE
xonHnThZ3Y9vhpYkYhnVIolZqwW2VeoPk08CWCgFrAC6cRLbmmEO2k5Vrz9CZbp3L25alBQGqADj
IZK6ci0Q/KHIU1zT7N6lbRp81m8yL4OgNLOlZ6p+E7hKOJKBfN3vrd/6Uv7L3Qvjq4jRzbCzohzj
sLO/Th5yGTdTTImIDoyLJtdetW0rXsBiKYxa8sYjmXq/jFSNYJCIiZcufWEO/qYb/eOoGYedfbBn
ZvVJ0zomXmvOLePF/AAzrtchxHv6C+bbH6uPsl06e65t7e5L11ZfksAJ1ankS4ZS/gW+9vsM8MRO
QrO1CwC3QCQCctOAt+v958tQtUqYXo1cGgYflPnW91/TMr1HVXsno9l0hhYOWsIaXC0L9+nldquQ
rRnKweAC0wcmqT4r5s5TZPOoWrzgFuZE1tYS97PRmMyb8Lniu+J3iIoaJ/BMV/rgPzZn8ySe9qYh
Nz26sLc6qQyYG6bO59PprXlTwL1XlXti4lurw9eCsoMMVwKh8/6jWRHwL5D+sVu1/kHJ58+wPnly
STdctnZStK0AvzS18qZq0UQy/DCGpKjkoVM78H3ZC2nR9Y209dE43MlqqWch4b0KgyIqhQyq5shl
8nv0/EATzno5dHvbdcfMWqZb0gBEpDpmZFgUVK88Z954kp41dMpeU90W7xZga/H9um9rgOnb0ccy
IdNNigPiepU/iTnCi1PDZdkfhs+w3R1hifWMG9mOvX+dcHJNXppaPRzjtE/TEaVPtxdupDG0mc7c
ORk2A+LCmdVKJUmtjjESV6wUyDOQAS3MBLCx7JjZXKm/zTB+8j7EVUEYOvg1OYDQR62rVxg5rq/K
8jvXGcw/XwqexfcG5i6e9AlRCFe88Y/ZTX9CDPthvxezhlWvFl96GzW+yCcaY2R6Bt5IN/lcnquH
yakPnYeCSI9+AO0n/Vx7yVP7UPDYMh3hmLnRYa9usfsbVtl1B9kf5EBB7Ap1nELoUfVIJEaF3ofQ
MCCgaWvMrLq+YP0hy0EG6XvTPcyMAh7qVI+OXG8lnCOxhPaZaThdpDZPep6bToca71HtQUzYueqn
blVElQSeRdorce4Fw/LnF99QBdBUlQm3bKrS85Fojgq316NhMz2hw0PjXpYY0F8/QPxIBOqT6xQA
vcHTndTNhjOEGYfZI0Uv6UHv3Hvr1+hfcXFhcOUTtP4jGoxVzLXU3mWnygnd1g7OTJYcAidxBYoX
v+QilUCK0SpdkFXEt2JRGVmAi61b3w2fjdvxtrXB8/05PJK/uNetbeWaGgCy/zUmv1+ywI9MP8w7
DiJrevJRhkJ10lMZ189bBEbmeidrXxc5//M5yaLJbOkOLWzolyHSJ2U8tCLHUu3OB/1z5fhPkZc5
OPjo2zK98+gxeNxzcvMMkf82uoZlw3Ra1uApgYId0dKhUw807SDu9nM3w//CzGrhUH6T27blW4Jf
s2U058odePnmmX5hYLVY1dS08EqThEHakqDrMJymNvTazt8ZjttzZHUOSTqEhkiRc8UaopP7lW12
e/t4O+7+WZLVthIi3+qFmeyrP1ivsxv+Nn6MPMEpvQj4LGM7HzO2lvRHeGN61wN+z7flG1+cUXkU
LRpu7K7BeqkZYNTrPdeWZf7pxrpYpVXenw5mF8H8FrlmqtyPU/CcKfGNMlsuIksnBZ5we5TkD0Bu
FSdsIjTrVOvLf+fjKpGBAa5tZWEJRD92yuJsdMXOsbiZ2V74uMpfijHJC2PxcYjCIzSe9my8AIl3
o3nvhbN9YiBnjbSSCD2juFowMRgo3QwN74JzFTrGx/Q8u1wx2hful9SwtePsDS+wbkAfdrz+Gbcv
mwvTq5UE5BT57fhm2r8pIIfgQdK4A3QSdn0MdrELm6FJKUpkimDpHK+2HVRBzMnny/VZNr9Pafwx
svbSte3r7MLGat+hlF2AuecoFGA/vRP8aXDSfEg+JUEsnuBD1UaEx1TtB3PG44taoQ+V19p0O6Et
E3hIPURHWl/BUdWVveRhCZmfts3FL1utc5TBojjGhJTSyL+rlQwBI7TLcXnkF9uo1Z7rIX+5vsBb
H5z2DSVmCH8MlBDenwWW3CroHalcRqbkiilyRFq4Uz1a/oq1V5cmViFUWJIYVgVeMShw8BkcZUJg
epb1dudi3TpPL+2stnyHqBBSt7jSGwH8w89V06Hzlh+U6i6T93b/llN8LfgGwPXQMV8l/Sb8+hCd
aXy36cXMA47SBATA/AufjnaUwYgJBUzw8u9XpwH4OqhCEbsMnX8z1fw7EwgIronG8/UoWOMa3nKS
S0Orw8zo9AYOBZ7pjTe6w7NxGLzZHY6VU39HRsCtQWa9hJ92jC539TowLo2uEqFMzVUph2+ZOtvk
wC3kzLe0o6g2w4F53MOHbB3XF8bWyI0WtrZ8YvzbpQpmR1HizdLHzoJahbGG635thsY/i7amOhjQ
jRCg5KQOkaQ3oaB5KMww8Wva181s7dxLh1aZ0GhZhYlETezOReCMxteg+XjdwFuR9cr6LFTCl3mC
YQzSqOY5Em82fZRP5j2olvavyOCBKDuNUxz7W0ZsVFt9DT83BVNCrugmB8vdexdu7W1KLZDM8g/l
7lVeKUIuB70m222ecyTqf4e2qIo/Rwkc9sW4s36bkQJvMXJEMIj/1CENs0gPLLCmKC3MHoT2p1yN
Ppi1+FWzhs/XP/Hm9Wpc2Fpi6SIVM6MEdP4wLftOOehOfMh6r3dm520HfG12777N2KSmDkxKwzNr
9R2lXO7rqFc4UD7NoGj7M7IfD5HmoDyf8vbg3uXRj9jpdTf3rK5CFaapmhkNrNaqp2cqokHJuQjc
60Y2Q+TCtVW0Qq0zC9Wg8sJJBvkoqHPz0pl55BjwkTE6VAaBq/XGsGN1s2JmXJhdtunlCnaZWSUT
vomT4x/RmjgAGyCH/0Nx6uNezWwzd7m0toqXZpbh/o1wsj80n6W75Sn+Cqf+uTmjdU4vaw9Lurdy
q7vbQkFIZN+xF8ZTECpIXD9YQ7kTHssn+umcufiEq1uOYQKhQD2M4fn8SWfKUMv22Pg2K+uX3211
vyEihPL2EoFIbX8cfbs7sgXOwdG6Lx9C+G5O4fF6NO5aXF1uQp4qCHhgUUbowFsOy/l7SxVjvtFu
Rp3keTdVv74BtHUdsptGP+lHLKpHlzmevngMTs0ROoRXA9Rlb+u/BaqjvRVs9kpE11dQW9drmBpk
cgXJXpeJS2euFVgPH65/z23nFNIg8J0K2Nn320zMxzaKIa5zxWG2Q+kV3sxeOaDlp8l74bgd8/+Y
WsUKE5GMlC33t8kQnBgHriF/NMtfyYppJv3t0Co+uroZwSFjRQkREk/1W1jxF62UZmdz7Xy4NUAG
CuBpsNIkdidRYGL1U5QLdjCizKV+VsLxfH2VtuPgb6fW3R4GiVvRQkaajjQDE83D4O/t5D13VldJ
awaq1Mi441f6mfmch6KbP9D/dtAn9YpQ/fTfObS6VERUmDUBsVNX0tvfpCYjEc/3coA9l1Y3SCX5
WlxLbJ5pctL0MP7Whm50wpvKjo4L9JFLK27v4Kpz94ufO8G+7p7WtUKGOrBiaYoCTPm7VcQIMe9x
Zm2/L/6J9jUekQat5Uc1y7b08/uznHhV4SQ/yi+1Jx+ke+mHiBwc02J7leQ991bHBmrBk4lWFKdw
fYig5Zwkjcd9drgeJdtp3IV7qyMjZ0dkqPUuaZx0gP3U60/iAI3WdJA82raT+0v2wAGDWNQY9Vjc
vkg6oNubs6AmZPoDs6OzXQKjRg/qN+XP1Ite9s7ezV2tA242QZsw4b1660qoDkiagjWrhvjVjGzT
nH/pC17YWCWmc4nWV++zUOoR3K873yrVMSItDU/1UVZOe+Xw7ev5wt7qHAmYDIUwgrgH8EQW5dvL
Xcm+Q6b6Njy19wz8ftxZtM1YvDC5OksQPWZiNUWbbXB4tiAN6ConpbUFRz53bvu5+CpDE+lkO7XY
Paur0wXZ53ruRDmmCfqpE/7Qze9IOO/cMXs2VuHYjmh76xU2DON7Xj8OFCxGa++Y1LeyxIvPt/z5
Rcx3at9PPGmWFetdlXwqQGTMLr/zhpeO2luLOngcYZHYfTRtVbPB5v4d/6tDJA+kEu4O4t+/r+mD
Cs+FADBYu1G86ZQUO3t7ufd/SoYvjK2OksaUEF5gkOCvjcCI43AQjv8P2eLepl7lH2YVJhA7kS3W
rnQwkQQF7JzbEOc7MGncyDSa3fz4KycJLS+a2RYAGsaC3q+h0kHHKE6Mz+ez4AR58JQFzZ/Xt9lW
LDKroOngqQ1gQavDyrJi2YKMmZtSfxaij211m+Q7Wc5WJDI8qDJgKzPpYa02Mn97E6YVINOkfDV0
qklV4/VovNSRuRMMm85oDFBpCKegLbpyJhOhAghNvtfsP8ZQF47tp0j5l4PCb7U/k2I1wx1gTQH5
vV+UbIjGvimpm3Z5c8s97Vn/lorxJxOrQ0g2JlgIcoRNhrpPD22XiGd07KARn5o09H/lo+kG+xWZ
ZxoJqyDrMr/MkFJd2lsjgrXhOR87Bmlr/9v1SNu89YHR/21odYdE5aBCqGwujXiUYJ+Xt5ZKl3r2
ZFe+3eN+2wwFgxkFdg8RsWZW8v0BfalqiN0o6lHt/Q6D8EnKfr/u0nK4rA+fZbqMp7BIRKz3Jwoy
aa0NVPwIAadMH9Gx4H+Gg6n+wUZKpcN1c1tnkMX8rQyGFZHvNa60nnpIkBTSps6Q4PpGAOxXIEBw
/jMJK0o8GtdgrQmlO1lsSuoXiQ/N9OuARODQ//gFN/4x8hNUKxG0OFgqsYlUOnNJMlakO19qa/Uv
/FimQi8vvx5SaZRmMDGgxg0hg90jTapL3/87R1YBnVXhyJQGVlB9slUaNWa509DYXPE33TdLpX/2
01kjj8icoMHo+pB5h+38sRGrL9edkLZuUM5/4sk0+bvW+IpZqHtT6ZeyNWzGv+k3HXmd5RR3fmgX
dwaYtiPMrHf6aTop9h52eNO/f2yvYRZpDhm2UvEF+wGmwGiyY604Xvdv04SxnG2Lb6q4uriNsRYt
fzGBmA4SYP59V+u/kDNCa/K/JtYJP1O6A5I7mBgp1MIu6gjt99x4+q/8WM91wQWlM2fC01pFDEjq
/pT1dCct3eybX/qxiucyroNQst4eFf1dI96LjsIjFwzgCVWhh0J1arTVMke42QfTbb54rUVghQUX
SUVWSaMBWc8UDSSN2vSgdW/tLbVwaDo76kftqChfIViC4WAvADcPCpPcCtaet17J+4NCzeWK6SW+
aiuojlVJ7kA1v7Ri9/ri7ZlZUqSLZLw0A2jCl/NIFJFhNu4LDotu2jlX3+Lsp+vowpnVNxQKfTBG
Zk2poS6l9ewIzfBxwan/Ul3durC0yrp1MUNsPVo+m/sXpi60Pibx6/SUnUW3ejSVU5Pea9HOFtgs
51umglaFDh0FafH7z6hnRcH0Dck+whOpDJf8ffHQHftTcpc2B9G/EY6pFxyEnctk84C8sLqcMBeL
N/pWgygxoSnV/u1chyhu924LXt4QQUr6+alElNDW/On0r4MGekYFrIpmLJCS1XY00ITKk4xGedNC
pT9/X9SIR2Xn+N84HmltUaegIsFMjLq6Kc2Epl6caImLLoBdj6/mvFdR3Yh92BMktIIlqJXFdfEl
ncq0tVJ6Ik2duGo3eIogojxX/MLXWt6BlrKUeYiR96uUk7m0kqUn1NRjUG5S+S1Hhe0Y+vXXf78s
OqqsMuMTC1B/9cU6JENStBl5CTYafGLGNHQ3UZaWR2mKs50jeTkXVjsa+lKVpIvTAUTDKuCHFg6t
YDITBPdSipofwJ44qjDZnZjsWNrKzt+ZWkW5z0h7r5oGvFzQEy31ggRWKwc1mrN6ArK68xG3wo4b
2eShxmsNqdz3q7VobMGpxkcErG1b5Y9o/OP6Km1/ub8NrElrumgI89TgIFfn0UEZ0tHDVyWGeHD4
hWYOH+4fS6t4YJabN/qMK0HcinfqZBmnHrVU97o/Ox9sPXMdyKkE/56fuGbywiSlp8d7lZS9L7aK
NUsKc+aG8KNsv5Ri6iX9x7RJHWguds7TzQMBwWXmx4FjAxt4v/ZDpcUVg/VQNfXKzewXtj6UnhT+
ynlwYWVx9+LULnODIXUJK4FieEWaPCOGbgf53qDz1p2kklcakNcw4mqtB8SzNh60sKW6kXdsnI79
KZ5kL4a0CNHdzLWkY5ozCrrXvtz+iP+YXX3EKE2sHsLc1F3odCXtWwRxYIxs4/WoW2teLJUIBtKh
z+G4g0JjXbtpMzUS5lJImKWO0SuPHPNPef6UeIJH/dw1SvpJtv7d+lzRI37aZ9ba8vLS/LIrLhZx
nNRsSmI6fk3xpM4ffX/00n4PgLS5hJdWVt9SDxq/aiasmJ+4AMmcxtNcO63PQC/QEoAC5b0e/sIm
uLS5Ck8rRG+K3JPzCU1ez0Ss0020tL0xqnzaeZ4sydj6Erk0tboZmz6dxw7NKNecy9ARmuW11cKR
ZgJokajP+tLtICU7L9ftleNYBDxDcrGuJIR6jML2HCRs8i9qQhIaWw61pevhuWNkXUmgqFnLgcbC
jcqdIH+qy5TJFcO5bmRrxuaNkOw/rqyLCYMkNp0WwgjWUvpNblHO+2B19ugGJw1ESQHdPRPnfu/o
dnHOFFu9bVU7a3d24tb5D3yNeVco2JZBuvc7ocxGaZKamCygKQxbRvsMiS5pz9UNK6ARVEjQ4DgX
f1JHVLIAGdciTd9crXijfJq/K1/KJyi3D7o7MgmBjisHW0/Nrr+XW1vj/5cH4bzXcNr7IUtMX2z8
1KrAY8XE7GRUXgfbRh9H//6CeOfrKgUxBiMlOfHJ48L+4FfQzVWVO8yzdz18djwxVzXpvIfPK274
pLDsikEHGk/fWbUtTNWlJ+sypAyhkZyUmJir5hBFD5P5IC3Y89S3eyu36+6PoB0Pumg5Y9nunGNb
eSPGebkj2yn/zCNf8UqbRJ3PqB5HN0RQzA68xMnOqD/cTLsDM1s1ioWyHntwBDLutAoMMxXznOBg
uOqMDqUbgAOEKf+Lzr57QRyYIff0GCEz9/36Ki7ba3WGvjO7CpaUW1CXF2CXNiL8Z8FizJxE0D2K
geWZNOOvW9tqt16as1ZBg2rHpEbd8maiQR4EBwSRDwwv/MWkiSp3eLO34Zb75oqDa6RjBPOkrIdS
4mbjNyW4HQId9XRG/tpwJ1q39sPFAlry+50dxoaUKT5FbKn1uHpOhjD/+1uBNzMVnUXIB92H1cfL
QnPIUI+mDJKMONBQxYLpfC9r2IwI9gycC2+33CppiBAlEHuBJq4K/CPO/pAjmIZ7BEeVbyVK7jsB
sXGHw379j7VVuuBniYxUPe3HwZFvglMuuK3klCftWfNGZ4CQ0ymdrrXLY3OrCbb28br5jXtW46VG
44E7kNt8Ff1FhChhGJEFamBF3S40P3TlXLpJJr5eN7QVHBeG1t1IVcu0MNN4g2ST8lUvmztmCYKd
zbXjzPr9XqtlV/uUOd2uTp229E9xiigdg0LXXdmKj0tXVnHu+32JGgRPd7Q/vTKKHLmE3HyWb8X2
t3r8+t8ZU95vKuQa4JvuMZYsIVgq042Wmg6Cu7KtpPmrmQJlvG5xq2B7GRNrGg4Flcoh7/iMymPv
il5+EB6Ce82z7hl/sOUThFy30s7G3ouO1ZaDir801ZLoyLU/G55bjda7173aXLQFYL60qmnurhZN
NjoRrRYCvSwrNJoHO5gDp1ww7dRtS23vEbB5ztNFtpbeK2bXvZegshqJhjLvm//g2ZMf1gPXNOPi
9dE0bP35un9bX5AimcxUADkkpfZVnOhJwYbiGAma5lWRYIQxin+f+NPQYQbHYkiKCbzlE19kbnM2
ws9iUKMt4+dgbE6+0di8LY/XHdnaxJdWVmkAqh5RUWSULfXSvw/H9HcUfj8ribAT5XtmVgdf66tN
VIpJ6tZZb0fGQ1WaTiJOv3AiwVy2ZPZk3mDD3n+yWAuDuMkpvRnM2w+dYM9dfSireYcXYXPxL8ws
f36xMqU1Av/I2T6C8kNEidifdqJr80yAF4tpeyrWsrJ2pM4YyZMVHn3WS/Iwu0xB3Uf3qOy45cl8
Qc5o/tR8b3drFFupi0HzRiHaIMFcH+hDPplqhBQNd+N8qJ/M+/lAbwxep4Ppqo+N5gWOTglzr+63
dVZcml2dFXEutWFR8Phk/OWDKZ3K7s/R749ygFwPukbX432rSwvLHEX05TkNB/EqEovB6ORWI80e
/oJz2c392Nqg/rTYaVR3eZKh+34ov7WJN3wpVbfZQ1Fu7YWLX7B+bFdyNmtZzFnVyclB08Oj1bSv
luR/3PF087sCq2EteU6Qwb0PUw2J6UBYqjFLIVpyU2Zbb8bC7b5mDG3UjoAyaHSo+5OlOXvdwK0d
AvPO36ZXSxo2RG9YJbQp9PZTHItfxLwudlZyywbPd0WC01cTgbS/d49XRBLMy0I20jnVMzsb9B0L
Wwt1aWG1z1tZC9RZ49CKzMGr++DPvJZOkpD/fn2h9swsf35xnFg9lFFzwKszD42Djp5SEoqOTx3r
uhnugiVhX71NuLQkIC8iCAXmGd5bauUqEpM2hNlM1OmyGNZJC4TxoCiR5tXQKN0EQ9c8tW0h5/Tl
Gt7ZrN9xmMb6Qy13jQOxOHMsgTbbiV+geV2k41kP1PAmys3hlHUIsfZBVZy1TiyeLF7T5xxOhsOQ
N/6NPob+oZ+D/jYQS//zLMn+J/770O0kfThBhOEvIlPSbRGyEWW1Lb1C6/PHWaqkQ6mGsL2hmH5f
W715UEcJWjvZ+rMdICCWMoRmldAP/6xw+xYWs0qxzaCl/tjE6JO0cq3ciomvfiuh67LN2lecaiyz
OwUlTTsQ0KFOhRB3xKxLXo108A1HicfqdQqr5k4K++keQHR9DlMlezSyokltYBCZKyNp+G3Wo+6z
FkryAVFz/SmLh6a3i9w0M4fJy+JLnsMo4sRpEH8qCLXnbgqb58Q0WsPOFSEM7Sqa2soZ5qJC2ruq
pK9JX9N7G/xU+270VgQvhzJHx0oLLNtKBPVJpjN40Eq/Pou9DBke3FNK6ohTXlW2Bn6GEv1YeT5C
27fiRG81RMnSmUMoqQRJ0r2sHUy7r7v5mCToSYGsLl+E1pRe4pCt1Kt09+22z3OolgX1Pu0Fwx7V
CZokFZ0YBw2T2umqhpdRL8kOmEdmSKpGdcS+41MLcBB0jtV0POTCVvtKI6S7Be5VnqM0j89DWhbf
FvLAY0ipeLaHJp0Hp1NnxRUT8asQQ3cxhE14jARtOkZ1Nr/kstX9MMJe/QTVUf8F4ebZrYSqP0RE
F3LR+lw/Vmptej5siwc1mCA3VlRrsNkA6vdKqJMvbVFOj3hT/QDMVDpamDdIFI9tdxOUUfKJBUqP
2hy3Xh8bujNCv/7I0GB4ryBT4yETIdzVk988ZoLUPXXVpN+Vgpl5QdX1B6EUv6WoqZ3adpaeU2EY
b4BLmadOsdJTmcTTSZobppqVxDr2Zg/0VLFGpyvDdCk6Zs0p9AvpqS4Q9B5SQbqlluh/mqYYWZ5J
HwHy9E38GPuJf4SfaLQlvW8PjFsZHpiVwFNnhKWNXoSLkNfd0Wh7nq5VHx2lpIchR2/aczyatBwx
BXw+mOzWGpEb01B6i8UiPqZqOh9krZTdKRVMBAzV3D+omTnbuaXKR6UMgcR3UnaCSq+wIy1tjv7Q
asybJ7VbNqlxz1/YnZK5l53Z18I7tPoUt0kVwpIpI+AtQL6dvJ0UXlFvguVl7shSaDlm3ZkeWhjS
SUw07YSiS3Sn8Zx86sV+/GrOVYcekqDcdGWEmpTaQ8gT1eUdyfjw1DeCAY630pA8CrXjCNrmpfKl
zOZRY93lR2Maj1MWumMz3kSy/FhL+sHs289+27KIjLd0KH34zS15gNf5zGlq0QdFfh1985yrf/RS
6nVyd5aq8HPiDw9N699ZqX9IQ6gYfdM68Zg5tQr9qLL14nn8MgjpY0gJRp6SG7FEggbYSKvOXm6e
Fa0/xGMNXBL1FAOyJB9Fp6Z5GLP2CFecYiu+cWj66ZQqhZfm9Q3zUncQv36OLPmYNPldN+uhrYjF
qWmK73UKO66iVT98beQtJYuPgmkc2sSAXyyTfXucmduJ+k++rj21E5zRIUx+ilwdIFF6GtrpJPTG
h9Eqb9VZd/V4kpjKSl6tcJBcvbC+Nvn8oSiUGykSx0NSy4e2Lm5jc3gO4vJc9zq1+eAx6covYp2e
rEkwbbib77kgX1BdYoDM/yKLgW7recgBn1LEZ7aBsmNlh2p/J4rPUwURQ2dl9pRpLwoEbAexkx8F
0foqt+GDPqiqW6r90ywniRco3Tlq6x9CKLpWo5/yOe8dhefjURcGuyhzymviqCFjmdX+FN1HQRJ/
bJowsWWDGuII8tOpNO2DZUDcVRvKN1QfuRNE+XPWoog46zq6K+2UO+E0AWcckUqUZulLiEIcUdSg
bcaVpMYkwWJ8GGvzQUg1jrXyUU6t114bfzfK6r4t8b+kCsIxk/QxwykAvpL2h9EEt1ZmPY6S/wjQ
/bfZEpCDQlvDDgPluW6tk2nMtQ2m9n4I66eG16xTNXVxbMdSd3S0tMSpR61CPU2+6sli8hhYyk2p
+a7vN57VNXYXQkgaDHpuS2IJ8hdVNwfe0NewmjtnbpKjMMUf4yD+2unjzawyZ6pryZ0xmcc4tVov
6Oa7eh4/KXVzX8rlh3SaCjcS+etSoeZqFExHz9LbdFJuqyZ134jQOjP0RiF4pHtwTAL/x1iBalRU
+gpNBoIfRJ9n9aCW6tZw6bpETiEkhyGLQruXsxpxQ5HpyV72kDq7r2btt2zIvqVz5KjcpnVRfSjK
ghISpQiEOyh80/VJW7SP6+KUx6qdpqIrGYhbleH4qRhZ5zRA+DHT5x9BqRdUDi2vL8UfPQqfvdmi
21Wqjs+zP+imO63P5Psq1F8kBAMLfUbxQfd7G4qT5yZDVBn6iYOlRKe0Tk7GwOVOB10rmxthUogv
q7JcAgf2V9X4HS2Cu0lQRAcZOcT7xPBVDEFdG0xCCyhxzaJyLEah85IuebBKFRGxBslWo5Lb6Qgn
W2m5eif4sa23SvkoNlbxmjKw+EegW9ktA/KyK4Tyl7qefYcIqe2cf8OhxnvXNqbXQ1c4l8nsNMDm
v6XqBCkel6VtRtMBnYSbuU6ONQESB+ZzS5Jw6uaydgNhaA51p4OsFuoO+eUGVWkpuK2sGSFCM3iQ
+JcSCcmn1n/MEiW7yafR+T+EfcmS3DgW5BfRjDuIK9fYMnJfLzSllAIJEAAJguvXj2fNYbo1Za1b
VSlVGUFiec/dn3usm4pTUSDtD8tYY4n5pgrC7aCFhKWEiL20b7vrYv2S9vONQRwoUeZhC+eib7xr
58o7omC2pBHZmEfuaDJqa5ZNYzDiB4IZNd885C5vKpxJIqUjxTZHKLT2i6Zr+bVhlOOn29MYdeUE
/IsOh1HDaFjpQrQMm4drRMeBwEac3pxubXfaKbuEIglTyHzb1O/aV1eOGSqFPm2dsGxg2jV35m2c
4nIhtKRx50JhHv1ErmnW9ltO9uBVteOB7jtWjvvuuVvZLc1z4IxjSjkveGQKMu8ldGpZsmwflkPX
wwbnfovhCDzGT1T7zxpZc4jGAmrns2rUdbGF/0i1ytAJrwo1aNrVwy8ETXyyyH+JML6cGs/Aprb3
0uQ7QY6syV09kVcv2K8WaVhp1IZlYMdHsXgPEqWR42ClBuwZHqPv0r/GM9RzzniXdPSCjBg/i7z+
yJP+MsRcpFtEPxCOeb+ETTHZMGcQPyMCFpaX/iHxbdH1/Lw5ywY/M7mlrcseV7d7d9s2Qta5j2pr
DnPd1e9sU3e7tx8dFmW1v9xLGtw1DGmvwbJmzeJ/cJ5co05/0BF5bHugZghE2jtkc37VGiYISKD7
gFkzXJsbmrfGuVOJwb1mvhPi5xQV/g/8YaW2IVXre8QWaOhwHSSRvETB/rw35uj0tEmtXq+arcc2
FLcOuLhlxvL1bnrS5S4867mPCnDDKTHVTiE4fgXduj4Tk3eCh0fBfGjLdXinBl1SGSEHt/6NxrJq
drPkiY9fDnnGFyzBPweKXU3o9AyO7JXVGzyfpX+76+4r8scdHIXB+FWSU41cXIPHGcnBQXAhUo/B
Omdm9xF963hO2nmYo10mSL+WBmGKED+EiFFdo/Dkc5+XInThbLKdfR4mSBOlV6TKVo2jzlxO34/5
ESZtVTBjbN9Hau7oF1G8V8uQ0HTb5/OemC93jGocq00Ztvox0u5dx4w8IDflV+8oxMCwUBeOpI8L
GU571D1sI/ly1vEeWqKM1bQYnP68SAbjQeS6bp+rTYqVxI96cT4wewa7AFXVqj9g4xxNg+t7bA8T
g3G5mHLTQmxhcO1NmjxIxEYEuLw6lF4z8Wo0C3HpIPfXLnERDFMRkuFDwn0jJbF42KKgWDtE0s5h
EdX0quIeGbhN3iNeN0Qc5uqHIgt3HOGKW5PWwVLOMFTTzvaawAE/xwiJn7oKi6WOM6lNMewLWk6O
PNAY4yI1vLL4oeMgcegzxb1l4YRuavqwSevnu2tIFa7ilWKoD397erUxNsO4nzRDZDEfBiRW749w
aRGIwrT3vVY30w5nPASMr+h6YpCHwZIjAAXHhio88BGdfkLz9zAEJHVrlY7MvH2nxzZLlzcbTR1E
n2zKQFvkPpl1gBUdkkvp79jSfBIsZ9RcdRscQ9UWLBmvwUowkI0AFURy9PILG6CYgwAJO2va+MOF
O+h/2yB1W14lbV/OzXSvZ3HnIHmqaW5WpEA3UjxGsiu02lPHcdOG9jeamLQ3TzHTmbusT0v7wd2P
wXvsgq1C+uiLtUmp7Y75eRh+0Zeo/3DHz5ELPLwoa5ce6zF8bifIMgg8FiaEjb/5EAxblSZKXltZ
nyanz0HTpFs3pJ6+6uXq6CfaJFg12z9icDarXPU/cd5VQbAfFdoM13l2ZnZo+HKK7Dyl6LEuKHZw
CiQ5xg3yefwKuZsRRCgjCCMPgjvYW6TG7a6hhmlNfGncH9PgF+7kZXaNH2azX0evLgQSq83YZq4v
sD3Q8w9vXVcXAfNPg0QWJv1iaImWeCxY/9C4iIie7W3CXrz9rqlx3Ct22zJdJOpFNxtOS1NEKG0x
2lWu0QaHVZN3jp85sCVimO3u9HswipvYGfCup1R593CHTQVsD1qJVoMdMQ2EAsE5SzqXbPq54w4V
u0ptt2PXwcjIxWVHa4ynqSrAs8UoFgzYWNl0cZawIePfTb1xTzy4D23pBDIN2IzcAoyDHj3+PLXv
HdD0hOqCD025iTtvwNEfl94c5Q77Jbc+j3Y0q+FR91cPDuXihBg49GBh3gVKpnTQOULZsjX5mEN0
bm6dbgJ2zxi76tkzC28dP3lQ9tXKCjlUyCsqE/uGLIp0bNA0mjA5bijG0ylch1SSnwm/X7sZBhYd
Uu0RL+OLq+ncMmJNEbfDic9Xt11OQ7AUgSRnE5LLaBl21bzlk7ZPZENKN1YXYpsNRBjr+xz1Vxkv
L2PyGWAACf6RRcvrALnK00nh6A82WQj5TIftWMftfaTCx43B8I2rV89HyUOHomlhVIiywUHMfZxM
IHidExxzUxS+qcKQRKNwc3Ti4KOjEDAPHY67Ywstt3JftmMEVjDd/BmWxE/z6BWEPSXL1xYo5AI8
9tHb7oZ5IO50fMem057sCM5wirFGsEVbxWF7Hl2ZmR7HqF7wPrBjkIdEaogcQYMFmHTSw1IhPC7t
3OREInP28RLqRrK8DR+jZH6eZnxqeO0igrRg3acCCjVtWVK3FySkg3AN7p0FSAJAj6H/in2ewf2l
jFCDt53B6Pzeolc4Q5LwNPbTCYHO5TCPF92RDIRZGtEiCpNfqPq9NA7Xu6GnP+YYEBwJhrvW6390
rn4ww/q+e833t+hT33G6jG78oU2iHzgPDoAuZObV9j40sM3dApT7LUvSUaMoFe3vZtM4xH0o5tpu
ftIeftithznfgvjGr+MDYogv+GfUTZ1z0ygHvNBNMiik7lpUwLg8pb4zrgP98XcGGElpex3WApG8
eB/t76BbcjgJIkE3OnjTeq03Vg46KpBJUXLT4rLBcd+6uHjmwqp/AtZPbdtfDNL00rqfcxXPedS/
C3VXs/ZpUvPnWi/ZmDQHCmQF1HmBmzaNmt/BCutJ9w1G0SjieAEw0c9jvz9PNYpdrMslRO1sjmEv
bzrqX+wWAehbStVhcfcxTd1hnTLZIdQpfh89TPvvLQpskkE9hVz27zkknjXOFyCtB4d2RYfL3ttg
9L6gw1iCAilyFTo15EvzS69xrWKDBMOTJ35xnCNoK0sPf2Or+0xN0YM168lx/LRJfg6+h0TO9oYu
d/FMUnR00MCl/eKlnnNPJOrfcMLL95Mpr3lfGN2UE0lSrnBlRAHESHZ9nBk5KT95Wok5oRB/jIIX
4WH4QLATQMp8dZsipI97ggA15RWxOgR4sXs/F3DOyRy93Oh5eOmILjsVHKl+biP8qGeHuzCYzhNs
l5DGncs6/MFi/wkT/WnioR4V5uBw8n3ciTNp6Q3KjEPg92+R+z2/gUjCILn12ZOBGxulzVHOQUoN
TUNIORqgG3TJML2Io3QqajgzJq0qYjGUDZp8pX76fVQh/iJr4BiDMyWz5NG4uhi9i2/9o9L6l6eK
oD4IF5RJ/Qm+huAx2gNdvCNC64pu9/Oo5enomEO9rKlCIB4i1HPiTLmMLqNEdvtMF5SN6qCxA2L+
Gk4Tlg70vjh2wv3DqQMk28mL6u1FxE2hLKowWPYlEaKgPSDDGpcIfBqCF9pWkChnDFcl/mMH/cPO
onQ3Khv9Xww1hosjK0Dzj/b7VPvqzQOJV9fbm09JxZJnucJlrXV/Oo09DX5TEgCHQf3iDjhK9/08
OLi11vXobmMVt7LU2OpA9NOFB9PBWxOc7T464FbFb5apKx+cCzK4V7TQ9lc9Nse1Hk1h6Obl4+Q/
wCr5N1xOaxj/iCtGCVFUoVHGmPkv7sL7J+wfSLw8shrfdiPLbb/wJ4yIPwQQFyU9/UQ46Hf+9QQE
8Xlq4EtnS0quzJ0ep/gBdETOEHVP3jpcJ2Z8jzyLhh32OF6HVG7ccAFFXw7eNDxT1AI0gY7OuXHX
LY/GsJobWjLZHTbze4It/xA7KeLks6gGetBmMWQKpPupZxiaL7og+NcwWtIF90LiAMb6bGq/ZNH7
NC+HOLnGaKqRXVW2OEUd8tvieQo0EnDPiXH/xs2ACYMhcxUcDVhwAqIGfP+wzjGQgOlEY6fSgwG4
dhvNzY86xLt2eEocrJyeH2y3pr6Z5CGOEVbusxEI0jfo3r/T9Q4L+djvex5RpxTLYbEOktveW6TV
cHcCxYJEe8BYkazQ7B/jgR5i9kZofdq66fytbOcIYHE17AwTUnHxOYNnJdwHYk8OEl04UsXhFhat
j7LZn3bomecYW5CfGrikhXrHUfj0rXSO47sWLIaZv+ARQGFtRoA/YhwvY1vJBnvgHAeLC1LXQE65
TIeEe6kb3PsopYXvp6G6GddHwpyT5D9qE6eEQhY/vzQDuMn5sUXfrvFg2/YUcEAW4h5LOm33JP0u
POSO82p4lT6S05NLZIN8mtC9kDxsDp1z+EYZlQYKsH11wVMIxKdu1zMwjNT6+B+YLwXvyHj/rfRa
Oca/qF3+sNGSRZLkPISZnWVFJzGILmCToqk5ri6yqIM71d1J8rR0ulLza+2ZdPjOj0YDEz1H8MKc
dJPNdUUc+rGQHqk6XrGzqei/zWsG9LTAmmR0TuYXXyLkACPnLIGHvqyLFSBsSvQBzq6VM27FiOK5
DZeqbe3Jmees5nxKfXS3dkge6mW8GSSuEp3oqu6aUmFWNkrcx85GB5+rg4idhzrWlfQpdFIjODOp
HhYpwQEsjZvCQ6IyCGuyxAM5FAE53L3CcaWXqT48A6wsPDWdIrr6QAWmGHN54VgGNU7GIChNA+jZ
7pHJukE+1RFOambD37CKaI5iCHMl7XPAMQItk+2SrJuFK7VwqpFERbugP0zEL59uj2ZaLg38zWfX
A6A5nCJPnjVoqgEkhyN/TS3S6feu7L1qiabHHjOJQffBNIK0amS3bU9JNxabN18HwV+kXB9wakIe
D4i6NW9M8vPOlodGTietPTS0X/tgDv7UPcW2xjvjSxUB+p93Xo4xhiwb0G8jBUaKUs3KpKJ25ngW
DNW8EeBMEu8Nnru3y9ohZHe9HTx6AUBbIsU4d42T9jUMCkIUlWvsQLgOtSRcIErIGbJ5ZWfIox7X
tmsqto03EDjmhMWf8ajBLyBUwK8zD7u3R71m7e+Nj4CxYkCI8sh9oF5iukwsvnH3MI8Fv7RLBC8p
WfXrnLez87Ku4zew26UN4XdRjZSorT/FIyt5iAti1qc63AqZ6KIGFOe5eDHB07YhAbQ1T76YMzZ7
+PEElcu3EbUt0NzmhrzL0Ry3BtJ4L8lJYw4JOqcRnk+p2/d3gEmKLolx5n5ppzsxGb0sWpQDvroz
rN8Gb7fbRtKGJ298flnauSR8P0zrXH3f8ouS1bAuhfZYtkjxBBVPOUSYLVS82Cl9dD1svG2+jdHg
NnNbdkJnNax13AnHCqqZie09wGH/EIzYSGNcuqH4ZSlckLHv/O0O9zGs+ZbLRMEQeeNVbGPasrM0
JO/pmLkDigPfy7TfVk2znxK3vVvDrkItWGDcLO0AgtGtLUeHIkiZXWoylaEHKGgHNRecmAWx1NRV
q9UVkVrnxkdMvF8/7Gq9bit294oXFvYo8sR2iNa60OFXP0BmYocDrUE2AWIKjby6ffMZCIvmqz+r
QN8PLS1krMp9CDMmwgITcm91gPcxecdFtCez1nnIZLa049PECQBRP3fhnKPkvdcGB89FoSxb8jRt
eDgMgaET5Orf35zUoAzbghCVE0Uza1/gOw4TjqLvE7zeHi7VTQ6T9SvthswzO0oGWhq9VAvMBxvX
YM0jNd7u993+AoOBQ42zCDagJZ0kaHT/qZZ+GgcsG8xvb2iztSOgHvty3EgZ4KImc3OSna38kT1M
JiqDWZ4T7r7RYDn1Ut0SszhZ65JKA08mFkJmuZzbub3IejrAfwBEKxDx2qucCe8g3Cq6hgd/hZba
sJ/DFGJ0BNwPU91JE+AJpgMOYU5Li4Yg7tOAiIL781kDQh7cKJ/X/gHC84u3mxKsfOZLcUPJUvBt
e/bEAKFBjVi34NrHfYOHMx1wUJ4n3f4Ie3FRDFxR5FRWNtm6fzTgp2AXjNL9NTJeaVt4VwusTxrr
woYo6UlS7l58sbJ7JR78HmZ+gozwJKh8YU2M8AHl37gE1/gSV/vUZwBmC3dWNzOn93FgUUKM22Pd
oLOY0C4p3pYxV/ccvhbHjqAoBcSz44Pok2l6CL+B12oVnTgaqGVfl3QL42utge/R+KblSqcWSwYc
Te7N3oG77Zui24dZMKgsFvShLkIg3KQI9HeV+E95bIMs2oOXjbvgILc7sfBPSNKe/CmYMrc3b97O
V5guD2GFIMVXXtcoBFbWZ05Hybnr4EcEENvL4Evyo4uHl10G4AEc7/rtxQPODtDP0NZHtfmneE1O
sGl/w3K7A6x5iht7HztIZnCi21kwVPaD86YEEhQj9s7q7iae7JiGfCkjA3vRBYb6qVHJj9VfEPQ2
fOFNmVTveKSxeiBwz+QS2WJrF/Ypn33n4DDvXfXzc2/R1I80hhRAbc9i1lfWGQgKsFABCXQ/Woxc
lnvr9pXb6b1qm+VGBaG5Qr+KA7dfX3fpHNgiXiLJHgaBXJOejbASdN7XHamImGaUqb9MXy61fbrN
oBEXF/igil8cwY/Ntv4GYEpTSEcfTAvGwogoB2w14MGoHhiip1Lpeoc9hKwjdMGjDQ6KAG9OlhRv
KE5X6cs8oLvKvd6yst/1jQ4AKoXNfg9c5W0K4U+2qITlChrd1JndT4uB0bLu4le8Y0SHuUe1BxAa
EMqytgVb4E3jKYzYdiBoNde+9bK5r68ud45btO2V7cWxTVRuVnLHPCqzfeB+iuyzX2CyAJ6T2k+1
QVKEdZLDCuIsJVGPob8NoE2EWx6dp/O4Dcl64/HORcsy6yzZSVAkNPotAvBRIRFTukMIkQ7EovdG
OnaKMN/H3U84mlVvudJGveFYe10C1pe6jZ9xQXmHgO+f1DUyrXedFJNMfiJ08B5c5K1vYIWyyMU9
hH5ztjUinFStWCr4fk8YvhMFtDgIaQuvR2GKZ7oe6n6t1hH7JEQvPQQuGME42NLZWn4Y1vCByvFd
sLgDU9qSYudwnU0SqBGaEJQSg5dhPrjsFmSnBN/dM/Si/itm+O64dFCuYo2n3WxumVQiY3sC2zNZ
vzYBIEIABARqCf62Mvdp2JIfPaMi22d4Iggh2IXUSwhsEoVjPQYPdRSAunZYPiPYJ/NdSHRYGP9A
vs+zR7jIYFLQZqyRGKsLCPgQPBuoARKMl4ruDQ74cBx0UWuPCv2tqomf+Tv76u04ZsaZjrMaDP5M
/XJGcvWiBYZ3PphzJFxR4JEB0qJ9J8BrijpwxWhW133+4fbJg/SnNutj7PJxMDVIBntmfgJ5yICd
BkcK9IHjQ1B7+DUSc40zGCSnqyR0BkcdNSFaFXS8ZHQR4iOtvN3dDvdhPUfHcMFi2MGzHRPP2WFG
5bn3wexvR2sJqVyHYDFxh0D9wQbsdzzr96T7LtW4tkeXtOjywzFevoQ7LhgE8roK87rI7CJm33JH
0/FDjPh3rE+kW0Wjc0zIsJTCw8xx7DfOy9TUfTEituJIp5BXkd+8JMJ376JI+0Bvcf2B+YW7vz+h
E9hV154XhwG4wwhBW0kUNRXOP/Ni1TKdvX1Ql400yaNdSVAiuIu9IEEiyXaP2XQc8f24EV0WcpzD
fOnme25UfZs0XGWt9KN8aCHrYSMqoy36NnTs6gjni0LP4WweiN9kPnJOMSkBbeGhsU37aGrplTVa
VsiEIrAgrd4LL5jQOBmK3ssN2DHkdXyaoQJ87ie0cds6yJNxV4rdH4MmcslwM0Yr9hbMgvN4lE6J
5lRVU9KJEw5l/zI1uy7rJBwxoxp4VTuZrVqMH1Yji+B2CcznuI6RuhmMaSpM92P0uanloVtBey31
Gh3w6IJz043rvemnIQObMBwXBdo63jy32ALroFSnwN6SqcdYsa7XW0smma/QuL1xYrybCZwytvqG
U69xkgLEQvwS40A9Dto6xQYJC56WVea67LO57h6dLhzmFJV2964SKE1LPNoNy3zTtzz0Pl0n7rEv
9YJKE6sjiTcojNagq3TiIpZgG8gFRzm9oOTpwUCAbDEEx5q/jgnWybK+JM0Sn4eQDjgVHNtXdWz2
4xxuXgiFmgOqAc8bVKwZcg9xfl9z7zQ/TRhu1w3eHPec2OlhCQlKGjyW+BfKPX6e94blSVCzL7mL
4dSMyWBReVjc+1xHwX1iHXlvHLKgs1vMmJIp2cJUI/gTZJETggz+NulO9vbg+NF4rkUHkbVrOzAZ
K1CRx9nvwF4to7EPtZQ7PKswlMyxHhxWgYlSr4NwLE7hiBfAbOyTnwgikEsKydzeUYyXA4wqAZdB
KtsN4iRal4M7QenwqnzEo7drKy9LgGe4u6h+8TubDieThZgStZT4cL2mwWdEpkkxNry5d+X3K1Be
+Axrjwb9dl0DC542bPiQrctXol2gDNg5BLw2Ntq7CAWoH4Hp3OcpUuCX65qLOB/VsO4HZqA2hMiw
Xp7EvvIfS4/3mHg1bh821UB4MYqFag6a1vWTBY7/3q9iPNt49MAkIDHhS/Tz8JgEO/7Csm7gC5DZ
vXvZglypGkJXfAPoSGlyDRUC+EaBrqbQIK0eEtr7ETAtEOy5H5p4PEZE8itd1xltrUfVYZicFTj1
Evl91k6Y5ktnKUYIeqCJe0ncVZa4LBvcAJLyz3FqSJetvgD+hZsrcgunq5MdmgMP0Oco6AKLJ7V5
z9ALMXDOvagRm+QFvV/tdovB4tAWuj+2aXw00UTQQ9VNHD8wT3QPI4r7KA37JIF1OyLTgU1BwquP
odfOP6zq3d8wD0IN4nscQhrpWRLdaZyefaYtcXGtudDgwMUD8Mi5SeblRyS9xGKoNhzsHSPdAA1G
E820TCK+DzdstWii8HLffNFJzL5yvwFsGWlPZQ5AROQgyRlDmzMPelFALoyixqldMHhblGzP+9r3
MpNQxf1e11irvBG7q8/R6qEOs3I2FvtxgfPPpgMOAS5ciDKyRoBCpHGiqZDOxFTeu8502yV4fykS
A/oOZYBUmFDlXffoICwmzGWIZv6IsXi730A5l8DNVjt0QSYWvjoYEX/v7iNi4e4lIugl70F+6ege
dqejn4mwS+52jPGXraunJyMDUx+kUCv23MDBC0+NezSJoy9NbOZfM9XWS6HCBSYWhR0HXmc9FzNG
Nrgm2kY0w8iQuOMCuMkeWpKZQK/HhWlZum5Pf7uWjT0Ea46ThuuCkyCg23DmgRhuSEPnwnQYUEXP
2ASPMwX/MUBShPFm69GKtLN7aHB/PgjBlTzYYeoudCHCFiFfpU69BVCCcGClh5YZUrGuaQCeJN7k
Zl3oTfchhstKsuxyyftJuhWtR5IhuGp45TtF42oafuYdxqct+OkzrWfQcgveehQCJaVCLBWEWwie
52zCyJ2nXyzUC2m7bd05HJv9OG58uQ/CNjkujg6ATPnNg9c59YExvRS1MLhp5ShePEiFq1XilmmJ
CjApCLZBexs7CpChZ2+lQDL9ANgCAT0XdJBS6nqiv1c125MLdLlCi+9kUFisoF6WHbpY2xwgsQFk
MwTDPQ5QDItui6nosIpKdLqFjBJAw6g6pyA2tp9iDEOR1nKO7mvf8cpdeLxoJn8FY5z0BbMS79FD
1zBDGXbe9kmc6oXDBhX660e54oSZ3ZBloQH62ABmK3mD4TleLx9+N0CMpH03D7Zordo59kBWwyVe
uGAAnQAzgxx4RLJAndvZMDpzsvi3Vvjs106GjqfLNJtnl8jmtoesNMm0ZDgnR3869cTVT7Wx6Gbr
vjW4KBr3XeGoPPp7SxBbJMDvLhGhn0he6N6pnkG81Pi2YF7WUs8dvAzWOKLvsRyDuNB+rX7OHt3y
WruiGhKLKceodxG/F4EGbRPDvwZGm9t60OOVhSS69YWLbYEUS9ml0O0EOAY5ZC42bib1vQWGETji
Zp53kfSQv4nYCnAkDCjU2Ab2RwhDzNcedyseH1swRa9QlvXZbIa4cBV+CQABexZOQ9Ae8vrTt8iX
hXBAoxscxmMMTPBxtArpmF00/4K3wfrkDK4LoX04L6VRGAdgO4gJikGFA9PImmSzT1nqB2S/SfZt
AKGebOLN4/P4sChCTLYThjJHx7jnNrOQW0gW9dss17YK2bC4WEbjfUsXF4qGBaZE0JhcO9TsL7H8
PgfHiH8EK+X37dQMDxH4xAvVy2xT47jhXaOp86HV7EN90XBHpTgDvR3qSQWo3gMY9lm3IRTXK4qK
n3FL/F8wDJrLVY0AGCFuKRVN7HU0anj0xsaeoRfcT3MLRykwRBs/L7Nos0Hyv3hG+N/DR///KEqC
ADMXxmwYSsGf/8fQiycIxGQKIwf1h3M7/YCQBWI+TCac0RpC5ZRHQN/T+hNaa56Cfb/84wpd/GUi
5l8G3jAP8/8+xB9jShY3X2jd77mH0hzJISrJZ30nTgmM9CFCLvzjmm25+L9TpPewJtW5yFUI805b
Bnf/+7OE37M3/+uB/DGbE+jEI3WAz7JPKe7K0su/P4LIzPfoVmkuzj+DeORhvNlzCIZ/hAVCOxHD
C4QuR3WTd9ek7IoRee3y1s9DCHHSruIHk5kb9df5rn8zq/ivJ/fHaFSztb7ad3xadfk2qwheGzyn
OE1S8DmPf3VJ/J7J+1/P5o8JqYnbfuwhuf1+Txfep9BAg/+kn8MHKtk0TPfM4qpHNf2yYQN8tY9/
M3X4lxGt//q6f7gGEFhbjsuGD2AdezXfiuopgH4ArPbXX5bBX77pH0O/8+RMUkBekAv00UuNtQDx
yfCXubZ/GQyM3ZgCAYBdLTqMP77NLggzmmB+dTCxLRrlVto2ClwCgxDJAfU4UfuX/f4vw3r/9Sv/
+F47q+vEGHyvGq04stDdR+3vD//72f3rbv6Pr/XHKPPeT8jVm/E7GnWzOmeq4PBaNvBv+d+/5m9f
5Y8B0lVPQ4IZHAyQNhIjVkOZ/M0Y8d98tP7zacV/GG/0vfDgxI9vwo/twUvSGrEl61ODLguWQWuR
+CnfT+3+c/iLwdU/Zn5/bjTve2kgOASWb38msceMiQgFMiabD1Px7UWwuxBwYQwCU2jH6P9wd2bL
kRtblv2Va3qHCjPgZaVr1jFHkMGZzEy+wJhMJuZ5xt/0t/SP9UJKugpCUUTp6qlbphdaJOkBhw/H
j5+9NiH4slnLq2JLiqUAj4D83Vt4b1m6+biLz8n5zdPvMVkMEdkpVmWP0MFttffXw9fI34TLaq0t
8Yq7pi4ulGfe6rkZftriZEHD695K9XGAGhFHH7n8FpXDpY8G5+Mnm2tm/Pxk2+sl0o9FzYNRx7xK
nQKQRbyQ62LmaX7AAT56kZMp3toIrtAR4PIEVMLYhGsuGyrzYMdfw6O2pYZxbbR7FANRv42N45x7
27kpctqZk9nOtk7SworYLKkXMxJ3J1nq+uOOnGtiMtmLIRhUCvmZhXrwrZb8m8QtZg045t7WZKqH
sUbeYWCq599ND4DjQrkcvRKlZUUNA1dgq+hO383vrmefTZHRKZq6Oi7R7wdJoRZoniuejTuj8lbW
k+ouUqkJ/7gHzy2Xyh+tTJHh43BXGg8FD6P+LszudPW7OahchDYzr+rPDY28Q0j4Gl73UAUmo6FU
qFRoHM5HCVWBHLyJjylJtCXKGd4+fqQzUKuxKaDXpKTOcBMyE3mrodCU/5Q+davyKtmwll0hDvTx
usGudNs8Z8d8ZnM7Ew29b3ayeEhYCKFFp1kK5ZMHyqCAvavctW+MA753s+bYfx6W75sbPz9ZRGKt
86jqpzlJf4uiz756I4IZ2zt9ro3JApJVJsVS4CCAtyheTkpcaqiKjLtM2TUmpUga0k/iYHJvxGS9
X1NaR6V2barZhtyER9VAjK4QSdySs1hDCiXPKOmKvHQhD0N5jw6recYH1V1DoqYOmYTAMs/K7nPA
DclSDfuVH5GeQgpSd8qV7bhiW3mIKxLdki6MQvX2aMSstUEeYskdpnXd6WZ2SAoTtH4TBlsXLdM6
8dFUGkggt5DdTM53ht4vyAE0OylX5BsS0v2MNccPeuz7dXfU1ht4Y5GGUv/E/XO9TphFWfkr5d7c
jmoJ0AvmegySRxIwytALKvDDZflZ3njxoiA6h8Hgz2HP/ryAvP8Wk8UxqJ0xp4Z5eli8OAhnvEBf
fTzTxr/w0XNOliipbi2HejtaiErpWuVeYEF1XLFs816+iDkQf09r172UrDr4+nHLZwbmaQ//CQPo
+1YTZPRwnICI7dCFag/5nLPGGVzrux6ckgBNUjmhHNGKR6HV936pbeqt/qLtJFhh1iPGJJ/lS4rf
q227mMOhnNm737etvp/elu5WAZlSpre3kA/KJl774SJ/rna5u+qWRGOH4lbeRUtjTx3G3+vcSdzV
lXFTB6qMlTk16Oh0zeCxTG7/nTa41LWVEcf9Y+U5Wb0kLZR9rUbSnQ6UGWeD9SCqfJVa3QxW40wU
PfbjHw1NljC9q4bUGbXjBSI27P8cSmZWbKpjJ9bL6kVbx7NL8/mZ90ebk73OdwO7DLuCU/xQX4ky
OBhyf/y4/85sp+8eazK587SQ8ho7llVRlKyQlDkWhyS6V/tvH7dzfqL98SiTKS5iM2y1inbs5Fvv
XqeatxT2+uM2xu748zLyrzaMyUEHbAGw9o42hpLUN/nQTGjrVlBC7hy4dJ6JeM4cK96NiGnSaRhw
aEkFM6tcO1sqJy4GJKKkd8Q23VAAQV37/uPnOwNyet/iZC7LsRznltz6K1Zhk7OMtaMm9drblBtz
IbxlfGPuvDWwqplmZ4bhlI1jl6IqO4tmvX2VLtIfJoPu4o7LZbipq4o9Z3bVGofDR69y/Eon0zol
KvNylVfZHhBtlPkyRtFS88jRBq/oAcHKor2MvbXynWJfE6zdXz90vO/qcTyffIG8US2HF+yvVAAP
guIBgAB/Gcn2vonJioK0rSvKnm6N668h8JaGw5tqz6yPZw7h71uZrCFmF/RBYI49ucwuXeeqwdZr
3T7i0HohluEldcdySunxaAN4YW6oip5/mXPzcrLGeF4ZyRThE0fHq+hBX6IV+SpwxWxX5kbcWmtr
ayzVXbQ1/+Z6MFlzbD3sdDkU/kozKNNElYoEpHe+pNXnoM/mVoOZETvNspRyJLdtw0PKB/E546bN
W2mfKbE9hMhRls13Z2FQc4luZJHfI4C8m1scZhbYKW6Nmv9GeCqjSUahZzmfKT1Z5Pl2ZimYa2Wy
AsXI1LmKMcfRNNpXJit0Ku6bdlVRX7XK9yPmFw52OAtandmmzEko4Sk9+1TD0+lb86C+xOsExSMD
eEwSdy/u0luTO4oOc3Z1MyvflKZZdUkQcinlo/dAieRhQ7ruAorFZnp17LUPVjtzstjosRcDSKBX
0+8UfWHhWu3U+3pV7vFK3szNirlXOFl24iLgcqCkK6sU2AFR4YAQsY3n5sPcM03WHVHqmOKVKK2t
e/Xg7/KttHQ26mdtGa/QfP/d1iZLTJ11kalJvKgKpcTC3w07ZHC3/gMwurWznDuizyxo05RKIoPY
4Tzrr0CkUISNrvIrRXvLhiICk2rUj0fHzPuaZlaiLJNQJKDhjuWhXQhHcjYioADc0KkN+rip/+bA
+a8Iyprco0mDYuWwaseMBzu9rWxFvVRerVfhbgt/PR45/a1zH6NADfc9hcfuLeIANBzH9mL2lc49
92SpoQZMNAUF3KM7dHrB/TgCFG2VbsXS38v1MjEXxneEAupu7oJoruHJWtP4uUhTmdloOMfMsBZW
86wayvrjrj5Djny3L1uTCEcPchu2D9Mw8KmcX8PTolJVvKIMNzajK3AICmOFCM6I17q7Cm8SLLTm
zJzV8VE+WHissStOohzdhN9AURNRzi2AJRLHOubtyKmihfnir5uLnqqJA6bOKDE38qXYjpX9S3cZ
rqLtXMB1Ltt2ehKxJutSHZLepb553Fo8lnNWQZRa67bbRByYSTJ3W8SoS+8YSTOb2swib01WqqAW
nttCOlt13b3ccFWP983HL3uuhcnqJMVYuWhjAJRXQ/zk11m9aTUr/cu3AYwoAYhUVxTDFj9OsCcv
swenZ4YW49b1MIbgDjPPb6nsmlkjzj7LSSuTIWNGRHK9xbMkoY3AkUJYf25qjH/iT6PypInJSHBt
k0KrhKkRPvlX3craUHHo3Ig1vJuX6Kq5ijfSl/jTx69ors3JIMC0PQJDxnYV1O1e8eDt5M42BeHz
95qZjARX69PalBjkg9ffK3r7OTHCdWxkMyfFs8HoSQ9OIt8kcaNUjKd6fVvsy2241bbovudtH2YG
w4/Dx8mQizK1qtSx1/wxJVJDMFkFm5gLDTO5bleQAHfSgzvzps6egjWMJmQLbwvT+lEMctKoLteo
fKGMkkpQD1oKGGVALbfMGpRnhkppdiC59QXfy7oRFK5e6kWL0U0FJ8aWbIdKp6y4rX2Fa347s2ZC
uXFoTofu6XebbFpKI2sWslcWVDhMPaLtINmASUH1L2ZG0rmu1yxd0TWBd7M8dR1O3V41asEkadAJ
5+kdIt/VXx+rnLOpvhK6zmXLZEqUKhmnruVKJzcuZH9nj6lfEC0fN3K2w6jbUQzSM4qtTpaTPkmy
AV4DneVLhxrLRYTh0aWZx9dKPMz5KJ/ts5PGpgvLYOeDGdOYU4JfhBVmSd8/fpyxT/70/nEGNBRK
ymRW9fcbatp7bapYvP+4RXQuIm5Eie27bdr05rHzjFcVx8qZ9fJ8F/7R5vjUJ/MhyxNyk2NWyOpN
hI1UdqoG2hLzXi6S7cePd26V1E4eb/K2ckjaEok8LiSsYaWmXynZJ7n21+8S0bXg3sH/poEX4SQK
Be6mu3pIJ6b6g1uiee53hTHiCef8X8+OB0z/hGHZFkUKk8cJ3AQer02CIKnchoK/0kDqnxjXf73T
dBlLesUyqYKYukUjH9NkGce2VdUGO921D6pffdeTuYKVcw9z2sxkGKRZp3TUdBPGOMqKC+1HMcjZ
vzFbT9uYdJifYXz6w4pYAryfKl898eqrJfUjM9n2c+OMMj7ZhCttyLT4fkibid/XFj6eK1NPt3k8
XNlNeN00AIA+fjVnc7g6V2wsyyT3relJDgyHDquQhgpMxOyX9ohc0/lRpNevGgofu+VckvpMrSIz
6I8mp+e5bAjMKgATS9q4XRub4h7ZgrSot+lRojxP2qJFPLjLZovGa43z9uPc+f9cbHDa/qRvK7cw
+9KkfZljuXZR7eJ9vafcdab65/xw/FfPWpOd0EmNKsjHUd/7CpLZ8gkW1uPfe3tT34wA845EDDyK
QfShciWqfRqDDxg9G1JCB33mGls9t7qfdt10iqGwcxqd9qoVVsP75Esno51f5VtvE95691iwrRDS
rmFAXFXjIWnZ3dQ3wXNZL1ADPCN6//j5577OZDYiRNEUdCDErNU6QTwb3iOLX1UmzItqZg07e1w9
ffTJ1pnYSqU1v47aYg84Q/skreM12jIYNeONxwriePEYbasl6Ud3Nod8fkH4YzSNXXGyx9kcNDLK
n9nj0gYqZQBLhZr1diamOnvJd/qUk/A8cWI7TMcAQbkun/QlyL17a61sB4xfyHJs0bHPbKhng9nT
FieRuut7qhsovMN2aW/H+luweVH1owpVWwKPrrhHAv4wN3RmZuf03rstEuHnMrPT6CtgZumSe8CZ
m8VzdSynC9301juuotKAzjs+GpTkVblM7rsL5OxbBF3hYs55de6JJuuNXPm4n4wrOcXgGyuJx9j/
/uP5dnYQ4m0H2V6TCVAmwZ2ggK/2UjoNvRnKoX4t2tcKhePHrZwfhCfNTFYZmC1j3QNPYt13K2XV
5otmp22dBYLoS31TLJNtN1MuPg7radSqn7Q4WUgkA502RBhqXTN4wlxqNhcYCVCiPjhteBsnSr2v
81CFp195xpyR59kKhdPWJ0sL+lApwoCHcQK85nO216lBdxCib3MsatQHjdUcerWytP4H1RHjqPjo
ySfripN6eiljjLCCjDgmqcftw4twDJVXwZq7jPXH7/bsID3p6Mn6gvux2Wr5OILcm2zQgd+ImRbO
HQZOO3OyngDQsrqs8AOKxwqgfIzU/ghORLpU68rdZ36DxezHzzQOjj91IRNdYCmJ5HsaRMfAsCWG
hb+q8x64mgWoSl/YrKEfN3M+bjppZzJMYl11w9b9bTkhq7FAZqgbjBT7UmenXXPGX5IofVBXxTKG
v7mwn2dLoc727sl3mAyXJq7qzOxKSqlTSFEqfNHIeBZV+5w6Q/nv9Csnb1mjrAXPrsmbdKtWjmIs
MFaWbj1bvXaUMZZ1fbg4H3fs+fXmj4amASnOsr7S5XSsurWijbpWdmKt3PavKPuwLkoOyXHuev/s
kDlpcRKC9mio8srpeDQQ0H2LwBrvFXeRV/Hdx88215D6Pmyg+ty0nTFgi+O3QS1WcbbXvJnFc7b/
JttCrmqdC46BnN51+lS+WDt/7ayaJcxB+VVZB2uxmgvhzy4jJ/032SHs3PvteKSl1yl8qRhp5scd
N9fC2LEn8VYg5CEUPyLdor5R/WAJJfvLx03MvZvJfDb72BqosQhWqomhzpWiNwsTFezfa2QyYau0
UAbRMwDC/jYEbiXDX67nZurZVeHkdUxW9bo1i8RKyE5ERSwWLm4okJKNZwnmCQKYX8Oq/3jt/tN9
S29+XVnLf/4XP7/iJVP4rldNfvzndfaW3ONY8VYdX7L/Gn/1X//0n+9/5Dd/+8url+rl3Q8QIP2q
v63fiv7urayj6kebfIfxX/5PP/zH24+/8tBnb7/89PIt9pOVX1aF/1r99NtH+2+//KRxsKYY6z9O
W/jt46uXmN/8X/FL9n/+95lfeXspq19+knTxs23L4y0JwkdN1sfFsH378ZGh/2xbhqEL7MF0WN0M
syQtKu+Xn/SfoRDourBM6r5+fPbTP8q0Hj+SlJ9VbB0VwX+4+5mKMH/6/cu9ewV/vJJ/JHV8k/pJ
Vf7y0/v4iQSVwPqYXRfLSK5ehDyZLVXQl5Jswsx2dRtBkvBAI1NUXmKtrqWHoC7Sa6NOtOtWRRh5
0k+/fZXTprFXfrf//mic1kmV2AqdoxqTNa4taisHfTdQWqLVL2Zd2s9xHmaXOHbFMKKsCHM2UMaj
9Qv6Z2Cjw1XdudZnPVCSQ4s7UMPkFoFN9V8K0qgatFIscMFykcf0PQQCCZ9SDtVDFyWfJceQnqGi
q82tI3pPHyl0ipEtWg1wxSI0B3HpQhdIN64CQGgdYFCAgtX3wByxxQEmHGSrbO/1AsHFRqnN9BPl
9wlckqR374tGzb+lTazC2FbFN530fL4EmAWRU8/MiiJSoCx5ctE3kU8tgWwrkE/LSHc2dq475sYN
saiCmgdOpL1OHXPkL/euWT7GELH0JRwWX3cXyMxNiZKngIus21ZBbi01Zbwx6jrawA+vrmy1RHyc
JBEAHXL5sJQhItiQEXVrHQQ6ReS6mrufC8NCR6k3UnsIe6Osb/y+MNqjWxcq7IhGG8oDuYKSkh+Y
w0AYyKfLiyQArL9GoxxSOpM2Haxa0zXMpd7rKpQdDD5yxMqdemcUHRXxDankmrO9Zt/APkENGWrl
m7CwvV/kqaN87p1IAhbb826wyzK4Gs0AJe/9VKIuR66FkJbAJpSrxuvKQ5khuxfRkOVg9CA2EKTp
3dbNlXYlO2n9uUgD49AjrcMxuXK8J8kuvDsHduAVOXo6jrJ6ca9kSP4XGBKGiMTbsMxxV0DkDm0t
U97c1FJIjAzjn1TcotwqhQirrULhYnSZSB6Ael0fzZljkBDxMu+zlBI+PY7zO/zM/HLTGH5zLNPe
fwFz14Ef7yDoLQuU2DJ0p6oBn1wMkntoctN8iAe7bTmtWHa+7Q1X7b4UbCD2ytOyiuKkRE2/1YHh
X9hmDhAQn5kDUIpUWpZO30Zg4BOtXhPQ5t8yUUWHcCj9dYAwFN213UQxXN0mhcAXN+gYe8erEYaq
qRcASitiBY8vVX0bqrraSYUFIsix+y2Ar2McG9aF7mN/Cucf8W+rxo92YetXQwQ/Q0oN+wlFjimD
2bHxd4oZ1igZYu7hF1GLwVGF8tSywku36JKdZfSuvbGapFjDRB02aCWQ8SYZ0mZfqr2vfO5cIzGX
Hoawip49zw63euqlG98DT+xnnTiUvdvdJE1rf41TU3jr1pEjyC0GPRkowNFJrIebSo+lh05vAUoq
ef+C2qLbIAnprwYj98r9oLXp1oKrfue1TrHDXD3npBhQsVDHbQbTF2+vhWQISLdp6l6Jpk4f+ghb
KrzVQODp5XChC2Hda15Ww4VMgksp8uJ7bEP71ZDZZbKMmd+XSaspR1VXUgivvXIJcwerhzAtdpnS
pJ8UiCC3COvFnWsrBUXXSmke6rgPVGCPjv6qgFctF2Wly6sas7mdk2bNQShhuscP1DrYUR9x/1fm
+z5Nq8euVQOYDL79TY5t+RACJoCFotTVpVsNKi4MQVJcl3bQ3OeBlH6KQ+6HN0Mpj4oTI9A/ZUov
H6QSE0LFsIadyGWsdEK8fJQgRkOi4VslZ2ECHqWgF4fAOja+F195WSWB5mItMNd9pRgbz7YjIPZ1
tYdZJi6iAaMm9MlQ0yzSeEmQSM9FZ7i3FnHDEp8geR/Xg75uPftrohbNMlIa9SjALh2jos6OOtLi
LwGZD3AzwjtoUJ0eTLnQ9rEn8EkxUcAUOcj9nGuqC9WtcW3DO2PL/GJEA3LZQOtiFro2F1Vm5m+h
R1H1q8rFpZGX/aEBFnNIFXWAuAAT6Kvsef6uSE0TaozGwwy6fDH05F4Ux/WYwiFWAIZjQj62sxah
qdRfeiEGjyyi3mtIcvgYOY1YNkncbgfXtPYF5gbfWzGkoDE9GXsDJnJbiWTZlb7D2yzVCyuSi03Q
+upea+QKo05M0DFHcV1ofUYvH/M0TQ8Rrl6rzisg6hpBUj5WXMxeAnUbtpLKbuPkXXIdtzAS+lhn
bQAQ9JimkfLNZZHuFxl3e5dDX+JJmJmi35uJIu/4jtxJFolyUyqZYHbnOoYGKbZAkYQKrQerdCgY
lF80RY9eXDUr1nXZd9eDH1W7yCzcS0/B6mPwmxoYCh44sGmz7KD3rkjA8WGp1SLY/yalDYT3GOzd
LnaVfFj0NZ4ZTpvDhLfrZM9Vn/pJKIUMu0vPAc3pxtFnvb3QVdxlU2yKAX1Z7mMipfor+1zwWMmV
uClr2f3UBJ4PJ7p0b+sqDA5dFFXLsuy11dAk7ghWp07VksGADJm68wu92KaD0u6KLtCWqanDiR16
6K0DoDfJcwBCKEF/DButBGtsyZcQO4M7XTObp3RoBBZEpQnCigv6ZA8zQ7EWnDH1+4Tdjf2xs5nC
vtlc6F1KykXXhl0B33/lQquByqIEywLvkjWPln/TJXDiINtxJaSDH9tBiQ4cUPzDENkVBmJVJBZ1
7Vuf4gDwSFjSOWGtU6rEnfiVAS6RIvGKRrpIdheJrCbLPOBeyR1U+Sj0lhgZf/uD2cIpM5OiWQAo
cR5gU9lrhq2518IAMl8WK/dlW7rfg8anyt+tnBvc+JydcKV0E8pGex9GsnUf656yjK1Kh0ntxrzu
TtoA/sU4KMfzRiGYubddHARyxQ+3qSaLT3amtC9WDZUuN4184+BnsbGiNF00eVyuhjCJL6paHV5H
bMC9kjvDg9d61qNbRphvSEH7JSXUxZShblcu/K9DDl/jEDpVcWPlOCs5RWR+sURf4w0Y4Nqr6sFO
8yt93Qu3/CJBXn6puly7cAgyNr1cN+vSj8pH6Ky4hJlqBWnOy9bCT/zrDnbUobbBJyZlmVzgYRjc
eBnMWrupo31aOTGI+FLc+ZIfrNusMTCAMtQ1qhJpKYas2AVeVBxi+HYX5RDnOyVU43WGpGwtOzqU
wAzX1rBN5a0ZRXCjSqXYVJ2XXjmtmh38rGxWUQ76jEGtYtPpqrvcclJQrAEmklEQkN3K7etM9ppt
xvxZ+yaOYjp2mGDBZPiVeVt/ypzB2YRD9ORYI++4yJwFtKSMqeq+YaZo33tSZ1xUnV8vI/Cih8iq
lWPJOH2B2mStRVjjtSk3Ry/GK7a0gqdaUp8x++ieA02FhtXY0HX63LhN81ZdarKLnYoi53eq0UAs
9FWQmXZDc3Uu3dTYvO3kwIcz1IfSVZ2pKttqI+NgVlBBE+rZN7mqtKcuF/WK2N/eB2km7YXUE/O5
SYK1XcLt+RVsMHErBAYYXWHhz9EgenwaGjc+irLXseQaSiikuEmsTdOMR24XViGFbbRfCsvoLtM0
lLjMZRheZ6k0XKRFFj+pEkg/6D44PdnO19iy9OsKyvMBI9gSSrfTFhhjMZ9H/wP7UrOyeFeA8biM
zK74ZJtWuJHbIr40XdxuJOHBdGox0o3uqlak1yDgenXlu3gfrrMmlTaYAHcZYZ6qHugsiO/8gWxR
KR120+iVCzBFg9wtE8E6XGCZucUgmCSfp7U4XJn13uVYBjvNq8MLBcDTBde9+p1Xyv1D7o3GObAw
MUOLMpzE8LO1t3Ksel/wEzMOrKmAwpmL7DNaVry6+F9FWCJiPGtawr+Rk7a6tEwzeRz8nDI0dxDR
xne1+gZHk5LjTN6kAdobkJGLwjdjYvhGZt+vJN/cxcpIX7WEY3/xvJ43EyPSvjS1tLlVmrh9dQbN
fyJF5XVLt2TqcVoxfGNh2Wn8YoLrvKb81b4uBCNoUbi5+tjImfFN4cAHFRMe+re6T/giveO/xRgT
bUUW1f3KyB32Ok0PSkLJuGkXYZOwKkiOdRVErXGk8/PXwcPgVhm69LKuhypeR+htwm0mG9KnNokM
FM4Vfr6Gjy+Xwza1p/69D3F7i7K7Iqqw2mNNK1+9tqtuFbNzv4Q9gSU2FH14RM8qPwyoW158WS9f
kPIQOldmorGYCQviu9rUibGP5RaPkMSvHaw3Irv8i5KB38/F1EKSmsYY4se1w0kKy/IMTjWa1gGe
L1mTdXzGwq2a93gW1DGxwwLL6xqPT09PH1vNh8mWuV187SZ57S+cqsQtOs806K4eDNmtHlVVvS0T
rcNe2JAI3T8+x08qEX79umSMbZNvqxq6PsnppXoGGdIlhY4LYLgVmB1yGkrbG80xyue+KrWl4g/y
dyPMKihzud5gfGM3HeRKmHSfdZeD7NIxwmTz8fc6k10wKCpVNdVUSfhpk+yC7bbwMEef1LgwghdX
g+UEsDjq72pJqy+F6ikveIB4x8CJcLn4uO33ScgfXYIFlEmfWKQ9zKmkhnwBZ2yPhHepBNVNWMnK
g8Ahcvejlf+vE2pg1cmAfZhPwwnmpTzNqP36O78l1AzzZ1nYsmxBZcHnmL39Xwk1S/vZQouvmMqY
tjO08V73t4ya+jP/XFapB9R0c3wvJLp+z6iRoUNfqfORbOsWevW/klCDS/Euq2VqtmprqkzRoQal
zdSmxYd662PBZRv5yqRCsE83YwpC/RJqhhpjACD7Qll1flGwbTROFfvIkfpcq77KSdi2a91G3r9N
ndBzVqBYwv5V6s3KfzGtwIrWjghbzhFsxKDtzSEXOPVZemYl+Mb38QDr2I7wXOxkDvcgMgUI3r6L
IWqruVyqnxNblqQ7z/dEss70TAl3YZla1kWQYki2INxU7twSkPNbAyvT/pR0MafKaGgMjg9OMHos
Mk0HPzhard54/oJK7ba9BNOqkHgJbTXrt1JWKfpVAQBQfcNZInKXtj6k2p4cnGXeBaomRaTZlKhe
Ba7lQm1Ncuytk9quSbAko1F0GheFeTuAlR8DAt/EJFjbhBp6pi9aIGOYASbXcY5CIwS9DGxHVsbM
Bfy8xaDgWPQiZabrvHCLl/frtigDBT6q5lnDa4dLvNjUaqNFT9Qblg2y0ywNkC/EXlfUt5LtOdGN
0rp1qi3ILSYye2Jn4giOhVjmQqHP96rVUJH3xQv6ikRW6gu92bSWxxEFl6bOVJ8Gcm0hhB5BduRZ
8JKxY1SCIlNv3URzo6MhlXq8TeGa43MXNn5/A4p2jMXLvu5ynO2bsLxtfV8yb7Nc771nzdWcrMVW
zBqWOXkZg3xf5JcvAZgJ6Yujkeq6K9reqr5YGMpi9efZUvfUqmluQZg3XD86smjD38dBTRT9MrRZ
A6H01UEETTY0tesq7TWce8Hwhk1GLk7Itvsip7rAr9jBZQbCGGEELFDw3mWs3rdDLg2HUu+N6o4J
Wptw3RO9ardKDnsYc5jMd/egkitKNPBMhlCMdQWUWuaLDgeSsCfRkRQGTZ8ZywR+gvbSJDaB98Jo
XI9zr8nv6LumzpTkze7rEEM8TpqaszHDysYFsSi9jn3ZdiKuMxNvCBJ8KHtQpeVA8eUqHCtudpaA
cnohCTPmPtWvOYvuKjkN3c9pbteEkjYHk3VhphFesUphuJC22z4Qxle57uDjtm1kK5ekSLXyIuzs
WLmWM6XwvqZhMf62F5BdtvUucsSyzaQUF0RZ427rS8p+TH6yHFLdvJFrr9EwrmrHdAzg9sI27/rU
CdLXQgRuu3ALN3V2Q1N19ZNfGFLHRSnXpbuMnA4FSlFQI62F0W0dXIcT4UEeRIKNlK5ImRYzqlON
wyWzScYZyngO67ayH5yqhiy7tOK+xLlKiYMmu451ybSgbWKBDTxUxXXuRsSSGh4SD3X71VC1tYMb
dSy1L73qath8F5rtk0y0gOMHPuDOaz0buvrgpAMQ30XCXfKnRrI5f0eOBqwc5zX/FZpa7X1qvJyD
p9sMMjYx3CN1T2FsOXr70LpmocDwrwA6P0YByNo9BjM+pRo2mSb/m2/ZgWUvy45o59WMvBZjp14t
q31rsMwd+0HtW9wkS1FwHk9AaQMZt7yyXnmtZMaj9VRkg4SX+gYu7mtYCY4SduzCBV3CHo/xIjZZ
JvpHDLlB2Wt2rAlktZnsN5hBpZF4tjg55BhsNh7pI1FLVnJn4NTlHmos7cHYplTvfx9SsK8g/L3G
LfdR7HTenTdoQjMWqukOiliksqFxzKxFlnZPBgOE8t+ACA7AXCMCoT8gQQ26u7ABwi5h/eaowZXa
d0NYuHu5tiLlVnGpI//UtCKTQEw7bnqbicGMHlsMS1sSDIQUl42ZKd6apy/snZoPuXZoK3inF2of
h+nOJUuacWT3OCpuklzHU0XVYz/62vaagy1mVGn5t9oQWrSUKtmsj2HY+So+w4EPaJ8VLwyHVULR
WkdgD8Nd2JuQU1v32mRBkByqqmjcy65ok5pMikXe6SlmMS/SvQv3KCJRRXaDO3mnIvsGWFKB/N5Y
Cd8bZ4MsSLWVZZaGsPqFCs1ereR1qFaW1ssrW4nzUf4jaqUKntXAkML41+LOvxQzHf3XIi3T79X7
G8f3N5f/z11VAqsj3vnvI6tfrzer9B+bt29vxUt0GmH9+ru/X1laPxMJUSU2hi+6ZY5cxN+uLHX7
Z9Wm5FzotrB0An4C398iLEkxfjZkYjIOaGPcbY1FZr+HWApBmyEbBpeW3HjaXG7+lRiLi9P3MZaO
gMa2VO5NOW5wCzpe0Z5e8mP6PrAXGfmyw0aXg45CCuy1a9TAu0DJ3nIxksS45SkxJXtBfpk3Ys2F
wEWlKBd5wLUYZkvHtIqThRELcsMRVpjmNmnZQmz7Vm+1C5IW69pKwIY3r4XGYcsOG1zMgm+BIR8G
tg5hS5gMI+Uk7ZNgUxrBKpWBaVjtFZ7lT2pcPLZRfyGV7j0u2hsuToKlZkSrXI1uOr+5aUsPA1UA
GGm0Bau8F067iQPlxqvNW3xktn0mtkmlfbdc/7to45tINg99mQ1gz3N8m4OXwpd3hFkHSchf1LS8
Vp1+qSYxlisuGOYYj/qCDIkm70JPbOsquHcEBjhRQhQWByvMGy5rB5qvHjRHGTfyqBr27OWCm7zR
jleqdwaJ3KovtmR0b50y3xpVTZqmWUO04wIrvXPC4CKpGnNpCIrdbO9Iccw2DA3sDbOL/8vdlzXX
jSPN/iJ+wRUkX7meTZK1y35hWLKb+77z19+E3NPigdgHY8/bnYmZnpiOdh2AhUKhKitzjtBYaUfK
3BOU1xBTvFkWiB0YZJeOgy/L3SPJFR8Fgq9lRvYi6A2auLnuEKitRQmeQ/AcTgo54LXo5IrxBM0I
F4XznQ5F644YHpZnkIf0e5nUO5T7vUUeIE4nQH62dUH4AbLGokOtvLxtq9iT0vFJKuQd7i5rmJZ9
Vc2HsJyhQ1t7tVndiC2khINicmp9viKp8BOYsK8YfXL6sPQR/7xwgNitXN5LeeyPWf0cJijlmfVV
R7rjINXQB893xRAi7QvFvZAUd2LfPyyyfmeIOSZBBr8eBOhwoaciEldoITMQp72XIaZ33XwNbmIP
3CgQdF06B22n21oV/VBGpWRppBFi7P3XCAXEKoIGHfiCIF6yOKHRHJFQ4ttW3tjpT0kgeRMmq3Ht
/6UGip9qENMORgibR8c4lY8a6Z8GiAg1PcRUg2XXFpOrpOlez5tbPBB89Be+t0kl0Pscf4pJnqET
+7WVC90WEijjwmWQ0+CkNWYAhYAKE41pcFA61LDb7mFK+mckt9Je61AbF/X+UMtgYK8JNF5roMsS
Uykwi6yiW6BVsoWX0+C0cfs4T+MLqOePSo3RuzTSbVEYoZFUZxUuiqRMrbYHQVkFgeDUwF+MWu4A
TVGNwU9N+WiY4G0EV/WbOXTgsYH0mhshCbNbvOptBfhES8ET3JKaJLDQb22ue+THFhnK+2mB4GVq
pK+Q1sXMXUfu29bUUSfIMi+hLYM6qnCOFlzdTQFwQJEryk6EOB0S2G+Z0N+nHVTIYwEtmxqk9q0W
/pzS8RRX8XdDxbsvKl8msfqBLoxbNy8tMOdVFzjVqPgi5VAMBdVWS1NEsR1vLwHX4iSNXlJJvYOX
LaY4VBBgQDkUzwHDeAX/1ilfcmRGGPBF28JPG8VuyvjUmfGxLlMfOYaNH2Qn0gQO4MW8zwblhE7F
fZTrbjuXJ62JPEloX7VCw5+LAogUtVCTNuiIikNmSFFAMTFpqTwhVbojP7t2gVKFLvoygRIWCMNB
Q6J7WVD60pjswWOIIfoW8rXNvh+KLwXkr622rm+GPj6MSP6QZb6aUMUgRfCMtoYH9vHaSkSwq+Pp
GC/ZKUZSakMd8AveT1elgcycSD7R8FcBaAAtg+ZTs4zX5ZSiIizfTbLxOubkmUz9CYLIX/I+2kMC
AS/WSVcBC6D06qp0UoblZIAFn77ZMMNQUZL2oYmgrJiK5lXRQMjLaSC9pOv5lbag5fT7xZj/PxML
GZngpcTC+h7F39fZxK9/4O9sQkE2oUmovCBxMKCUQcdp/pNNkP8jGP806csPbTao63xkE8b/oYAm
rys9q2zC+D8FlR/8kSgE4b2Nf+6PIVAEaYkOdlHUWgkG6fATGbRqIYDcdIQkvbVURXwFykD9yZy6
CDdBN39p0KfyMTiufjHUxrRX27SBgGIqRdQynQLWML8HoKzJ1nkFtN3Rx49HS16+TcFXIiGoDKF1
2Qg7p/HJCrM+XU0hOkb0wRobK70ODjjJYH8zXchoo4GwJx6kG5z5N6dD3q3qKoBdBq26YYbwPEND
zyQUxgpW59vBWZzRx6sJ/PJW7UDx7QB5WhfakD8uL5UlAflklMFMqsKsCKKgwagPuIZXeKiVg08/
UKz4G6VtApeSs7j9STh0t+IuuQJvIACWvwLBGcpxjWtjMJXsj2CHvOfeEHBX40eMYYYq3IgGVQ0p
r9d+ajmWNj+troG4XIV6gK6wcyqiKqAlNyswZQe3xmHax4fhudtVrnFDhy6aK6gT/iYPwK/lrWzS
1HzVnAi1VkvzFNULeZiXbyYkD/eAbbQAYg3l/vL33DofuoYSrwaEPtohrOeSasH4KXwoFb9BBrGd
nkXwe1y2wZJ3/FqPIat47oCpFMjK8/Uo0FIkWY/P1TkGUANQFwCtwWPriSZEly3NBwDHG4/VW86D
kjN9k/fAQ4DIRwAENhTlZ9rAWO2klALPg8IM/Xqji9mpd05G3cXz189AmSJwSDY2/BJ4e7zAaG1a
wuz9uTlgHCB7X2Oh4O23FnWxIlRtI/EBqos8v6TPr9VgBd3TlSn1nbxltbJ8VOAihIBKzAIwA14Z
+pqvuJXPG0JjRyuAXtQVSYQ1RRWBV2L3MGyiKKxQALSSEyCVwhsl2JJ25VV6RX7o307KoT/Np3k/
PMrPqEfhSHLc57zJhE4C2gnoVKPLJOH5jc7D+abWlRjIStxTGNHgBYuvaK+JCiHEmRxGo7EHwvmI
7DTj3wZNKMdg6cAgMGei1THiVI8t2IPKe2i/glpw2JcZVPd0yH2mso3CvYUiIfrMw2HBU8tsTS82
RCuFxGVcqfu8fQbDaFJVQOoUnFHL9++6+u7sj1OYZzkJWtQJS/w4kMVm1uKJdn1oH187iGO5kTdY
8s3wV9JY2dPklk52W36Rd3g2NpxrdfObYCQejoHyBXLU82/SICFtZAVlpKTdBxJmEwF4SHsQL7bQ
MQLSTk5HjhdI6rnD/1r4yiRzlOUSAKc4h0n1Ci0ZEZ2Fa6h6od4FfDFG2u12LzsZSBs4AZI50p/M
Ms6AoV59HFExsLIALCbxV9RsnFJ+XUIeA/yGIWDDDQRIRZWRrDAf1oS2ntCZvQ5SaciBhwsm6Bt3
XI6Z+XQ5HNNvw3iQCQuKImkq4GYsqUadLO00lPj9CRrYd4MYA2ubQIwARVHAILLkPpkIZzZ649uZ
GtIwEShohMb3ML0KVjEqxmU8GuDFzsrbOLnuJsJZ1GeH1NB7RHaJO1onIssJoAVmiIBMSzPgbQA0
Utv1A8gcCbooZHiMZWM3pOnudzcSNmEN/Uzwk0gssH8ApKSC6ilWpcmPSU0OehRfJQIm5436WoT+
/GVznzfx3Bx1oNUmtnoUQWEtw8nPR3uBKK6hcnydSQbg65oikneyFSKjKsn4OuQ68X/WtQbPMK7Q
DgXSPoe8JcZUnN9eiiKia493iaGgzMgmOJNmFGFSQaQwkB9LNd0rSvN7DAO/1rIyQXdztVspGRpR
qkvNgssA5UIWD+KPb5eX8fnIIgBKCv4NtxZl9lmTBTk6cTJEPIwoxKy/EqDkQk4o3oGObgFi5zet
4c4HzEJCDgpOfvHTpoG+eOyTHjro9XjdYzjVFrQS4wlj7QodgBeXrX3yNg1tBTSzRRSSQU3CHqje
zCIZyCUR2EmwFtRPucGj13hHh5wFIsaEfP6JwACplEAsitZ8ID4me21ll9uxjf9ADQZFD9AmmNfl
YdkBQ3YLZRqruZ09KssiH4tH+Tp0gBxsfN6o+KdDAHYexcBIEk0aAWphrja9Gvp+bACqKhdIdEKi
Usp/YJgEr/N/+gIb71J2/h2nTNOxtRg+AjcPwYTO+eIBrIXOZ56NVj2PqLmQUIcuZhm0YI0k2p0c
oOJdo9vmKq0I2Z+pRHkUF+A1MGPQ7jVi3jvg8/WK34NKAeBXigrCJZbnrlDTHO8DPJQpW4ZZWgSE
GcG+csfSkj3KNGrueTvNtclc6agdlks9wqaRWtMbdBnBfB8eMEcz41EQfkl20aH83ZhNl4lnjgHC
HdVAReB82zNphIhLiBejokG0TPs5BCpKWC8QmIDuZeNe/sj0Dzt38DNj7JU+dHKXJwGMAc9yCCDv
DFapByHPfSnR/zKE7lbLBgDRoTl52e7ns3tul8mYmx7lXaOlRQ8z9SYNQPbI4CSAvKUxZ1ddhB5V
ZCytaFUCmfjpMGkm2HaF6tT2wL/FavnSAHdmJRnv2mUfde9HB/+lyrKMYpfJ1j1awHepOjGeGu+P
utyF7oqtQkBP9EpP2POSl88Bge7mhzkmIMx9HrXoKINddSpcIwkcosFZiojjLNxlsachRmNZabCs
zhtdBRWk6Rhf6a5qUebk4pH3Vt12ko9lMSehjrFkyF3iWbc8p8pdK73+iRP+8+ez7H9FDlQ1etmj
NYXpcYm6bzLUWDiOvh1BPr4NWwhSMe8ydBqMDB7mCO5UyBhKga25GLIFz409goV+p+wvL4xrlPF9
AK4TiHDDIRrHuJ2hixi63bE6QlgCT5DGnnfSl//RIpMvBZh/mxKCZWq4FCzMETnxATDczsosyW4f
5KPg/GYN6u9DZqCgDGynJrN1r6HMEr2osEhhTrw5vqVDSVpxf3lhn54iNBqjLm3Q3B2ZBj16qyQN
uspxXOQodEEPHkLjQeaazehrSvVVyXRQdleYnblscdPrVxaZa7dqQIIK4AmFChFpn/STcTLjkked
uxkyVlaYkJHX5WJoDdalVLd6KEJYGZNhEif73DQCzC1yNBHJyqe6SI3xSZVWJmNpj0TKDudjH/OA
0jwjjOeFYzBOSxwMAElhaDTrc8jyDSpxa2Ma3cufhmeKfrqVM6Rqq0lpDVOlgpgHvTqglq0FzO2X
zWzeXKttoz9jZSZowIRrtDBTaajw1CFoK6GXQd7QVrSS8bWs7oWKl0xvhwwAVdG2kWW0QRi3q8Uw
A5LIGKzs1HjhNTkUXuSRHwMo6uu9eBJ3PBXRTT9fGWQ8MNGqVKxRurZmZcZoYnoy++rp8kZufq+V
Cea+IhDAwDwsTAANcK0lxiE1QFFFZPuyGbYC/ysSQSMSkGITz1KWIXGQhkptctip/5IPfwtFmm7v
6X67V1yMVzmmw+Nw/5cP9mGUcUbQfGdFigKf1brNXnxcdqUd++EJb/19c0stAkT5P66TcUxRHsEg
U8JkdpJeZER2MFx7lKp+OWDmYFls8YTZJZ9HOchdKuOb/dJWEzTm6VKhce5IO1pGrJ3OTe4oaw5q
ureXV7rhOAaATaibGDgQQBedn0AlmoHArMGAYvSRT4iwqzJ1V6rhX5fNbC0MQoAqCvIq4OL4n+d2
5BnYnZr2x6CJ1kNWS9kZTgHGdnuxA6QH4KQrfN6527jRzmwyfpMs8TLFRgVqRtMICwvYGEhBJeIE
EudYzcxHaNXXJiADnWLw/IeeN+a1YYqoqKBGYNCzwvhPP4FfViqwXAhOga9StUHJBZysisd06UPC
3pvRcPGJl3rZ1cjttNCPdsk640VLTvJJl9MZEuogtt3FCxDfVm1qs+QPaNaFNupoMbRlJlMR7IVI
6UPXjl11nGo97CwpzmPCCRwbboaqHEGtE69acF8wCa4QC9pIwg4QyDazG+kNo8G2kvAesZtWUDVD
112jAxNMoA3SJZDLAJM5ej8btiDXmqvOlQCAj7x4lx16y7dQagRLBaCBICRlzg0+vKajlYZzE0eZ
q5ii+FIuUe8bGqbSYi1od5M8EP+y0Y2LBNzLeGoh0huy/s56ubouK1UUDJEahVbQISW6k08Sz3Pl
Dd9Z22BuEg3dMhOcF9hDATqucvRT69ND0DaPeKQc4qTHDHPyPFSY9RH1wU2lqLDVruHJ11APZT14
/SsYf4n1SZKKKgcx0wS2hlrBGG++D8XGMsWXP9hTE6AEFfqUSH6ZkzqXcZ9mGg0SM+ZACAg1Oo6r
bH41TOKA8kbWUV9iXEWJMXc8TbCgIsEJ0WQV8Cy6vIgtx0dBX9YhFk/BJ4zjp30AdLqA7Vq00NJl
sFdgrEB8/d+MMJ4RZ9lUihI8owbOqbzSQxlwN15hdetcYZAJaq4Kuvx4h8AxVi4uynVf6BVmATMo
k4MPJdMVqxV+6JBvWbgUfFvbpmiqKKOaK0oS+2LN+qpeRMBWgYaMrNgwraj5EY9/Xd62rc+/NkIP
3GpFIP3ATBc1sgS50xu5M1a/J09GkzLMDCMZw4eX4GTMnmF+R09E0AdaU9SCcrWxwFSyxxAMJzRs
LsRElkCBQxKi+PlCugqIsjEFElACw4NkdB7UdZzLe7X1QVBK0lGGlYEVYKNqt4RNIjbGZClRemPE
86EMwtYKyUh+2xC6eqgoKxjkoeouzJnMurSLBhVbJo/aTSH2j0negphDuf/d9cCMhrY5VD4oJIwx
Yyxh0AYAqVpdlB2kedrVBu78PON0yT9v27kZxsX0mAhgEICZpm5+AEjmYr7sliQ6p9/9OamBGfTz
UJQnaI2yLZZIrAci0qDcdtFLjJF6okQ/wr72tBRjLYqJZ4D6260jGFzZZJHvM8a8p6rDh6rqGe3m
CGDtMCWcA/T5tqFGCGQ4oE2qIRyce7YRQd0vyZA3BB1Se70tD9D78xppugM1GU9/bvNj6RTNj2Mk
IlifGytQO9JysGhZAOdZUwZezCVyg55Tpvp8WLEkpKB0pkGCHeawVrGYkn5B8X5CUe7GrLr8iImm
0b/s3xt1Uvg2OlMSfBwPQnbn8JjtBmFSRrxXysWmInomdDXJW39SQKstcMUeWfgSrFGDCEIUdAnW
OOYdYYRhaxaVjGoOWiPdSYLUvEVZHMHG5AJMi0ThurFDj/cG3djOM7P076+CuBwuoVCHMCs3GDgF
RQdFu1zeyw0nhAlgDoCvQYLMpgkAhw+moKijJc7fCuNn3Bk+iB6i2NxftrO5FOhUy6oGjBnujPOl
DHKhQWgYnyyIw1M/zHY48RoSm0v5MMHiYrR+XkCIAxNpO2FcAsDk+j6sAtssQufyYj6nC3AHFZQB
yIiB9Xr3z9V3ESeMb4JRbLLkufPlSbvLcs2t48ZrpdrRQZh12RxD4UcD+bk9xg+qZm6MBmrf1lyb
BTC0/RhLCjhNhsi40nJtBtG60vcnEARotxhpK1CRHpZHowdkvWxeVdI+gWYtyawkmtLn0VCq1iml
vgRrpzSK39NMKIw/+dyrHWJiW1GHBYkV7JAK3WoFLOWgIbq8Ke+32Hmyfr4p1B1WH0FOtQJELzAx
vQlvQmxJkTUVV2A5GDUH5XhQpEu2eUh2GMIwoJcYWZiLFI/1s8CBGWwUGc5/CBP0Mn3Wi5qutXUn
R3TB73qb+p2FQXE7OMpHc89rm2+HIxWHVQaEB08yJhzF6MyLUg+LSm9RUGNr149glxx2g12fuu/J
rvSaK7BT7y5v+cYdArf/MMu4YQ1kY1CBL84iQWWBagdDwottVrxk/B2R/fnLfthhnGeqhBCjq39v
qGBVHjHcqLdKnzg9kMXzfroC1g5T7xW3eLPRlMfHxBVJoJyEqMh2h9tYJco8A9FLBUynfYrOYm6n
dk6hZbc8+VAa9D4t1NCBThUpjzObqMl5vQSiYoL/zKd6dim0PUDgzsUzbC9qZYfJ1IpgmgIA/X+1
SyVgYLtXHRcmuvoepmO/XvaS7fOwssZ45zC3edW0sNY5o2u+JF+br7Er2L03QL1EbJ2GX8CkGe2n
jURBBLsoQRSIhReLalDmRva+kfFuvoqg0DJ60a64LWyu7iTPFrOZkxrizsTYF5Yn2tUPZSdQkP9d
cxs6v//AhjOulsXsZDsJGiaX6U4ab9ryNmBCUiXfOJ9r61QjI0QWALALYEXMqe6MQtRR/P3lHBoa
mn+pC4R70ZxwjBvS3GpIqZJH7iGnfyz7ydZmmUNeFMOQjCXMGlfZA+btF6CabDAl2p2bmnvJxXSh
x/12WykCXr6aoePSBpCY+XZhVgE+WuvI424MX/FQGYGmAbK45GlprMkFyMVJ/OKRB6DePIBru8yH
zIcadaUGdqnUhWxHWKiAK0r3ZUfc8ZSeN6+HtTXmi4KKKMvVFtaCK8NPEiv6KrvKrvSDB3KaPfCy
oif+X6mybx0NQGuQIIOmCDM+TK1Gm3V1nFKQAfWHxdM96DOcomuakmNb7ctuu+k+K1NMPmkaFVgz
E5zCUAndqgc0OyvcyyY2066P5aCYChdeZRiTWIM0c3wPZM7kJF8BM7lPYg9zrBEQa5I1QVUAsui7
sLUj84l3+DdfOWvzzDMe1ORDgEGb0Yr2GsrX0GmE6sW1fKP52qGzxePv9/sJoPX/+XqmyBwOxUh1
oZCovSjAkC1mNWJiDWNqXd7WreR5bYY5CymIKIs6ghlz+SJMb5kagSKl8EvjkAHCftmWdNkjMZRx
/gm1XBfyYICbgOKu2ucuhivvoifR66AIHvD8hfrDp5C22kAmpFXyf/wl2Q/77D633zQ0W6pHXodp
O5ysDDGpbyyVKQoTWNUMjtF95VE14G7eTXaJwDnvCl7zmv7wSwtjMlx1qfpUf89T8uqBVOX3sF9u
izrmJrY8Q0wAUQVhVoMAC5uGe+LLbuoGexy35a5+I72lY9DFoTGat6GXgwnqF+deksldqsQSzFZQ
5x5MsPfyhsg2L56PLyYxoSSaBEwaZ7DQiAAXQLQH1J19YLjdFP4u0B5vRYLc1dSM97kMxglr8KX2
WYy3oqy9EAlMKyrHwPZSDPryAFgUQwTnmxXMBCzECbLzRsitATykIASyxyyH2veec3p5ppjTa4Ly
qVpkhApItaC/dQ0eXwh8Gw+m/Va/zB6VFUvvedfntjN8rI/ZQCXKRbWL6CtnDryq7DDuPzichW37
+YcN5gBLzSwPEvVzjDP56bG5kY7DLoQKr+jJDjnKu/HZ5FRr/yVofNhkDnEsqBgu0bGZrTtTHV6H
AMO4B9+Gmxzq55L3Kt4O8x/mmKM8p3KfjSbMSTeorBehG1/Tmdjwm47rs7PqF9CugthDRSiOPd6B
/pe4/2GdOdFVr4OeZ4F1GooL7+MRV97wrs3tdAuI8b8PhMqcbczsaGCkh8MM3oLG+17axY+hL4BY
wRlcEc+d0NP2fJGcf8kPPuwy+UFBkjyIaBWKgmDF7+UAbWXDAYumC2o1EfzR3PfI5sscwIJ/lsqk
CGE74kRSH6oUmxzA8GLnxBbuwp/qF5SW55fAEi3QiifQF+VK4W2eSxk1Nx39UoziMsstBzNPwbKC
HHq8C5NXE+wGl08lzwCzOBMk1ZEW4UUigONblgQ7DXn6qNTtPl2kqzUwsXMSDMHMBpgYPJrPDbvR
E/z/4sG/GV9WduhSV5mrOJlCpdM3HQZDMRfe2nFqZTeGo1oIMNZjDmZgflayGa1XRpnAmVVTm6O7
hsvbtBrUyKO3GPOIpq2AJt6F6rA7H9vXdsdTA96sN5CVXSaYLkMd5kUOuw3qDTpYdN3cj+3eGU/J
LrEaO7N5j9fN2LayyITSAdOhIbjPcAxqTA0oZvhWZi0KjDnxhXbYaRU3ePN8k4mmnU5CVaIfVDzI
NrEhwXUNvrHWm1z6PAcBS4O78eXyedi+MVbLZIJoUUkCGOxgVPUn4MCAITLtHNO+oT1dxVwJz89D
tzRz+TDH5kiYijQB5KYHHPHMFK8L2VFOyy61K1dMTkF6mvwYmqmyPz4FnRVyn5TvBi6czvdLZXVq
wMoZ1jWNMNF+cAQLlZ1rxTcPucebKN0O3aulMqEGTNZQZEmws0J7CHwUODF8eUdOZWyNp+5bDYI9
/uo4x5NtWoDau1kU6kK1m+3BYl/etXZpY2zCmt/Et+hadkDKzRtp/Rcfeh9bxOgaGpfnkaiT27EE
RyLNOsJdBInP0AWp4r2MOY1WtLj3/vY5+cccq1U3CW0nCnSRtPZYfNWP2fvjCJrJhi06tDfY8caS
ZZ5N5mKSqkBIqhg2B0/x2ttpRxMssYX/UKXo0euelL/oKaUeK/v9zrjp981VxOmHbKc86FBiHpXu
NCuonDbDNILoZLSyfbhr7icLPdFDv08O5p5bmqD++fmkfNhi7jHwfBdjSW2NNvjQUM/KvNxvdjro
B9IbXvVs+zL7MMZcZt0MEsmKVgoDcqxBXhm3X5P4x+VYt304MBIGmhywHlO64/WFKQlDppQzzVYj
xTEUB+T4ku5WKW9cZcsOio8quuwy6FrYJEaom1ZQwTEP/rUWIlq36ON4wQBopHB3eUFbTgmuG0iX
AegOmA5z7no16aANhT5Goe+UfHEalddu3cx7VybY2bYwmdQ4ntPp/ay9iyEblixYC0jXjoDNYfgG
oXRIgDSwoMDyPy1PY85ckA0aaJFhu2grH9hlJ+r/pHYEjTAMV6DDRnkOGL9rTEicgI+UviHi3YDA
hYxwr3rgzeMn1hsHCrZwbjGMLyqERQZpPeQCqn6hhzfeQTI8QfUdDyQJo66jANlS8+Hy/m3VNs8M
0h+0uuuWItFrRZ/pPFHv0hMM2Z341gCPMp5nr+Cz9+SdoVtC56Sym3MfTRvnQJYwLy1SwhkNvPbn
5mM1MRLAyrDeIXzTjMCdhTs96Ki6Gy8ubpsyCWZbgXAAQPbcVJmQqm8UgCiGoXYaUb8zC4zzQizV
EpV0X8jAhIMgsZGyr0asgWU3ecjS7KVNMVIIZG0PaS7wcP+8vP0bpxOT1ZgcB4W5BAQlkypHfSA1
dU95B+fJG8fgW1DVb5dNbOUYgFuAN+UdpgdMzvm6p6gWhT6GS72/908SOg66iNsefWlXPoqB/QdT
cUjfFDBRSRDakBHjzi0uYLhUBqP9NUC8nAIA7H3D0W7jB1B1nsDR7k+8B9VW8g+buO10g7L8sJME
CdibY32GzdEu9s2++xIjv6jcfA89BJfs+G/gzU+3MsgcnF6LlrxaYJBydevjo4w5jctfbuO+kyWQ
u4JwB7EbsMfzbZTMWoEgSoMPN3xPR/25KSunCabdZSsbT1HKpANLBCxC+Ne5lRoM1DialNMHEQeS
NrsUJGXykQeO33bDlR3mZo3ksidRSCDeegWCVtAGQR3QbtzFVuwc6RivL7R52lfmmHuPxF1WJQSq
Jr0mOsOILn6ROov8EvEu2K3nynoDDabsA1Y5M18qWBpeUH5xe/QTI/AWpD6lmCIPo6ccZke2Wtnl
N6E3XeRjlex1YaapsMwTbFd1eTOYbW0RaGFawaDE9mU32Urgz5bJ+LvR1r1cow2GRyAWKFmRZ/yo
XJDFgxLCMh2Te6KpezO55ZlBxv3FJczVsMbaWlfCjrY+7sIvxJlsHS8xqPDxPGbzQK/2kv791U2Y
SFnQRVDHAmYRilgyBth584a8r8XERVHMIl3vsaKkam8y6Cu2ifwjM2WP86nokb20c/RsrFYCTkXA
cTvY0UKnxxsk3mUOGs2Arwz4YGMPsCKKve74+ifPrrNvxgSTSKmDHLQZNAqL9uJIVnZvoK0uehbZ
gY+Mc6VvQb/OzDExZRoqQ4ISIDUHidWT7AO0iBqvfp1iQLWzwMwHSGZjY6byUDrjTtrXnOr2ts/g
hoOmMCatVOaLTooE8g5EFyudwPElleSubpqHy5/zM88X0kHopICBDBBXUCYxq1T6OgCNMzZ1uUHk
tHMQGrvDDpJ50nECTgI8IafK0uzk0B+Vn82VZov/Tdlg26k+fgUTUMVRX6oAa8VxDPz8EB7Hb71q
Vbvch5qFl3+dT9NT6cy7OeK583Yg+McySx+gQzGKJDQQRPvF07zWz+1ZQwIDsold6oEhWePs+PY5
/TDIJKX9LEIJjUbVRSxA9vvD6GIf7ESXP+u/XIgfVpiACmLlKMgXWGkw6GT116jl2aC08xcbIfUa
fOUOxyD9Az+HhQ+DTEBt1XgUpvLvLwh97kMmgWMHknFu4+sdFyy96TAY60RaAWIOzKCcRyGjBOND
MStAZpTidQYx4baUb/qg0Byod3qpUPqc9fEMMocRUiJxGQkwKEPsB9Xu6AWs6P0tQOEu0Li3ykFy
u1slRJuJNzhLl/JpZyHQgRFTcOSDLOl8qX0eQ2WJ4rMh+4V5EckqC970vbRpg3K7gvWJmKBiOLdR
LdCXBfXUr/u3qBHQu2f69SDD+RMUk3Q6l9e724yv4GPA3Cww/IbEPh1SJVHiQMHTYfCkN3CRHEFS
fYh3FCsVnpZj4Mw3qepAuQ+9CyO3km9cuosNKIW8/gVM7FMnQ5saDc9T1e/2+aHEHab40S6/4ean
W/u7tsTENylvVb1M3p9J334RhGKRlnbdOpQgNPvJSzc2P+iHQZlFFZG5naHajKXR/AbqPwVKZ/RV
1mL8eg/UmzM/c0PAVihFzwyj86ht4S9MzEmEMRnE8d3m5GB6AaX8HE8z0IAfBj++513Qm0kjjEEC
EaOquCCZgwERR3RkBHo/Zlb1IDm1HX+bQgCmKCnxAJWiPScG0FPAnkQZaF2wlNI5b/ZBnQyCni90
8rnxtHvjFur1dm1HHnhee6tqsLsUVxs609fLdjedZ2WWOZxqpKoDhLtRUy/kdp++64xhIokzAbXB
f0BL56A1RLFANQ22hJFkBBLWIShLOmdwyjuQXpY2qa3QRZKFzK6VUCRy/oubY8tt1naZU2gIfdcU
HeyOi9Z6stlA7GuJiB+pYggB8CjHnEEYfKlLaKUm0LVwUHDoequA0tGuL5vCNknLExzc3gwdYQl1
WpTm2IBYRJCqlqJoxIOyfgp341UPVv77CVgUTPVr9vRT/zm/6j8uf+it1EBZGaV30Cq1VsySNOYM
o3L4IEipUwKuOkBM67KVLXdaW2H2W0t7IQ1LWFGFCkG201vIghfh3Z9YUVGgAbMteCuZfEAJBs0o
+xAJyFQcDYgzguU24y1lM81RDEgRoaQOsUD2DlE6MZrDNkca8F14C0MwPoducxzswoJ+8/BfsPZt
hYC1QWbzSqODNjxkU1FyBr7F/Da0T12WOkPF2b5NVwCTPSVykUCbzWxf1iepUUfJaOmhr5MFXIwP
uqT9iSeAtOKdxQFvACaASu0oLTmlNU+rCCLxwqkl5f1lN9hex4cJ+dylWw0MOIQ6myAYjjA2O2nS
BYiBKDJnLZsfZrUWZsPysSMtggUMyaEld9O+ng4Z6gZZ0HOeZdtOtzJFD9jqmCLLrBQywBTtNhYO
mATvDDC2zF6/jw7aHvKFl/dwa2mqgulk1LDxL4NJPfsmFxJVn/Di7hUnVUUni4OT3r/WuHMuW9r6
WoCtoxOBOxwjdEy1ae4HbdACpClkzK2qAuNYWnpBTbzLZrYQPugZoTkloi4PNgvG8aBiVoZNqiE4
vORPGUiyILMHnM9t7BJnfKsbhxLRPJlPqRd6vLxzM22gb14MehPKb8HkYoQoSy9NGEYMr9W/KPNN
jPap0OCRS7unmsNZK40IbNKwMsdO+S6Qa6Hk3wi3tykoGF7IAU1/p8YcDnG6g3Cb3aUP2V3mFv6f
1A/WlpldHtQ47MoEC1Wr0Fqa1CoTTs6wdZWsLTCnu4LwnGbUsJDL+R40xVfTMHPKMDwTzLmeoyKD
QjtMKEVt1RD4k3jHmW7DpQ/EHOcwJDlCOLWAJtXsQpjwoH6hmGpoLnBekVvna71fzEmu+y6uEhO+
EM71jkztLgbgZFD1/3VJNKKsIlQWNH060SU1GClQMWfzi7bf8KJbbta/9TBer4lJWqj4ezXVeBjT
Mtks7qTAqjq06gNHB44n+T47yY60fnfdXfEm23i+wVzGmV63ZkTHfaOW2Er7JA3lHwTE9eKYWFHH
cVVA3QxFVeBYA1WxSyyIx2C55RUAA2CghXKDfGrX45VWzFGL+E5axSqgP6rGoh2kPPqbTTNgbFCQ
VoCRlm1iGVoKLVCC59I01ldFUvuKUL+UoexyAt7WdUU5gsBUjrH5Twy/ZRpP7WKi7aj6zd70tGNf
W4ZToRlTAFk/+fMRjAr8nszm8lZmGWcgU5Sb6LfiGCv1vlB1hwiDG6Y8IO5m2WK9PMYlmrxSU1F4
X15+De3WNLdycEcPO92lDSfxVFyHKAqPu9Tpv5Ajf75sy+sBFTDBBY6SjMaWhSPMRS1ljh8ACY1H
olT3slZxLujtvTQVQ6EELp9Gz7sc4NghR5wStMzTtOR66IZ92Ek8tDgN3mzoBf37P3aY0FsMUO6V
6V7S7vH4rYP6Igr6vSN7xrFBsYs7m8dbGP37q8AoBgCsThMWpikhGMeRXxBwnCJkcc7A9jf6WBgT
gOem6ZRYphu4C26jrxWm1CLoNI1fURC1IaMXHfLnyybfiQcu7SUTh1UprwZ1hMnByx7i+8CuHCQ4
h+k0nWjxp3L1xCZ7MEG+tc4EhjrdLuGqjV2BUgJfIEEDUb27/Js2M+X192XO5NDnlZTT7UaFJv2O
ZNkj+3gfgbkDpRL1OO7+loT9V8EmrkXmdKZ9l9aoiyHIvcgH2ghujosP/k2MPCcuyhc+Z4U0w7mw
62z7QIj1RVRr2BvtyYF+oK11FiWXFz1QRkIpcc+xx3EsNnOWCYiqJHoytRs0Su76OxSg4FidmweW
4lIlLt4Fzzky70JdqyNTaEWqiAUsduHrIiOJzA0M1XEbsryNZPK82siBjqJmoMLuBgftGHnoKILd
oLvjQ9fpWbj01Zi408vm/yPtu3YsVbJtvwgJD/GKZ3mXK80LSleBDQIIIODrz1h9pHurs0u7pNMP
20k7K5Iw04w55xhZrTy6dYjoqthqWOkVEG+1IS8TNP9KsvSv//LgflieJWPDzB4XU4+zfQa8ebwM
MUW+s27Ee8O96u/jKX+Ct397fT8xLEj/irmZsKS6GaClBGaDXZtOZ+Wvk21/7PP6faUftmeSMOQj
x0pK8igiVtuJeY30yyN7WPTCJ7F1Rw6CeWD4/T0kMf95c//4KBxwR6OAAfahn40KLiRYlDKHEaOU
eLSEktLfmXX/6Kp+W+Nxf397BqupmjppscbjfvITQuqw2aNAmc6p+cHi/0vzK3SX//83/XgPWt0Q
o32spx2NT6hzxnmURWBXAd9A+HcQ9o+P/LfVfjyIqVFlr85YzcRIj5xP6KUOVvNvEeifUuHfv+nH
GwC5ZdVZC6pMRqHGS3PqNeG1bjqV1GNs8OyG/JcX44cb5qwcRwZJSK/uuQcRc880kn++en8Mdn/b
uB83v6NUtwTFClLHTIjOPBTqgqzKE6r+jbj3b0v9cKbmALC1ecR96/w8gm5UI8+WEpt65//zJ/0R
+4aCHihzwToEQcIfPlRXIZ6p6qg3TJHYCagPou1ISyR4X9wj+TUduiMEF//iSP98Af/fmj/bfIll
irI3kQOxrjE9s5X9jReO6zHX+Fs55Y8A0G/f97Otl/FSkaOB7+sjiWb6KsSIab8dH5Oe0fzxf5j0
RAeqA8YQdMwjI/qBwmQlG9GEybEaemztkXut/vSXA/uTbUKlAi0iINeCAuGPA1urxq1aq8frRXER
zCtHVfE06jUvAAihmh7NiTv/LXT/A2oCMRkVueT/Sp7+eMvjrDSra6IW9tBx0X3NG54erfkQJnj6
WwH8DweG7bOgFuMiBtDxt3+3vUpe6UPbg5IKg6xnJ1q3kEbbzWgOe4xa/K10+p/OBItB1glFC7Qs
kp+zJI7bz0OjYzGhlHuqIMpy/qaw9Z+X/bEE3BUaGHSkcT++x9bX0iQTuhXBuJLxN8a3tdn9xfT9
cQ1QZj70eO1HQfbf96yV3Br7AedTCeeQ9V0Ihl3IuEMj9Z8v33/adHzLb+v88BySzLw0V6zDVi0w
5yIES2zkruBPPFbaDhLS/7zcn+/Cb+v92LtiluMiH98FMacNj7KUYrr40cGehzT4G1XA4+H8e5z4
7x/3w390w9zRrMdiJaZdINEO6iTwsv+VOumPV+5B66ziMmj/gcxMY6lUUEQDDk6L+6SpX0qmPf3z
vv15Cdd6yEBBCe0n+YAxI3u3F5TjsuErd7nfVi//1QI/Swfg5s/t1cECTLcCBVEEZ5//vMIfb7QL
blZIuYGe2vxxGEqhc3XIsIIpCn/Nor6HEmXJ/3KfIU34H3Ez2HnB0wuap/9F5H74dGedZJNxRrx5
bB3zxZ6lylxor3HhfLDKEtpWyaBalixSt8X7nDtDv19Xpo/vaqVK+qFZEoo03uIKZT0JPjHUFqhg
WZBDHP5Bp+FUSbZ0UBTQ187yTL1QpgSU15bt9ROUEeORjNN7P6iLFkyTy17ZPIudKkV36lGv26Nh
UH4NBRj4PMGVYfQxKmoEpV5BRK8ETbnjKSA06Pf9OLjZGyWlFhiiNy+8bXDH9Hke8wQUqGpqC6nL
Lc+qge9ds6mr0FJVur6q0DY82bTNmldez2YeL7Sc1RS1cjRVDKZIFlJUZ1t7HEZvGeMUV2suAeo5
TS8Kr6BmUfrEKTALJzWrDbKMrJtMgYSppGsHL9iUY3eVkI4KpTFwDxIPEHcm+nhupnnEEkRJKsNQ
tuYw5a9N61Qg3uH23rHG9mBPFnvDMM5k+YJbhddjAuIVfSDNbgW/d0wHMb0OrawvRLGNSKJB5GTm
DlTOpFUlJl02PclOFdWFry0Mc+zKpIXWrBDfsprTyrjlz4ymSqN8NmOT0JZqG201DJ92TRl2WX3T
+vLU5fzVFQvxVoX2h6xuDlK1DvXQb7XGnPyiXqgHosRzBdtuZmjetzqayinfqXZ16dRp2PYGL0LO
QVJP1LUIe33QtuNkEx8hmba1M0fdgUzRjqzG0BOLiMqDw2qjietQpjPqj2yaeCArrvuTS5GRo7y7
tzOX3vLOQblYleli5Zjhtej7WrCLO9EpUGcV/nlkg2+ytfTHaim8eqijia520KjOGK252gBARYZW
m1rvm1Ne7MCLS3yKv1bivpm9y6Oq5TH0hwHqrtCLyyWHUMWiVScQkYcFq5wj6M3fC1rC6fA681Y5
H3WxfJpaTm7VNMo9cabi1JomWD1Y8a2pM/cdY3rVa/3C3GXXrnbrdxPxa4m62CTQDy7yYOHWtqur
JrRQufQds/9GRVsPBKmjYi3TcdEvtHVfRwYul84wLFD36mQ/ULMMao3bHpXQzVVGfWfNcyhWnNJi
Xqmmew7UCwZxGGiUr/kzFB0xXjbNycQUfzF2+dJdjFmNlM5Icgi/ljOPpGhjdUIbcIYn6K4JByMn
mlKO7rAE43KtVXRdEX7gRhFwUgS6AZSm+wQjZpjVXdg5UQXt5twAeYPVfJJcvlSs2NHJ+FKaOnIG
uu3K+eQMUvWRlyUMG8VVCyQa/YTPmNChWneVJ+ai9cCE9dJ1ZKfL7N6y6rAaddLq+dai9omM5m3I
is28rkd7rb9KfYkUyW9jkR2o7VxHsOfmLqqsXeVLWwln6hzVzA60eghEt+y6etjWU/OtVoglu0Ml
ooL7cvkeyX2qNU83PcDfK/Gaj8o9r8yHVHFfR+7iNciOjRfaRWXx6jbgcBn99cTdk/6hnSQ44jNI
CUTGp5Y/WXmwkrf+Q1thFoPGhuYgg5rcS34zL6BeRIzO3gd6N7UVFv9iQPBNzYN5OVE9IE1AjIji
ejUemnM0Z189ZcfOfMjtPY/MKxDuuG6iVJuFBhPIrIDGX7U7rJA31TUkAO5GnrbiNqJX1FCgc2Aj
tW5WTynQP6Ao3rzgjEhdPqGRds8U9g6RjwD2GhPF4qJL/gwSK1+ZroMoockQSjU7t+DXdxbmzYNz
VqbCy7vpyMApCWmjkOaar5pgk+SB8m4wtKmZoJSOa/QLPBuA1AYSFjyaX9h00dotKjR56dMt+pxq
ZaP155oelhztwkjO9yvx26LxiBuOg18r4OCBvtAdDGUwiUMJkRrNCQwsaXf7qQZPQTZHI5muWv+S
ZygE5/keHBcBK9+ZM8RK/mLqmMaznhWn8mAEkMEOH7Wz19dbbnW+qh71oo8VEMiXXteEWZGwKUFF
bGlTwwmH0jfBBQU73Bpd6BYSVQl/bnW/NzLPcVrIDsZT9mR3n7jh6vhV0deWKB7cXsELiIw95ysJ
luw6Wmiq0tYAesQOSBVnWCK0vKsXo9usdooD1bam8EkdDGPsWBFrnlfMt9pjLKxI6C0a8r+bKcmt
mMN8VLEhrjMmlIHDqrduTTt+yIF8yyC3EkZu2gT7Vu2LObGecxZZdR30Q5FqFUxiKBiDtHRQIXJ2
v/tirw4JHX30mmGaHj3bsQbCV/4yVkG3DL5ETqc7oSY/SO6T5rlF8ZMcuile0QqYHXAN62+r2s2W
1/AQm18IX5QnzLTYBbr6t/W8Y/YmY155UdHkCo36JiZOgLSNs3Suwh7J94JxM0N4pPdH4i3ZW64G
ebYF1YYiksbYtE4w9xc99/l1dkLRx2SSXnYY5piO1xpQVRstH7kS9uSU0aDDmHYeZ46nzZu18ti+
LyHBqfoND6rXXNuUFw6GGfifvavFZR09uvL0iG5zVEkgzSn2E1yekwAvLRU/n6KxijvUfXPfrXY2
GBWoL26q2FlVRJBNkwOjh04NjdbD5Z30Q6aGGjSFx8AchZ/hUeuK747X5RlTd17ThLLdN+Cgpoem
3Jt5qvSwQ0GROf5gJqMSWPNRDlUwTBtBERLYIUX616A1GHA0r+6dlSzYeX7oxKav0Z0NUyH8QVzR
oCXm8+zcFj0tRQyxtA5TYW7atiCcyOOO595KjgoiAnXb1nvaxIp7zMihkE+k3zdG3FuphWuR1y8Z
fRq1qMxhhgMd+uNqSsoxAFoGcbTS1mOmeWw6uF3jUZjHfWm/TFaEzcmcryEPmQWG90AH5CxPBm5b
nqz1SzGo/qh8FQjKyi8JkEUJ0Z/ia/WbXqXFL3rV5S9ieHT1IRzq1vex20JMdLF9vYzFGEEMi9/y
PJyGBTfkGbRsiuXjOa/Xx7a726FIWvSlE9wvmtj5qfoe2lABoxa/siKayrh/svFfyNxwP8tia5Rh
4aIXc5fZb2sVa8VGp4fqBvmFAWQONHGnZz4i4Z8D5zsXR+aGmuk1yrnv35cidHIf/yfjgTUdAKsI
OJ9nDK4oIJ3I3FSzvWrJ0dOWyOm2UCMYWJpbV6e71GsMGSPos1aFr7E3tmxLY9dbn/hwMacukGNW
B4RmyTReFrsJTCvUYTQHf5xK9JalxpSgPO85S9xhzrjb6lD008dYaQ86XjLErA2CCzpgbvwo818S
MTb0c+TzOJvRtCYOhl+gKmraupcZuW9l2II4yw9LBbVA8EiZNBC2x8QdLaoebw7z0PmG8+w6F+7C
wu0hRoawzGEhhVcy4MkU9zoXOzdL0R3jFU5SskDXZLj0cYMuVqtmCQLQwKG/ZHGtlWuvFqHRYV8Q
zvK9WqXg63ffV/Irr4bAISy0e4CLtQ+zSem5agwILl1gVDIw3+QF5vN2fRnn4NZwDmzy8S9Nu3HZ
thgjKj5r8dkV8VSmZb+1lFCdD4YW4yBVA3nMqz3uZxCgoPTqqoHFTw15N9yglceyQdwkpefK4+K4
CA/jeiRh7TK/KJsTMYagwCBUMVyZ2wXuUidDeSvHOnbr79n4ajv8kmpNI6Z8dOqtbO/a/LHyIsnX
BSYWh0GUg6pZJzFDz3wqL+gg8i3W2Z40UGQy+LjPVBp2qrbla5OYmeYZ8pdRwu2tVgAGvbDTtDdh
yKhYjHDq4Ahr7rEas8caco95uVrGbVg2GlWjrv1g8Ar2ZYYF79eAK0ddHiwrqsYrBYOWjsiq3pR9
mBfHaQ1JdcLl0MeQLIe8xQkeFtDuSLFhJBFN2NupraYzaaJFvFZrqKIVHOfGSoIgMs1kxPuwtcrA
dHIoTRqeWT0RzIwM46bBazJfzFJJcj1cpgphXFQZeugqdliQqGmOVhdDvbfEU7f059I45rADKh0D
QKM43o2CsorBoUGALnfaZD6SESULx/nsIlGj76b5pmW3IrNwEzVv6q+P8ANN3Av0eVT05DSV5jet
4vWgZ30UZIdvR+0g8oy4woj6MWrFTqqB7NEHhfQzX7HVGBmAm2Xrjjnbagr5eiTdtS57tL8mvQqe
Efmmmb5YW7+snqc+JDqa6URaGX7JzqK49TLEyL+NbMD0XfnVyrg1/bEN5+quiilWtV2HX6FeadDy
Iym3HSyl2AqIMub9XkFpTLsz6ddtH7TYyhHjX8xBrVV/GFF3J90Cd6iMeleNKuEmGPfH2+0wILMj
Ilo4OjOWjVxfC/OgShUzl76hBDWtUcNM8JWIkwO18um606vbqkWGGtXwhogNi+CR8Ukl1do9tTek
C7hW7suW+vUjGN1O2WUSbyoWUcoxIev7AC/SfMoptVfpZ2sfdBx72Xou0h8GcQ/eZrdcWaAPPwdK
Nx2k026I3fl6iz+LegooESQs9+SqSP2uIITwepufV9A1eCtaMQKiHhWN+O7iXHXRei2FLXDDpvge
1hj6Owi0wwJVlBGUYu/UeZZ0N40nZ/mchqttBV3xUtlWOKmHtt06w4aQ48xONX8rOhlkxLeV3ej6
zE1chXvKFMP14nkz+7tZawysYtyyChu+63LqPbRrfg3k1hffsr0sYmvoL8q8N9m+snYdojfzw8Zi
acE8cc/tgDJ/hkiCewXmoZXXdoBgWTCCgtXplA1dhngsmjMZlFgHfb7Rog56MsZ3AThUZIU3DXM4
5Z9zDWGhsGteSJYoSJOds4uEPrMZbomFGOKltPwO7pr46kXL7qUM1ZNKN6QN+X3MPYvtRoKpRgsh
h48fRmBRR6uMqG+taTV6CjQLzvp076etMz56Uflrk4Nb+EFLcW3sdH1F9CLyxDw0hwoRaIUYN4Xn
HxrQjNXIr9Di1oJaejfrm1kPpBU51pbUMe48NZ7wC9RLgLAqt0+IoTpr0wC4GdSbXoGIvYJL6l+0
GYmWZ4LY/7uufEd+OGD2b71ufEQYF/tiA4MQCdEC+ksFGyU4Fprd8GHZfrcVBpw99Okl7qsL4dTK
V7/h4uvIfH3QL9nbCUPx83EtI/kocegbMCNaVphVgapv7O5EnuEOVSR39/wTXXQCBpb7gKpe2/us
xi4KCBaonME/Zt0JnlAGawKtba+yQuN5hKOSPtru69TJIvK5FsEMlzCn3I3UtHhdY5J5xEwVPXFU
r3dHr4eEFziwkct4+XJjMuHJgwIPWXrMcAO3eZv0MlZEzG96Ax5yxJmOh+/NkVRc548Z80Tgecku
en+1l4vxUo7o4h2qlxJExeAHMv2+CKxtM2IyGRslvpcmMudDV0TqpXACXPIFGcrYhM5n/YVyNVQo
j+h2ptlhRUCOKM5J0CVj0Rg5oB26CNmz3bJtMWyibQ3NK/RNqURNGyjFvdS3E6eBU/jOyX0qjuro
kSYVqi+NpCs9eoJ8mDv6zZioaSaOzkcRlzJw8BReusLTd7z15zKCCX5Spd8/K0XStMf21bK8+asS
IJvGj+sBbAMENOrOk9/auTlxiMiP3lClPYCbdmfukXeZsYV+s2id7k675a5v0g0L2trrj6sb2be1
CZrhXH026KYAZqDHinwsvAqIw2N+eQUH2R54qlMF3Dm1YluRm6O+5CDBzYAuRmv53Sp+afvA5awW
OcUzl+cuHT/FoSHncfLn50xFXhoWlRkaCN5Rfc/3k+ErOyExvGegwQge932p/Lz1GYbrQKr2zOHT
JoxTG78GFAv672rf7ib6rybsRx+9BaPsBpodalt3Z23Gr2KfA+dat7UWKlrsmIkcfNU49i+4n9N3
q/nzDPo0dZNVaUZKf84OeR6X64Hbl2I9Gt1tcQNiXfSs9LuNgxy4CeEhXRkPMgGBiKZFRfHaE8hN
3GbUzszxgiRGZFDvXKE5H1IDPwSvOsZ1jckStnHEVbWvTimjdgBxMHtZ0GvrKheu+Sb3UI3BqX32
LajtMxHS4pSZn7lzqwpPvI8iNdR0XRC6P1l0L8FJrZ3yNdQJLG/QoQGUY/yJ+hnlGLnaLjQFKuf6
0nkVPYjcoB6GBAE58q6HiVj8GqlTYCK090aY6pP6y0TjF/NddFmd3M7TBn96mXaAavRfEyzhZRn9
+VTM51H6AA+EjKGYOW8I8ugIWSm6/rM8wGm7GuSXk7pAbpjMGHfFFSi7IL8a+AWWSL1TDnzuKLfg
BgTD1A6/EeJ2fYTgS9Qi60L5cctu7JgpaQv7Y7Ldusm3vArnR0vUVPvDh9xrwM5w0NBS7313SpsX
YBrac3ZrdA+aizxVnLi/NQv8m+dsO+VXfu9tCOXFNnz0cjBP4CTlSaUHinZGgjhEq35Xmy0y4fo0
g5fsCa9rDfmxwNXJtG2/Y8Z1fVn2bvXp0N3chu20A9gEKT4dqh/FxVr8pjiAWqorcQhd3IIwT8KY
hx2LF21j2Ltsn7/grHvNQ0r/CKowlS/NlCMrJIgpwA0DU0bCpoI6TzqUsQX5kJP9Vroh4naGVH4O
ETFndpJf8xnE6oUdyzdgFyv3+wMkxxaeoMcd6KMl4p6f5/FXbgXsnOle7YLOTg/w0DNyMzNEcEAP
4vZzzf0MHhXZPZTkPmX2BVymHt4wE7dAkw+2GPv0ShNouddKPD8LnPV8EBYEi5IKfmBWthNiLji9
vtra6qeqwusgXA4qa/X6G4oenXGYABJMpxUcc2soiyBXggXwBJiftXD4kjAMPEWyqJUI9ICxfzk6
YDt7o26QxrLP+WOAR2XxdGYSRScj6X1Re+J7hlY598b+cWvXYzOeULx2zxJfaQOjsaH9YvmgVgFc
OAZOc2+OyhfD3r9WOYIRtuVkr9o3pwbawI/zlHYx60PtwzgIqF7DOUKpRtciFNME3fKjvSMIXJDx
X3DeNlomunQNDDdmSEGPJKiGGDWJQUOgvBFpzYPsXivgomJakrkRfjGzTBQzRA5ku3ijoeWE0+sj
JCRPxg7erXlfUTNQvWwNLAmw1lsuahY2yqlU9sABEMIZQ6SxrcNORePXm3xvdC+O+672kdnimCiu
3wA4zK9KzOk+j8D3h9Q+smtWJ/pTbcUUpLfVNYPQ7geIQIHB6U1gwxnTJhkQJXAFRm0psbE+4ioC
7J7AzdBC89vsAMPHZyBwnlCdYDFeF2PTWK8qMkrUzte7sdSbJu+SZX1TF4hM4bBUJQC9VWStSMZZ
F6LSAjwTKF9xUepvsMB4o9rGKwUwZBZ+ZvdgDYLA6DACjQ3t9SEaK6Nl0cOMODjgxCw2bHpXpHt0
7TKd0QVWt+XJVZaNsSiBoUC7WLO81tF3bvdSrHcJODcDpiO09WlsPhwT8LkJTlB6sYvcI/DymDbw
sqWNJ3c66/xFlLq/EP2G0gUQu/qyuh8LRI//pU+FgUN0gPvG2vtSfdOmFFldg9Ew454Zp1Y+s2KT
d9eqiGtyG1v8g74q/KSum8rZIfcKtAnMaOWZ0ogqi89m+JudwlpIXJlejxgBEy9Nfyr5XrMVYIFX
kr1a5XkZEnc46vVhppdlCcl4cCFlNNTgwezoflCa0ERzM2evBruO6gfD3LsB6YVs46rPGQLbvjtZ
g+mJRvfb+Y1n3V6KZ4kIdq5YoCrM1/BwpmoODeXNEUdRp9JJdNd9ntQy6nDRtY54lQZk7qJhdFCf
t2R5ZsRKnPEqCDKdPOBWWpq4rr8qnIl2rNkTA1GwkdJp2rSw+aKpAydDYAJvakp09Knw7NjY4lU6
nx2nzy4sTWa8kho5n8oSqPH4dQ+C2EYmFN6AmlBUaljIkfOsjpuaRCR55XoZYmWB/R3AlMlyFPH1
GyXOrUao1RlZZNYHpT+O5lb2L2NxmxcZMvWQZRYY7V9aMEq0g3hyljKUqAmVFZKjpvTVcV8S9KUi
w1kwQFEsT3WL/lh56Vk023rExjo1J8iNT4BGQMjGm+lYwrlAfjeiMNmFuURF9kqsemNpSFcGEKUj
FwLLMB4uAIOphMGn4rVHdxcEjjZkZoBpkGzURrPhgIMFaONNuEdVMX2Qw3msAPVm0R6q6mnRvqyl
uUDjI6i6bdPu1vqXmy94WJXHkcnalpJaihJpNY97au51PuCi4GP6u17uR1iZOtOiwWmj2nA8s243
qzbvXPuc2/jDMTwkyuZRUInsZfaNMdFnHmBQNrBsSNku76aBZ4qq1wKwkVSgKgN2UqnbfES+1CjX
QfkFdLR6hMt0iUz1l9EMXls1kZFVyaIVW7tcUjbC6C9AnIBrDCV+mbZItHz0NdR4l+qjqWu/dhxf
gP1iwvSe1Hf1KErfqI9AdigSyqKb3kQ2oB4q07XcFBzC6MCyinEqQovQCAK/Ye6MvlyBlds4i1ZB
JphhGBWjcpynrYvB+k7t4dmaHXuAtS1KH0qe4wrflmlMZrTezRQ9XDqJJZI+PYPwJJr9OIn4BNfH
3opiu1RQVbSpZ87QresuuntnHQq/4m7lTTxyO3FmlLSMl9keDnOF1m3yGMJW2hBlrKU9G+NOs5Km
uLTIdXD+nbkldF8siUKPJemDoR52DKmjNogQh5cZll8DhpyaPFGruyiMpHHa93bQNjYSDlni6nbV
p7oUu16KUHfKV3Ucw2HQTvVonGd9ONhCvY7ECYmzL0o9KEoDfa3Q1zUrwBD6ioiv0eqdLOzNVLaB
JcSYiFF8inzgvtbWv3AKF0u0yMdU865qc6o3KElZFPqOCo0GoQAMhmUa1IveqJeByL3BIfLRlih3
YGhgmYPR+SUcfpuq3MeYxEEImKCSu17j7Hi+btQCQ92jMfvjYgUWCg8ITVtIFZatHlNaIuRArYtp
X5zpUd2VvgJwZULXg0TRL7dAKN9YWws+YNFepmE4dPYAVKkOOROBQVEhgZywu0ivmpBTFahXdajg
rHCzYx1WM6xx1icurbcET8nlg987NMwZyNCMuJO3GWG/g9rgah61CQQ7CGX5gh+0DhrbtTqHLsYc
lhCKn1jnW8rqQf/Za+ZXMZyBGkqz8jMAqygkoFjb6dFaPav0nGdB0wQTRDWKBLW7fNnW5K1bAaz5
GkBIFKim+kk3IsKCsfcd9MStiNPCGoBk4xtWXJR7XUmdLs2HG6PYxEjAdQxpqQazllK5X8GZQ5Fu
IMlwnwfjrDRn1g5+NR8RD7lgR7FQXFQTrpdetb5hhBa0p+/E/szdu/nIuc0z7d9nGXeI+4fSgiNH
Lg8uI+Pg9JvOeLVt6RfAePkvfRCBTs/uEtvsiSCIX7sa074B0DIDmR67zUCKcx2OnQOVD1y6sZW3
yf0AQMjkTl+PM1DM5VlhqYvKYol2n1F6Vr8VINAW2xxn2SJHVepjZb8RRO71m0X2sx5bY2iSwbfB
mKV+ZctOI78GlGpMtP9W2tvqHHP2IgHFGchN7qv2pXefqAcKLkLX9fWKhhkIcChDwRKZfm5tWxUv
qX03+iNKoE7xNordYGwzFiFN4eUXR53Mye42qRMNUBEHGr+ayJ2B9NUwr/vcSIT20SKykMO1Kn3X
RLLRBw5EYZAe6+65RC2kd+4UkVGh7gW627vINF4VF6U8YM2GEkpN3/YFglkQW+dQij33SNdB6Wu4
9wm3vK0AGsqb6aJkQgialkJMcIdLe8ENcVHXsxjEG/oR9UFE2C6QOycq0SRE+xwpQ+EL1OryZQpR
67+PZhMMDiB/WXnUwVQlgvJGNQIFpywFCiXY9QXb4nb1vtHsgCF2FbaVcrAydYV6yqevCW7LghK8
gjJ8znmoZa3XlIMHDghjOi3TFu0dnlP/GvXr6p6LNe66LdhCQtfZUSd1yalxz/1ystEItJa7SkGF
ESgaeQRxT2TcNDC3mcOTlv0PaWe2XDeSZNtfKct3VGMITGZd9XCAM/NwJiXqBUZJFOZ5xj/dr7g/
dheUdTsp6BhPV/dLmsmUojOAQIT73tu3m05giOuh9m+UvvWdrreuogTpvNR96ZRy4xfSo1liHkep
GMbVF0OGzwTvENZdnWOlL8YtrhxXmSy2BXDxmCkHU7GgsfO1BbpbBgw3Q1JrpeO3JAjcyuA+GdO9
p9ufEYltqzD23Cm4xVrEzSR/ZXUtZES9NztyZU24Gi93/jVsVAt2JjsNrLI8mGtNz0kHWqjyr31V
u9FcAdW8J0ndVMabANQJVYwSwrde1e6HjP3jtQD6c9Xv73ylfSqBflpJ22dKcp0M+skOtO0wAe+X
/XWfXuultAmk8NBJgLWVrzFESXWyjF7FYtjLcEu1rjiVEQLx8amkQ77SoUWY7rwfS4a4hcWV3LzM
v2TQQVG134T9knf5SfXAj0cyej0bt+0Y3QTs8UHG9BW+p2s5r4xiN1jZpkVg4StcCbHlWi1nKWhY
CamASH4nwyx1UbXpZGMld8lb5dVbJcfuxAo/SX3iDKkBMR1sE6NF0oQ6yTa3dl7d1tLXvH+Ta6QN
AayYFJzMJHDSrrlWQmiR/lOQJzu/8vGUy780U/hp3m9FGlau0ufbCoWDiqAhYXRqBB9vFCufibKj
fRpRMXRKuq8lZoC07SER+ckk/+gQW4heO3gd3sFZ63qD9TTV4WMTZYcQXiiKg3WjdOs4l+Ya5NG3
Po31l3G0QENreUuK5+pjvB4naS+iOtyoPdDrVEKpSBUbOQq6o+hIYQuR7+luPzBO45PUvqghRGyT
3hlh9MkAtwhaKoJQ7RGZCKy/wHaGCuFRbDzJk7jSo+CUjxpwI3t9sp7Darg2lVkdAr0p1xzK5car
hmOnWHPC9RJq5h2awivdKkAPi63iV66Q1S9NEX6S0e/VtuckIy9Sz9yyS+EVSlD7fB9pUJb51Fxb
anWTqJ7rtdNTLCEvaTrvkJSMxeMOcBVJfvSKxh1k64rBIMegym6nIN4EWX41sta0pVhpBXh4ubf6
L0EIDKJTT+VJ6NTgwVpbfbPT8DBwbEiQV8lg7e3+eyKV+0anqLYK463IanPty/m0aiof/iZ7GeJ4
U/dw5ZWcPI+UGCyiI2Ix6Nu8LBydC7BP0vu4npxx2Otj4HbTQ9Fdi/xH4bWrwO7WvJG8u666xwFb
D0SfObmXpF3rgJagL4yDr8tnhZl1muV4Q+QoEHTYeq3MokCMcGiGh9iP15wkU9jtc8qjzrJps/ZB
sbZxDK7zgJG/0ys7XJSdfODm6xjIqlhOoLXXtY5ATTRXcXkv2S+tWu08b5unp7I6hqpA+9MglZPd
InopAcm9/s43HjIS2TD9KibUHMfc3wjYGqq2DqWkNOLTiugy5jLu7jrAdilvUUie1OCz7bMHjAKO
zOmkjVp9y8VLpu/iijNPVh19bqGungblupvE2huQkZEYUYDqkbkJmm5jV3t9cuMmd+y8dtPiawgI
kVG8b6F3GjDZgUmCPbvdKPaW+qqOTmOvK3B8Lfzue8ek/TzQ5AvEUNfH1G+cyDNWNnjhcNLBOFIc
7vCea1vuH+velHmrE3XFI5f51PlH0T+qvkE9xxBmX3NIja3otpIHt8xyRyYHskEJDEO6Vay7AuJR
oaxrZglDrG+7jqH3GsrEdaRhVShQGkLaNnRSonUMS7eRnvr8lISc7+XWpuTo+jsFWU0MJGUma7oi
3A6R4Fjfj54Gwl1uJhmCfbzCu2nL17ZSwJ6TdJ/a0SHQUbWgtxxjirFbb2BAJVslzq7SJlhLo+Z6
/Y3EJpLDyLWHx6HdUwetxoEED7nJpMc3URXusxin3Si5HvIEs6oTcHvR4Fc3NofEj/c5QlK2HBQl
IGp+F1khdQ2wSctZe6IQRiyJ+UO0pQhcyyWvQdvG2mtnM+cRCJlJeyVOwnIcO5kvO12L3CjL3CJE
sdn90Ce+rSTdoQ4/qaK+U+ECNIWGEoMLmpnt4zCSB6CGK7I7jOaPeV1/mSZrPdr2CrHNqgGEl/R1
FH1Tyr2J5oyxK04Bj9xpzfXQML4TyyS9njaVzWCLWD0WuYYqlu7ZeoT4azYse1+qiAJ75pXYWC3X
aKFsBnxNyKPn23uUMSlEIx9Jn/SgcRFcOHJCQcZDtWKYAADMIh6edUZpBzz5Lty10LuNryFuhRI0
Xm152DYJoDXqmVYVrjWrw1okToAujYGOrwSZ9+G2TddDK2CPUKxcyUw7upL9apsFXwetP8Y9ALAn
4zktx7sSAaKH8K4yNKdOdeZG4dDWdI7amwC4gGrJnUd3mNRNzlw0tn1AXXA3TKhGUrTI2ZWXJo5p
xldabbqRSUe//NXSgULWmu1OA8Kfhgy5Zp6TtCn80c0lcTNJ5SmyjE00aCuDB6tT0nej+inoRsfi
J0M+SlmE7NBc52CxcvO50hJXm3DphFAbJ9jl60CbnBL5kw8srFATJYm3M3MdHV6grNtBWTW5fsRK
FKlnvxtR6uFLxGjB4ahzXWgQLhU4VZyvuT/hvE14BYvYqGcZCDgfppr+VjE5zL+jQe5+aJBxNuap
QhxoBuVa8DrqstkBtA7ahjOkSgqnMNW3NEnLnZ9k9/YUyxvb8LdKCs5MY+urb0v3Td+9doJtkTJe
e51jXHSdpFK2kya1WRuAfnVKOtZFBdmSuq8VLirb6jaI3hN3pIyOFQkNuzmS3zN+fBWE3B51xUra
VLddo1JzhJ5t4mTIi7xKuvfyliygVL+njUxV3FY/RCu+ji08wyhVXyy5oKqb/Cs1Ubj+K0NGXIEI
zfan2yFQbiwzuI5z+XNT2buyrh96AWTbAdYNSQ6nCFmvF9Ysw7O3plrQLlZn35UcUAj7AKpsr1XX
2Fbf5HWnOj7vwenC/ID3BFVaX0mrxkQVOBrhEc+Bq0gdDnppooFnaoYzdvqJZo1ZOEf1qPqNv+Xz
DN1GMT1H1dNxZQ7Q7Uae3ZRpr658a7puIuMr9NRIsa9elQ3cZ9Bk93pfVK6sEaRUEOKn02thq5+t
KdjlaeCtaqm4z7r0CaQMArewV1aW7zKv/yrb3jezzNeZrUJ3Iw2yQ1ow++xBN7KTUfaAoeFN79UP
Zdi8lpSgha9/rnpxE3b6dVajPFTSR0/PH5tAP0SGJ9YNovMoQvWF3uzkNyUa2PmOrvzRCUTE96RV
W20EKKNhcq3okMpJlNwFHUKpMjQdP4tQijSvIgAgU6x4K43FsWfcKeJnNNemKh5Lq56lFaa90s3g
TtTpOh6MnVrV17EkdmOa7Jpe4l7tc/ApSTcgMpTnOPB35qC8dXE97tO2T+H7/NnMMOAejeIHo01v
hGFShHpk4qUeA7v74WsmFcxlEpEBASEyhHrFPf49CezzVKH0GW6LvgMzY7qmV19XNTmFVXU3YyYi
J0qTp6FtEa0iIbbK6ptlJNeCHg26ie7zLLulA4O6H7VQhqOg0rPdy9J0hSE/9UBR7lRxxiXhxLc+
KDciDptDHCXeZpCkkmKkvyoawQ8uim2ZTbHnANNBeNUh1WRbXyWVAtqbJgdZ9+9a2b5tW04HtSt/
yGkrXOZqautKGN96Bsigvhv85ygEcXfKyTLuMx9AxxLFU1UP/kNEoXfry3JmrJu8m7Zy5lEwjiCW
n4Rt6uAJJeSEqsnNaeqNKN9jVMt4DTEYd/hRDI9TztANf+Tt9YU8uWNOhkzZhHWJDhGQWuOLbITq
XvFT67YNbfVK6jX02bYVB65kZvZzUdnV8MmMcfqZi3OpKKFgIhn59SrsykTsOBzM8Ktq+C0zw7JK
t9dBEDEfkdGl7A3O8kwZZW+XeJkMAVdQBCGo0aKvZRqmkANTWBzrJBn22LrYG1FwIg4eGGqvZcZN
b3tIntK+/TQGcARVEEFYKFawkSi63DrgQPAkTX6UpS5+7P282LMVJqdVleTQjaO+LqLB3gbY7uws
vZroKRkDTtR8dKLSIllCwDIei0rv3KKtsS4yGfi+Q9wX72wgunVRJbg1GzPoZqXyzrZLi5tNLbej
JoqNPMnDPXsB5N+0u13hTWBZ0RCsdS2w7jrIA74h0G07SsRaHQ0POWzzLNoEmHAMA5f2E4oDpgvQ
RSPtSyP33MT4pvvBRk8h3enwSNBZt5EAXRPizezTFy3HY3FAKezH4CL1VemRp01lcTLg9dsEd7NE
67/5nrhtlOhOpPKD5U0YQmVMOkyzWEbj3h4kjB5ImWMD205A4bQlB27KjCRS6Og0+fVKI/vaKf6b
7RsvWT38UGK7dSK9w0yIZhVlZcQaikCcQM3o80CPKmx33evFXRCGAhNfs2mzvVeh1gaukeM3es5l
Y0/7fkCbR1WNvr3Wq7zHs7GeE8xBjpvqAHRNStv2iL3UJI2Da2nSvfw28g2PctmrPTN/1AqDEjtv
pV4cstgyyWsRkleO1ARpvbbKXljbSjYndRPUeO9fl2lmt+gdhM2tY+nAllbvS2kL1BQU9jZmEPXI
j1boU/DUAt7eDjoULKqZG29TT5K8TerSMnZ60c5XVqNKNTxK1iXIT/Kkc/sxRJDN/w335Pl1ztWe
p0O3TQO/9/ZxEPelk0u54R/VqU1PoWFlwcm2xkl50HxhqjTUeORNOY6DEDahiLO9rOdej+6nQCUV
Kt3Ur8NuTLwrTRUdcxk6aervrViABkZ6xTlZJo2Wb7Q6LsS+ZxEkb5of6veB2SgwMdGojNuwrXrz
Rx6UYJcRPVl0WmSN0u5zDdNQJ9Lsmk2kg7huar8w0qsxSisstqNRS9bM7unsTVdnCmmy0RvF2m9A
vMiuJa36HOp9Vh1VzUvopIklP/CQdtfIAjy5TYZNJmte6eB12kIfgShxWGiVXa+FKGPzoA1ZlR7z
VKPzLOO6bQe5zvm+7K6/EqXBGVIz1URBo2IBCE5eLfAoSrusQLwSIwGY9FQUB8y5R8+NqIfgYy05
juxdYfTVdMsXO4TUgLNpp1kaIO+TlhrK2jM1egzGuNapfTRJsbYKaZXs+Hlsf2+B1IEJAxiqVcNh
NOxiCv4KJXbg63A7tR27Yx0NtRvE2YzaFUr/bJGZr3y5qMQ6rtr+q2eKQpXJ2Wsrf5B9WuTu28iW
m0evxub7Tqk0cCbGMpXld6trBqoq7q1iF9T0G+27tEWNEI+UMq6ZFFnK15sPjRv0ASL2bswn5AlZ
ZUoKFcU4GvverJoe0WVQzLLijN5DTAVqvG9wWJHv1CEbEJ3nas06VYWSd0rLKYHNFbm5aVKgr2Ol
J6Jwhdrx+PnV9PipzKz0sa7zINubw6iWu1wvonrfdEVkXYWTxNloQHNmD1mnSnBIqRiBr+xAlXZ+
BlC2tTJRR+vYsnPo8l4R7a2XW4V5zAsB7ODHKf/NiyqT7/Ooqphb6mF+6tReUtuHmL2jrxvTh4KA
XGnpnzcTkUoruTZ95YtktlCj87CNaqvHonzVBZrMxojzxi2HYkK8A+anv3iNpQ7Vyiv1qX0Uk4RB
mCpgOKdG07FisnK5PPbTzBp6oZrXn6OkFf2Nwn153SvacJP1tjwiZrIaf9PXfqM9STrEz9rP5LS6
SlMvBTPr8/6l7tOehlsrMUyoyhiuXadjzmdKw2AwiakrVR+1t9dUxtaM8gBViSI6KrwJwtBSIxWe
ouynEF2lrz3Xsj/eDK3uPccT+epW7avc2slTHD7UaRR218o449kjTY7SKi+9CH9iiWPRaecPDC9+
w5DXujrqyRO9mROKwCRp6bFgdqq195jwsNGjVsclMJTzB9pgdSB5U2cpKjmQ5oZ64n/18rpSHKWS
Zd0FzhmtE6b1+XNI955+VbSh4n8WUjoYG9LvHqCG/tTOyfOwKPccR0wKHgqB0s22MyV+En2FCqfM
I9oX5TSvkG6w/+P1kHa2tx5qr1CPfhTq5VbPm1Ksu07KX+wu424cptKMTnZXaPiRFXQCOH0Iszp0
OsVTVsfcJpZdxJCivsi8Q54pAuWFok0yRfYQlmtPtmOUEZo3Jbshpx5DVh0ZsPiFCCynLwUYVVoP
CqVpOyT9JrEUr3RFmMfD52pINHuleRZtDDH9myAXXo61lKdHfrRrlSqhHz2igNg1XnYsa6nfFlHW
73yE8s3Wj6Na2kiiyvVN6imGD6Lkg8wCF9VxeKBxLQp2+hDlBex+Bk1WD6KuyXdIvra2WsvDLlVq
alcl08LqXoQE4QioIjAjJe6Dp7DLdfrLlI7MZ515k4ern6mBbbY1GfPRDAa6gbkhpWRXTTF6tKBL
pXYzeGMlHbJM8y00DKlgUEM4hOGTF1VMqtfhWmqagyA40YhkpnqjBUrxZcy5206p3fvf667m9qaP
szxNTZB/rgMZaUDkN9bjkFu+uR6jOrFpkbTon0WA0VMpRtjXpQf0JwjzZPyNwxPob5o3jmzPnR1N
CRz7NNkxSLIapnoMv6hXFR8UWx+7GIvbWe4KJB3GpGqotftiVJ78aByrPVmnarpWZeXa3ra8JFoH
cdAO+TUka5BWKyVWpn7f1GUwbuHqzWbfjLjrupE+9AbIl9WJg83zhOug1gwOcVL45c7mcMA2qcqz
8glc0TKuhky0sjsOHn3JvulRR9ZSiOw9Dbr+h8mmpMhSVTrO/HxKUbkmKuqYRMUBfxxSeSPDfm20
OATEoVEZkZ0YtK68A6qDZdPwwSqdRorlGMps1IFQB7mJNjjl+d9lcxTqMVfDQYKxMums6b3Bbh/q
LE10vjktNDdjr+c9aqG2Dm6LgT299oU2PECAaOs6neQjxrOZqwXUhrhEw9OWTYFGypB95VmY5aTR
8GFbIS0ODVrA7l5ESUJr2WCP1Ryzte8lQxXN57xJAuGOZZOHrj+YTH9WY76XLSeR+GzzXGeNvg+r
l+m6hDasMxV6J+NYea2l0fe2LbvkVZuGxrv39AYIPtXyjF6EMIaWEpKX5bdaEsIvsDszeL42DYKk
IUM2pkvurL95MRhC1hQbiwGdtPO30WuDJ9m5sEL8BZgmB3JcO5Fb0D2xyp7FhpyCPOkk/Rn0P35x
xqv/+Z/8+VtewPL5QbP44z9virfsoane3prTa/Gf8z/9r//1n7/+kX/5r5/svjavv/xhnTVhM961
b9V4/1a3SfMzpv+Wz//nf/cv//b286c8jsXbP/54/Z6GNATXTRV+a/7411/tv//jD4hFgc3Wf7yP
8K+/vn5N+Zfruvi//6cKm/xvD69Zk5/5t2+vdfOPPyTV+jteNIZlGYyLUXFSwMWkf/v5V0L5O6NS
6Y43aAnHK2X2t8vyqgn4Z4r5d8wvZ6dv27bxMzX5uzpvf/6dqvydF8hgJtOc3yXJ6h////e8/dNC
5M/Hz5P515//lrXpbR5mTf2PPxZbQpfteSqnKVQD921FWc5ekOIobqlJmlU5IwYIUEtqo3eP5kyI
5Si532Is/KOCGNOjKZhCx3pCHb+eZ1d40KCr4Cu8DDS6fi1WvUtKvpaQhjUuwvMLv8HCp2j5GxgL
e3G1SnG21XRahJz0dURet2Jkx1v5jQanZjPP6UO7eCHkwjRLt03enClMSxEK+MnSy8oEHRZdharK
O+mfm0eF0/w5/0I7Pp3UDjTEXcIEL2ymtv+mbeIy8NLQqtaTuulKAlfpUyFuZO0qAeD/eHULR5Tf
YiyspYZGSLiCzJKx/klhAO6s1msoo/8HUSwcVzTIRNVc2s8X5uD7LfO1uZQNLo8p+iF15nUnSIM+
DqTMxirv7HZ+rsfge6MiNoWwtIVnERouS7JKIokT+h7GrOyhJHf1m3QNO6vpdBTRM3IIb7Rb/fHj
0Oe2yfvI8/f5zt0v8XwMUWIi1ymsAg3qPo2cGV2X48VJsb+9NFwpBPM3TFvVBBM4579/Fwq76tCr
m4TUg+HhpEwGJGPu4CPMuKXRpaeJVmj97fJI0YWXEa7Av8Zd2OfkwpSytCKuF2mUkVna7kMxwd7o
PS3EmVCnXS+P9Q0jmbxTkUnd5uNHfHbdumnMhv+mYv50bn23bgrodvRM2j+ojm2D5ZsomJtPHwdR
fnuR8yrfRVm8yInju7RUogyb9jmjVQnTRJDdPU0vbnfNXO/4BUAnoA2dNpSPYy/P8J8P+F3oxYvt
4pHEuiO0aJ4bujMAQi58IJce4eIVqhgWBYlChJA2jpi6RDOBM0ie/gcLwTyau1IwWk1ffIZ4+Osp
SG2zkhSGGtGsNnUvH0dYunj9uRnfhVi8pt7vIWRkQvROz01E2v/VuMVDhfm94xE7io/DLZ6boRiy
ogk+OEZOgEsv/fHatIlRt9AXrMI2o2J0ZSQfI2XJ/yrMT4fmdzscNK5JhpAUepRPfvhDK7572uvH
IRYn5J8rYaq7yrgbco/lCelDaoSZZ9ASFt7bwECWSp/WTRx/oXa48NAWX9KfoWxVt8h/8Itffq99
TMO5lfPQOhjgOnluGhMTAQZdadcfr+ns23kXaLEXuqa0yLDkCO0B/YO2ecSjfj9k+oXz59J6Fp9n
lhh+4Y2sZ27R7XokSuLajumlke31xwtaHAS/PbnFZ1pKAsnX3IYee3TeqeldEFQXttqlEPM+eb/V
JKktI5MQKTyKGn1p9Asv5dxGE5ggyhgu4ly59Jm2qjptppF8YkStacp0rpl3xYCmMP7eN7cfP69z
G+B9LPXXxchRUtJDwGJKxIsKjXljbjklJPLHYX7+zu/Si5/vRagaW5lTQLOW49sYKo4dWa4h8NhS
C2c6VJEr/6BfzE23cLfVj/DW/hFd285wCG9lF6bfLS/Vfud2IYkUH68A8CQh/XWtgddNYSyhY8mu
pJ3u1uv+NT/AdTA8t7+SvkxrjC62F13KfzPr5AB8H3Wx9/sqhg8OIt7mIboV63mwq3GT79VV7Br3
Hz/lSwtcbP628OmzkGiL7SxrneO20k6lM2S4vng/Po60vER+vk8djIsq0eJ8Xw60GKUQBBawwoHI
35obWvW3zdrcgqfNNtMXds+5D+J9sMUmhXcrdTNHkRsYFZ4PwlXkiI6DxyhRb5qivXD4/jxdF3tV
lUFLQQp0w+K0+HWfMBZs1HPQOoeW2mkTH8sTbZSr6HV2PW224UUL7zPf4C/xFsvrQKj9pB3oHjcY
9Ve9MbESplu/8BCVM+fWL2G0X5flw+lZjVL9XBYOQ/O83Xhrfhl+yFeo+1fFPftld2GbnNmRv8Rc
fHJ9YUmarhKTnls3exRO/gX9PK2TCrNwK8d3PerR8ehduAWUs4+UZEOB/xa6Zi7OaBzZNAnHEYyK
frRzyx4DKrcSlvaD5dDS69T7ueK95KN87qNQZRPbV4tzWyPF+vUJY1U99GOl0r9wotef6Vb6ejr8
udLMueRSfn6JIJLMqVNVRV0W9LGZ56aHrKxBgYMcskL0lSSXXFjPbRpNNubJZyBmYjmmLpl0qKgc
LLelm2hiQjVtaB/vkXNXg4qxKFWJbc7J4mJfNlpbyAosjiMzgTa9nmeJ+utmZd6ZR/8gHgdH2k4n
XA73+c68DTeXnuO5LSpkQ8W+3oCVMRfhLTVXZDVBiZo2lgth46RR4qQl3V6Gf+ETPPfKBEgTd5Cu
zmjYr/vD6GBUJR1Jmz30n/QCsxVffg01cSHM2RXpMsgZmBYg9WIbhsVUKtGsrUX2tg3050x9hW0+
2P7bx2/u7EGJrzaz5MhUNUObf5F3mZChD1rV+wGTe2/EgbHMTv0k3YuVdcMbe+qP/yasM9856vtw
i4+6zYSldK3EnYPD4ZR69OKMW0wA3P/lshbPz7KicBhxoHaiffAY7qZjx8D5aj0f//nm8kwhdf55
y/sGnAy3d7J987dZ81FBcqcYeczUGGMrHTG62CJd3Io7Dq5hg5T33j7GBxT1u+zVe2gODOgL1dU8
dMTJ1v+tuXnndtD732jxYtO2iiY4v9gRHq3lDnzX0dqbXzysBpwaKdFq4EhdZ3dorC+ihgus5M+3
/O5pLN7yGFNma4g2OboxXWn2/WlGaMRjhb//mkb/ZtWtvc/aOg5opXCyL5fGvJw78XQgS80Qmspk
sMV5UFe2nahgwljhhluaOlZteCnDOB+CIh/UAFjv5+317rupU45tc2CJgf/sa1elfXdhB59JmMhS
FIA8TWeGlJgPoncBtKHvxlajghBI8dfc9M60iw/6bp4H0uyGeYzus0DIvbEuHD3nTrj3gRcbB+6V
46LCx0UqXgbrRVVvK/OS+/3ZzflucYsNEqHxyLqQGNlVtVcwo1qFa8kReGeutIN0sI5MSHCqTXqh
fDj70t6FXZwKML5dGPeEbXBDnPAXGob9x6/t7M63mQhraJQMxhLsRQU11GVrzZXCPK6p22GFvG22
9YWFnE2OOEpl0gYTFsxY5Lfc9UUiGfixDJ+jR3kdH4OG/SGtZwpC7lZ4aT2FF3fGucdnQLjRaEfG
ZxuLLRm2ejiaOW63LWKeFj7YGtyPH9+ZvUe+TmkHdGYzyXl+vO82/RSOTQDjDMdSPycKbQC0BFfd
vzsS05iLgv8KYi+yrorZ33oYGCHd8FhsHdvuQu2/xOHn44/hqDZ+3rrGEL9l5jrWlQpdKod4Ljo/
KyuEICv1caVmnHzI5Ff0HN2EqPguVlnqfLIt7iHN0pmSMXNu8zDyXx9gDO0q5fJcPm78nX2M3NQZ
NjIUafaAVehVeqqO5lPCUElsjaCJTy0y0gfjwgM49xYtPgB9JmeZO7HYJ2rRGvJUY2VXG9MVd+a2
DdQHiTb1f3+zWIYB22EIUxP2IsxUlIpWqXSIRPh1dOhTe5w0dIy5Pw6jntn22vs4iwMxQ4KhNDVx
6EiW7+lgxqhkFzxWt+XW2mc3zIVyta32jMo8+UqTrosT70k5FRcpsZ+jwn57ue8WvHi53PaWwJsj
JFezr5oNpsmu4WD2BMSEsd9OwiX3cdhmOMBep+64q3fiLnq6lGufO3p+eRzLQ9Tv/DAaZuOuG/IK
Gn5n/p120Wt1jwkTgKAzCOZTXop7flP99bYXRwO1tRGH8+JBqJyIBtSwxqoZw5+P3/aS5v358f71
tjHs//ULmoxIVzpdo+9oU+yrK9R/1/39xFnO4epy6f6Y51Qj/qRZ5HRpUsvHa9SXlZpi9GLwZdZY
Wg8aA6vK2ygaLizwzNX77vXp8qKAsVIflXBMjIQm1yyi5Ul+iYJHNMQXAn382ejyIgkrIOw7dEMh
cH6Li8+pqC5kEeeflo0ggTGpCnTLr29KnRrEaBaXRRddaV7o5pBxGtaPH2+I88v4K8rilLHQG9KV
zG0xFC9ZODpV5bsfRziHOfBK/gqxOGAM2rOVMCGEcac6mJM1K2YSOjQyudMpu6t3H4e7tKDFKSIl
g5fSKx3iZfo1Vm6r4ul/9/MX50OhySYDeliNnGkrNhqDgO4/jnB2C5sznc58bFldUiuWPeR6P2Cf
pHSKozXBqmm/Sc2LD6L4caD5Ufx24L4LtNhhiBwjrwt5VANKD827YrqKk+U//Nk5C5uQj4Od3wbv
oi12WlfqVg/kEDpi6++Km+kItPeEINY1IPWAFT8Od/breRdtsekQyFOm2USbLR/otq/wNPn0cYjz
N+e7GIutho4w6SqLGCp+dPIhvRfrBIMxaa2v+y3aMwZ94jvmpLeUwrifbeZZqpfvzbMb/t1vsdiQ
GkJwTan4LcwJ7wva9tU22Xy80jNpPzr2v3bk4nIa67rQ5ZoQuKLuZkxW32Jgf5mIOJveWTLKBx1c
yNbVX4+8UJ2KqsyIo990V5qL8/Y63luMhZ6pCDr/LmzJs0/uXbjFEV4j5KOhm7twzI8TFPP07ePH
dvZDfvfzF9/XRCOJ36cSy1HVnZQU6wBzOKWmRT28EOlsTm69C7X4uMKc3s+24cmJrbI5wV6uzSOt
dv52OMwZ+SyLMe7TzSX0/NITXHxloqdGtFsuQSMyVq2PLZL/8PEzPPsdWxqwp/5TY7TIVxJF8rwg
4h0Fo76S1BsdO0ZPfPk4yPnUE9J8nq7FVbvMtSMMAkTowbvN0rPoaridbsRWdrQNLYRr/1DtsPfG
ry5xcF/epBuLUQ03l8i/c6exLcsM4eJWZ4TZ4hVy6NNXQqemg9MBhlXUVvAQRnKKBOanl8RU5x7r
+2CLF0eXSTrF84tjxAyW/I8MsXdS+8JjPbsr30dZHJBjnQ0ajcUgOp/7w+hMrnzAXsvRjgiGb5tx
NTzj/XLy3Uvo1dnVKQglmVBuqvgR/nqOGAVnWSN4lGZyVUfPSXc1TJ8/3jJnrzPGGzJoHXoRjGxx
JjKvN5msuQqGgrO2zNP4YiPRUhKqX7orLp5VS+nSz8TdVixZA2GmJlwmz0MzNg0jFXmW3+bZdgwv
uM6O+pfxBb5xg5XeFuPhj5d4/in+FXFxGsu06HSRxFMUOSYd4xuWJ8zDGC8kIT9ZoGUW8n5hi1O4
sZVULzwSqnrdcOhnN9WVvJaf8i22WXfRvXeDA5ID83/bPmBetP54jfPl+FHwxRE9NqKypTkp0YP4
mOfyVW2XO61BcR1gRF5S5A+YzXwc88wEOZkZdX892PnBv4OBvF4UnRcQdHYU1XbGfr7kcGmmpP04
0tk3KNSZ/kBTp88C5feB6DIY/TKYv/Iw3fY1btidWNOG5Xwc5vy3QM8sUN3/Y+88kiNH1jW7l557
GTQc09AR1MxMppjAmApaa+ymrZfyNtYHzLr1GGC8COO9ozbrSQ2yqtLDHS5+eT7qM/V5tHiM0ykD
hyEZAtDQHGArRcGjU3efsgIobzo+jgN1dnY4QCZEWMFXALhZ/e/zP+PUY0Q10j+/Ynan+RpdUZD1
+BXRJ1u/i4vH/+zvn90qqeg7PZisIM9pnt1AeYobeSEsfmkKM1suqL2/fb4qDOja+5CHFyKrlwaY
3VpmVdthqbJGeZVdmyLcU9B7aXuffMhMEhOUxaOTOk9XWkYIbKPB7EEXaS23ybM8TDGUKblNXgiV
rOW4nrJU/0ZkX3fQZJwqdRXHeAl9vDpWWTGozcAnWubWb536IAvxK4ARF6J/p1KKr4eZZ7WbEIBR
9EK3TfWnyEWvBCUKmrw2bePDNqFzG4zZVVrojw4vxCLQw9ukdFFB8uoLl9fJ4/3fE35JW7+acJtX
IILqyX8rB5go36yA5nhQU+e3/enT/WqY2S1SjTrlZBb7vjvI7WSV51dTqpEwFZqq5ur8aNMhfXMh
vxps9hrw3VJJeRaHLP+doHCnhU8KHV+gUy6chEuLN52UV4vnVo0lypGBWo2wKlA+c3juYP+cn87J
USjEVHWuX5oNZndGUfpRE4w1taXWlzr9AvoA6Jd+YZCTYXHn1Siza0NVc6cOfDbCv+plS+vGCtGg
zz94/TqDB3ig4theNxsVZyCGhw4+kF42eF0KjeUf/7M5z+6YxNJzdUSfYxlH10qGEUYNu51+Pz/I
advyX3OWyjyQSXeXJ0Zq5ZbyZniqqMdIN3JfrZztuNQn75QiL7FxLtph07Z4sz8dRcVEJwFAocTx
ttE4cH+qeEMz2kaQi3y0pi5M7YRRAr0NH5hyFhyPeRUgqaO6700WUMs9UlG+VgiEcVJzW+Uesidk
MAuA/pUiNzQrgp7KAmidmTGu+sSBOuenLEEHg1ER8OKmFpCF0cbqfd4V7YecrtgLVsYpe4ZCNKqA
iRCY+puehdHJ6jGK+RTa1t3mm2QLGHIfLlDt3J9fmROn6Wig2QufdHbU2imxeWW0AK/XT7KJVx4m
84Urz7DeXkP0c1Fu41Cj8pKiPv7MQ+AVXehBnE9zjRZc1wuGdD3S2K0tzNpwieUMaY0KDcA4wFWW
UD4g0Wp9HXiYukVrR/C9/HYENkDbvLwaaRp98Mto2NFuimYWUAKQThyUpS7b6ks+utGtyVZAB8AB
45CG0FKjgDSrlMX40BvOCIsK1Qw4u8Bfzc7sHgKLSyWwEd5sdCLdaijS3zyAslmMtUeY1ZbWIYN2
ter7BmpaD6YsrWIBTIMu5U4WA1JbUAwK/rGpG7eFSiMoaDV6e0NXPmqUg9Jn6kItYr1GsZHWW4Nm
VHVhj9S4wKKKgjs51pKK0STSn7RE6zZU0Sf7IEiGbwkiRlekCfHVY9vyPmWdA+iuzWv1EclJ/UY6
ww8na0iKl1axgiSlbfUm6B/rNIjuNMUhr+chvodOr1yOndHuVDgwC9WMkT1xExrewQa1A9huo/iR
KC1/qvblpEkSD9cl7LQdXbs4Zv1IY1dZadeaTEexsAYbOm4dl+UXsEf+zw6s9q4vfe2xblQHUpVR
3Y10lgPrCkta96lEzNaFpfaENsamBwCCtwD+NIO5WcFO8rW+X3WGpt4k2mhBBVcD+zYIcsiayII7
9dZ0xHDfewMqKoDtCr0F55rGqA+GhW5DduAw/bLzLq/g6pq2eW1CReiuQ10z47UnKTddm74ORE71
C9/chGYxFFcjCqJatZGF8FBUUMexQQKRhbqh8cPeJMCmu0VYh8j06Uqif2mFymF0xnBVD3wz8Ktw
A5QoR2RmqNF6XjaKbW5rlu9qTCLzQ9hAtC0ozt01AA3WehR2W9MOO5QARfSgBWl87ycFWsuWjL/Q
lZg8WkWTrrrJHE6K1nj0jFg9uDRxbUw3UXcIYsf3auj4a/oFmnuab4t17NH071d64wBvDC1aoG25
1oJAfnVFqwPh1qs0W5epA9Gp74KDMIcQMkRuboRZBb9sy2UJNQt1vwpkAdosSr6PwnHQlo0dlVBv
CmOvFCqaDJSo//SFVsKqbprbmEqUfpG06A3pikNn8Qhx2e6jYtXxArgL0mY0hA8VTwkN/R91u4U0
3CXGTaMK6S0rIg3+0q71HkmVgdbtGOjYVrciaFtuF19RZQo+OZyAlzRDgzdyndrYjpHX2bd56TZ3
vluEX4ReabeyhQgmMxgLdQognY7zYmc2+YT+1p36WxantNJDXJnEO2L6XRqZdlfhYGvPKDNrSEz5
7pNS5Gp7GMzevwkDC2J47zn1FbEtdB+D3s8+J11GQ3imJWB0s2KX55rOytrm50RLg4fUF+H9VDDy
UA2iwDdTVCyDJIfkb0ZNtYOXrd9qTenccwVYC0PNso1he+G9q0DX1hMHDbLWdPZJqCB8Mpbig566
yS130XAtaKbeW54VXBtKIlY0i+s7GDwUZnER/i68ttsoHSCCQo+9baUoztZtveJmiMZ6DQjIf2xB
yK0Cr1d2rT3E2zqLrFXRBPU2mzS8Y6gn135gKsuQnvuVkdfdRDV0672sE6SfnaQ6+JFRkjhv/Y2m
lc26aYNm26kyPIQjmzkdYG10gUbYpNYSg04MxwO4pFf018FpqH5noTvai1bzbZTjQlTnUls8drbV
IgXRD5+KJkddIDcjB3W5wcvvShfqKiR1Zz1A36anLB23gXDyVezXwP2AykXXEgguorLB+Jg0onxS
6Hfzlk2MCnk1jCN0JlkfUPxIf45j3H6ug9RZVXncHDonQ2Ld9tAh6wPD/9yh/34IPFEj+5xIa60P
Vn1fGYX9VckacoSdEbooPBnxR88C6p82OhwOkdPQAGFV/ag3yIxSb9A853mAIGKmAaU1U7//WooE
qVFNC810GWWZAwfEjBLYMzUK3gGMl8dAlSrg2SFECW/Q4Zeobb1FCX6478avXZ5U21oJ+x+Gknbb
dEh8FIPHUv3slXlsrQIZuJ9MiQOKUqpvfgyNXL3nNle3cZFDMFKIvFBp6t7GGXoXZuOiMWeOar0W
CVtwYXeatvdCLT6gaQ+HWKTNwaqcFJTbAHXea9tkjfqBs87NEv0Sd3DQQCpkTu+yg5yF6oqbduic
a+xxVO66Utmnep1+R9cBZSmlGG87JTURXzODjS+H8LbhFgQT6CPRlQJAu8vBFe3NzjYOUO38jZ6j
UVHHTbvL6hBNsqa2P/bo8FhWpi/KuHcoHeiqGxWA964wK7HQrdhddVNbQBeX1SYLm/wGIQEX3CEb
rGwyc4GeSLPnFui/mWVv7mrTM5/azI+2lj/KZ8oB6cyQpkQ5qLS4wjh9We8ji1GP42HMW4SQW6NF
cVbaMXJyHXJ5FUqKCNFPGriIpaUqSLxCgSWWxBz5PtB1Olp1ZLjiJv7qenZ0NUYW+CcMEcMHjEk7
PMqynGFYfL6ZHgoPmJRBcdFaKGaxs4RDSHyMDUo1UtBrhhvJne6AGkoLN9g3bUkTsKJXUFepmPyV
guNBK03G/bMV+/oNFeqoOBoy+TVyFpAQzMJ1B9kB8LnQD5aCxOt7zUeNQmnqSEBGSCITk3n5yuXL
jZHaoR59KQN1z96/0kS2C5CYOT/KWw9hGoUyPCqU6OGZewgSn7IJpZcsFXinnXJLX+2FEU545AxB
7yXl6C9FWDMnxMu8Ms1SBVWYFXTyvTfcxBtn3W1UXo2r8HApjHiiJuZ4vGnKrxZuiPO2VgcWzryj
7xo92EW4okxuY9OUsaY93qNO8+9S6nchKW4CZNCq7Hd9zJ845lj8vweu0LSpcPJ/Bldss+C//nd1
xKv487/8zaswzL8oCiOYMHEpoIVY2j+8ClP/a+rzhUthqJJO56ks5R9ehfaXPu1JtoylEp8z+Iz/
4lWozl/0i1JwQJMBz5SkqO09vApj5j/h5pBM0y1Lty1KKWnfPN4xVRbllV+DfR7gLnyF1SXjNeo8
XkY/XZqW9aY0hP/D8EYBZtlW/Z+KG5X5Fveo8a6EV9r1Svb64GyTqmwRLm/IP696u8vaR7O2ey4k
GhCL4aqkDByGv/DNreW0I4fOlWp+qFQHeBFQJIckXpkN9NKkOV6UFH1mbPWs6+n3LrMC+jb8l26V
Qonu7gJDoBSo5ISGFAJp/mCByMUaWkmtEz90O+E1pAQWmaZFSz9Kg+/TmTR0888W70eq2bOpjVW+
4TFGcgioDsoOtRYNGySm+pSXnHwzj01vj59G6GQlj+/QZCsS+CXib1UCsluM+gCkXGj8uUALCR1a
M+s/UlIcPkeDAcw1LHON+3lskcH1BmsY8fhq+N3GGBkuWKes/54NAao9UQHx6soYonTLG1h/MZSq
LRcBJuE4Lts6g9xu1aN9K3EZgqBt3V8i72JI5OAXu2ulx1iDVVWGNUTBXnbXmhsXw0oPMxe7KXFx
BmXVGJ8cL+49fnHUfZRJUEz4a+5vCJSDibRdP5TKilJeYd81ZeZ+c3GSkN7jbyEqETvjeA3mJXgo
ZV/eR3ZguZQhytvWlCigJ/e9lGhKuDr6GalfFMsIgvFPWww2f0DD7k9/bGN486kV1Y9uI7IePXnX
/Wk3JaRy11GQnxBR4KAUHGuF9pCaNpbpCGVlWIelPiiHXqtap3sMsQgB2+VOCiCsstAmkfCM+k2R
hwIJ7yxBQjfOkMgasgYSpxcApE2YrUMYzVX8Qycqc6yvhW9gF2aelUS3Smf67W3DzqF4sXKCdG+F
TqgdWlnDFsvayK5usCLL+KZOaqGsOepGxgy9zlJQ+exd7St7TWn3zUAQ8Voifg0zHIxUj2qu6D5W
ds4fGPhXrDXtgBAFOsgxQBMqlc6EEm/8JpOytWBIQxHbC4Bs2Bi0jZj+velGYb7yAhuKVUbvFFtc
mq618cwssJBdV2lb1JuhwsUMnSRs9goI32SJdk+TfJaiEc5itAJ0GHVndAgl6BEH21DbFFzKWBOu
gsxJ2IRjBkuP7l3XggdlFg3Mpol0Fr1Qz7D4IKDladOLld1kMNjyF0pa/UJMc17oaaEcVdDRSXeX
qTmt7DL2UTOhLhZlhyzy0+s46E172U1gtrQ3BLdMVnZ3tWOr6irWaXWDXAyFdVFZkYOKYieeHJFH
4Up9wb3VWHmAyaN25Bg38L4/+LipEQbchIrL6q4o9sELQg7FLrdZgpgvrS1XT1h9LkYPUeNcKbKn
XFSdvNFeoHRJnZB7CCdWXT3GClLUhgqO03zB2SU9IJ+HBETmE5REuW4sIBuHIik79OODuirdRWIZ
tUSDOVa8jW/1bvNJFGWGHdZJBSB4aClJiEePy7DINRyvh1wajf6lGrXiyiilLTZDJexxV8smS6/o
3EwNBFc0ZFiNkZIoNJbyFGFaNylvdd+wxKpQAGshos3tukbXidtTGpFVrAcfaY5l09vOuLXzSvke
2W0Q7yv+SR+DUWjQSOHZp7S8tBhdlB4lVvOhMwn1rLo4AyPYtHknt07i8ieBZY+fhYX9fD10hgNy
Lhn6JenBllJXx8wOlZ8ays1gcMkeyqaFHatUmffTi7nuthX+9LiD4+OweaJIRJtM0bn5FCRgvEej
07P4UBHouo66vEOpPJXrDkLdKit8B/UgClOQqcPngy+uux+l33g/7TywH3Uo6RH+emFxikY8dTRd
NWO0lwJVQQRkzETQ2DMdlufRMbL2Qa+JD9y5Rk0sz4Z6niHcBGdxQVFtk3xwat1tkZYdYsUnME3f
WXil90Gq3/oe64sXTU/NztGyBD67GqdfucSadpPUqvyc5T3nFvAKo3smJVfP/SCuKs0qzBL+cxa1
j3UIM3UpZBl+dpwsRikTaq29gJmtIyeti2F4zo0GgRNDRviWkV+jGNWOma1eB3Ts4hQ4QLDvuBVK
jR+pV0ilhjQkPClaTswYQY3Yue6Cth+3tT8o7dqORKdej1GHCFkYk5m5ou9IS7YKZHZYP2GaiU2F
gR9kCC5pbnFn+6rot6PVQ7XOpjwd4FRzEsEoIr1YF6UinFUSimBc2FEVDB9wVQObqFjMW9T0wNR5
dq0A9yWxRM0PRlHOqX4rdNIlOzsulXQ5TtYDDB4jBjSZCS9YUdLT6g9K7av6TQugNUUPVe/itV9p
nn7lyGxaKXZVFd+VtpT51ldjo4xRKgE0uxkAt1PPTdWZhqRAkpMR8bC77ogSdeFWCXgw4CJq7D6r
7lsoR2Nbwyr3y64GulgXNsKeQfQT9RZksoUA//hBkyOU6sTvfd6CkN1HpAQraRXFVpVcdW09ult0
GgNj27i+Uh7gZaflfdvBicVV9NBTHFtd7R5Cegvq/dB6jffAoymtm2oksY52Ozn9ZdWOKZWTfS/8
68oMGutKCOTmkQevx549r8MhbtNmqB+gX8E7lbAFUELGmPxaSQ97g6AQtz/eYajdtYGuGrd8tsb+
riSe59+nStSAQlaHMdl7UZG4n1LZca81qWjWqQwy54qrUo+fFBNY/c6B+qqh54hq+SrIQXSuuaQt
dCyHYjT9DcrxOYTFNFSa75426ATKkCZsdmaVV8j95lR43euum4tb1UD3KDSd0ry2NbMe1y+G9P/3
Kv6XRsYIP+B/9ipunsvn1P+v/3MEwvv7//qXY6H+ZdPXIxUSW2RzqLj7x7Ew5F82bVekX2j8wrKf
akn+cSz+mlwGfAvCRlNfE0nOf/wK5a8/+XiFn0d5nWK9x6+YMoevkm9UFGDBWCp/Db3Y+PCzYsDJ
GHeiiFJ+/st6bQa8QJXlliQPEmCJVUMnUJ+EO8IjchmbIn58tV73fwZ6jeGbnJb58I4jCXrgdtna
vJwGPKSa5TqRPjVAMLRqnCeR2fHW1rP3BSqmeU49VmQZbZ40XZvN04v6ZIwztFrA1va7LlNHNLrQ
FYikFVyo1phFK6ahaC2gp53BpsT6LKWGfGfkl2OJZlTpcnStsV1Y/SVcjDr1681WTtr0eTKSnDKa
s34+NUt9j5p8kKlb8aPZeutk6e5Qh3p4dyPNnwkhJ6ODcNEofZpl3IPCIWXT8uLrDhmzLlH1fRcX
2rpE8mpzfj/MS0H+jMW3suAIAuOY1yurpaN4tIBkC+UQ/kTr8Bkyar81VsqmpCd6421ScSHXevJz
EeTDUoASRxvcsV+NQe15Zp0gpWRKbzdIVINzNbzUJXRio7OC4L3IMb0wsY5H6R3sjTBgUwyD90AA
ez9oSGURozu/frNCoZflo7RXh0NhEnkwZtsczrYjQNYjYye71MKjb/rvo1OB+gkzkX9P3Nz/UHcR
pWTnx327iMRANFYQMAW9hPNq30bTo1JXEHHljPl33DPGYxmW2qfzo5zY9AwDNRSSHw2flj3b9NUw
+DYvM4mSlbpBNZxmRWWf7buPw06/Pz/W2w/GUNNA9GoDj52vpI3aRetZZoLYZYNSGd1km6aALeL2
TXxhB779aPq02ZkP3C2TMNLx3lAQ2kMGQOXCiCrnpiyDQxh26Y+ApPdNkQzGt8gxy0vlym+/GINy
U3H/MzZPzfGgmUEAheROhsYbnWlobH9sXPNSd+6JQSSmHQlbi1AYV+LxIJ3C9Y7KTLYQprOsM5RF
4+17PxNX4KsRpl/wKo7aSInnO3A3dbHuKYsg8/x9XPeUDHQjCk//2WCzq4J6BPQUNHa518I6rmV2
1xfk9dvYu1DmPf1Fx5c7s5JgL162A/Xrx7Oyc9zLoK8SPNRK/erhKOxgFskPWtb6313EIt99fHU5
AUc12o+t6aU8Hs/NHRm7jZ0gZ1U8BEn/I/OGd54n2rOJriLPZ7LruJ4wdl5/KNcyfTSkMqZkxFeS
tMG3THbOFVSES6i2eSxfn4aSkjj+FHedIq/HQ9WjbkeE8ZKF5oQjMTKjeBri1N60Saqv6qRVrkj6
DRulNMPPJP+zm1G56TWk+VylvLA953F+bD4N88ohs0CKhJrh2bS1QUkr1XOZNp7MJ6pd8p2l1/Rp
qYnc0s7SLckueysNUep9anaIv/TW4C1TMsRLqpqtZZuhPGpLQhd6h4Tguzb0n1+H7QV/BHMF0s/x
SqVRkyauQzq8NknZxvkBH2ft+dqlVZj+nlf7+WUcwExgadjSDkbR8TiqnyX50CTonhJu+NoqrbHS
RKuuWqUv124Jga4nk7anEx3k4dB/CqOgO5yf6uxIzX/C/EjVgRIAFEM3ma8lPidRHn8kSCLJrwJC
/2a0tI9szo84e0H+jEi34WSm0xU8H7Gq3CSKGvSmXL1der6zQ8B9m6Isfn6YeRvD3+PgI0w7jDdk
el5eXYFq3AHSHZQEF76E16Syi4k05ahJDoUAjGmOxLgqx7z3eyKoCwt5MbQ6HFdb+2IIf5Ld0MXB
tmvjqQri4qocNP2uDuygWZ7/oW/Xw+AVIH9i4w9hJkz//tXv9ARFNAgPpIuCqqKFDgmprAi4p9V4
wdafXwCsCCNZjCJJk2gwyI9HEh1qryPhxRfirwFu0JgYNhNTqt4KffHOprc/w2H66BpdAYDAZq9c
TlCBUBVBL1I46cOkOXGbO7r9/uWzNRgJwL9AUTgvQKFXy9c1nuKllF1R9BU8eYGrLlIjenLyKnrf
YzBNB2iZotmA1jEkrdl0miyaavB4DOpuMDdp6bp7J3PbL+d3w8w0mEbhgcP+AELN8dBmb6k9VGhJ
BoRLWgcp8ipG/1QQ9L1w80i+9PHFQw2dRbu3reNRUNN6vBOMOK1F4JKQblF6WGh6jgBWiNq3RA44
c2kxb8xbJegvzO3tXXM86uzSBxHqdq5NjTXlex97shnL2m8+llr/BNf+39gXZMahWaBvwErOIbj+
kAopSpSrvRexRUTb0byk3unCU3FqTtjcykQKx0nSZ3NqkYxgt6AO7Nr1Y6hUFFbW4hnVQAqFtMy6
sAdP3BXcZZqE26mjxjQv8ra7VJdDxmuYx8mv1B+zVTuU3KLCuMTvm+6C+Q7B1KK+4A/8cfY0JWaS
MhgiHb1LIzHY3SiwPlM+tqhc9cou5Pfz2/7UcA6UF4tvZWBqzYbLXa0LvJzhgoyqpHCBft/SLXee
uU21Sz7n209GtTNFjeqkp0BSeHaQCQR7AgFPCrBUa5m4Ymt3YqMm0a/I+HR+Vm8/FzfuFPLglNGF
Nfdg8Msat/fpjk0QoNDyoKXpPSkIjQaXjLsTc+Iwm5Zp0w0zNZYeH+h6KMIpscrllKHgtdBLYj6L
OteUfBUmVvJIrkf3333zmhaeNfYRdit34uwScfWus3RhJIs4D6iIZJhfITf0zs/ddxIqpq8FsMTE
d2dItDOmhX51yfM5VWVQcWdCGZZLs5DRVVvFwco1neKC3fD2AjYtHCdCSMCTpsvxeChhxOhX+hkB
JIKXOwMozxp/zfj67p1BWYXCzYCLyzU189g9E6U6tGA5XjZCUzZ6rfkVSmIX5jIPG03rhmGBLqKO
YSHJrB5PhkyXY5D+w7qLV0jPbKlhbXc/eFK2tBYn5N8vPvrq26fFJLfBhqcYg33xYvm/+lSaV/VR
4qOv6boi5jyngbc0KiPbYOh3U2HYlNGzx3VlI0ybJKJKd4mwdTD49Cn8rMpJ2p3JIBSsdoaurImF
Gs4CjSj6Zoys3rQtROgLO/nt7QPSk2S3PcWWTa7y42UKOuruBurQ+BpWTclp8cmPqdW2ug8NenLo
QdMnff77nzivkk7eaY0gnGGeHo8oatgh5GazhWOIZdd5W5H9ol5yIaILF+uJz4FdhG9pEtCAPT/b
AUggY2dM9oRNz3lV/CoThw4O2L3h79ZPVk2xPT+xE8fnaLxp4q8+f07WLMosrHvD7yEFB8HG83kU
zw9y6nvZAAl5oAhB4acdD2JqgUBi0Jmc5lGla1i4wVc/GagTSbyWEk2nylA0RgpRuURkPDU9G3/C
JHFB/mJu03Z54aAAzYFCI+y61dQ18YHf5yd3cohJgMcizEtz4exqiAQiWFbG5ECX0p7gmxXSHO3n
84Oc2n82ldYEHKjmpL7veAWTpIfGU2O2tDZtPma/9lG8t9WAZP4lvY0TO9DhVJka7+0kUDSbT+zU
VuFqVbrQLPhFftfSUxG2B912r31b0VZZlnyuI67C8zM8sYwE8FRriuYx9DzGZsuQpDGOxyKiMXlF
6Py3b+UXPtWpqb0eY3a4xi4j0NXzVgR1K9bUwaFz2A8/bNv4TomMuxyQE+rrd4bbpksdTWNuD0Ap
7MJ5tFcZkPWjtGJSFk82mt9/quL0tnXKh/MLOP34YwtwGmbKtMEPJEI1Tf7VSaboK64l0r2LiMIQ
41qtqkUd/vw3xrAw0BWL6P9LPu/1GEVSURhCSQCKjRqRnKDL1wWlBisrjsPN+aHmvWN/lo1qRlKL
vLfWPO5AlZXTqAOVCJ7ZxtHabmPUBPLEDJ9z3/YJjNJgQN1pShkdfpAdP5MY8z9WccWTcP6nvBAb
5ksrFcLaGPLsijk40bFJE2XaVBGliaL/ZFPfhEiDXbRi0Q5FoawYNO52YRyGn7OmaYxF3PvKnZuN
7jfDDbCNa3N0k1Vm5ZG5KKgfTNYhzxVNU3mpU3mTjAYFfoknlOVQjYCwWzN0Pk6JcjT2DJLm+Hxe
6bQLJXEgF3Zhm+obOgArFV1Xv6RnZkyre7sl47o6P/cTkT9EVyyEzkwyq9xuszOTxMqQ4JlRCjOs
3W2yTrbp54nNVC6sO20Tgt+hru/Cgp94L7gFpgwnLYMqHs3xVk5zdqAUCVcQ1aJPgd27q3oSVVKT
JvyoI646WeiF/HR+qidHxWYl1omF94ZVUHcqDfCCcxqN5Ye6F9bCjxTkzcvUXRdd+YMqNffD+SHf
nllrCu9iy2DK4CBqxxOtyjonmISdPHrOI0qLi7aVhxro0LuH4eQTGuUwTbGX2fsr3S4MaJIgCRTI
O+y8vd/ke19VLyzgPK/FkbUYR/Jx8N8JxM5fKUtz20gnNCaoCFogZ3xbII294GAucwQmXTncKtR4
em4BQ7W1PnvNpaT12xsef9TEnuW04g7MKfYJxkfmlvyCRIImeWlFaKNnUGa7mB6YZZEoX+MIos17
1/doVHP2ZCpmMvZFONmjiMAvUOq4skdBQW0VXnpL3r6SjDSR5vmUdBDM/cZiFF3Ua5QQoz2d3xWK
3j000UDL2vkJnRqGfcKbNTUyK/MsR+2IQhfRgFPQPFsd/VfvbIXAk+eR1/CmuFxw6eccnsKPRlmm
RHtMJzYpGvaVpt+7RtVZFxy3NzOZBiIjhLQB8o0UsByfMG5EK1EF+Ro0ibzvieJRf0U2+fH8es31
Kf7MhwM8eYcmoYNZPMTpLVHlKRVm5WpYDut01XziInFXNrhqd5HTj/Telue/hyQswo01tZ1PM3/1
3jem3pH0CYmXI+ma9Tu7CFaCIo3zM3tzQ03rN13EQJ1pTpgXMkR8vRJ152zRlE9F+KP3HgwMwvNj
nPxGU4x7UoyiUXz2jQZfVKHtUrxT+UiCUzAqkKA9P8Sbu51pENQmtYDtTOJ9Zhz1hafrlHym1M00
jxV7LYsM+iLHVeXk66gZV+eHOzUj6kwcjScTi92YXbhW5fS1cHjA4o7Ovp5WBjeurQtzevs0T5N6
NcpsUlpeBIhoUyUxcRPNXbtL9fC626AF9FI94/lQVpSlG/kXclCn9gTOHH4IkSuO1GxcMyuVDqtj
6ttWHrPa3dhZ9DTq3v35RTw5jMGRIloLVNqeWQG07AVKqPBqGaW57pvfoVcsQy+4YGee+lT0z4Or
xrcn7aEdH6Osq22SusQ/yjT+oBhIlQta5c/P5M2rxIfCpaI0Z+KCkUE8HqOQQSziDrO5cVWnWThm
b00d9TX9dnFR9d96v0ErrZNu/rnDFr502b5dSCgj6LoQkSNgQvjqeHhNb7Mq1zuc4KHGVvRhzcfK
h7D6eX6WJ4bRJlPGIldIPZc2G6bolYqX6yWmGZYHJbeShALeMhtx+91L0NBTg2k2jipVBVg28whj
EY6ikYLSAtTzhqVSlgDGRfvBc8Nw9/5pkRHD9J/8YfKnx6tnlyS1wdRi1ChKZK60wjTGhTsEJY1I
uCfjpVM9GQtHzgapN4O8PwVIbMs37mIRgHuwZE6wpERTtGzocKVUwDvUukf/BerdQgT0kS/dPO03
0ugnpoFnXZj02/uSJSXfb/JbED6cV5NRT1R6hiTfn+kVjjKUEXofzDDf02azd7x3XyjHo812ThnT
oRWrVDrI4dvgA8T8nbgX7IC3R/B4iOnfv3otibVlTTLlsmqrtJc4l+kGU1GsdRn/iqXiPnpZIdYZ
bRMXzv5sJXk0bV5oal+JbuB+zbdPpOUxejYk7KeS+9QYpuL4VcAwMSqWvelcGG52Ll6Gs3FgNCIo
RPnn5CddNt3EpqetgaLNwgkfzMLfZnp9YX/Mbs0/w1hcmIZCxSsJ0OPljIOozwo4BDRfm9fk5/eo
iV44CCdmQs2JyTNDEoKc9GyICmH6EChGvmitTl/S5HOPiqWxtPry4/kDPn9Hp8kQ2gXSQNkkW35u
I9LUhZsZYxyEDb0yq8azcmPltyDDVmFsjnhLfXVA7qgalh050c99Ho83rd9k4ypKneYRLkcfLgpj
GA5NkyQPlKsXl2IQbxacR3AKYVKBRu0l1XzHC06VvChbp8ax6QTWf27cmkFx4Ri+2apThJRngt2D
fCdu3PEYnaytuktjrJayHVe1nj01tDUtzar9oPrxg+GblzjT08P36q7Dv2DEael5F6cw7ewbRzl9
4kmFnUQbcQpZkbqPQKHPY1FzQm7LTjgHIkTW2h8NfRskyiXE5Js9Nht/tqpNhOr6oHE4qSnap5Da
kqT7CWTlncHNN/PUj1e21zLdiHRUa1o3Icreul87xbhQLnJpLtMOenXDGTTotYPDGEFQ3zfReBg0
a6254Zfzp+XEJuFYEk4nackLNS/Ybt1cxkbPRmz6cCt8eTP6yrLqw83oais6+u/OD/d236s880Qt
8BRf6tCPZ+WkbhS3NjtkwiWUUrkGMnNhRtMDPtuEvLV0JBOymJJus004IdX9ZGSIjk6a5WjYOzUN
96SCh4Uvaft8/4RejzbbcvGY29TSEYMug0ap77NQj6tlqw6Ksv03BiJkqZI1IEU2P1uVaxkit/lQ
Y1tsmlG/18JLmuSnPg4W5T9DzOYial3EEDDIzHcN4hyj+GhZzQWq4on9xivD7acTW8Iamh0dzc/9
moeGqn1F2zmtSobyUUj3diBiOthicX7RThyio9Hmh2h0LL/0qTWYqFGah9q4Vy5K9+f5UU6s29Eo
0694dVTb0B7cKmQUt8K86knK7km5pBc2wMm54FOTVJkYbPPrXBaZr2vtVOablXC56pWR6EtJ/8H5
yZwaRsV9mnRpVTLk0wd8NRmZ9WYcDwLLqu+fSQZ8GugRXaR2eSGIOU8ITJcoDud/DzQz4bzx/5J2
Zstx48q6fiJGcB5uSVZptiQPsuwbhu22OZPgABLk05+PXvvsJdEVqnDv7puO7g6jAAKJROY/WOPk
eHizA5UNrHgRlcJ/Fw6pfd+NuS8OZPFr+0Bb2nIvAxRTRwh0upVGVpI651qaJ4IGPwYkBXGQMtze
6mfSXdDGK4vLj4j1/KGSXuhyP804o/2L9aWWub1RwW/sS0tj2jSuI4jrVjFbMUTo7IDMjLhoZrO5
+hdDbdj9TcFwEzF8/SlNv5CIFpE8WhYgon6IPeV/toczJ/rE7of0sOFCoJAAItqNYqk2yy1z06Dv
5mfEb77lDrX2v54JY7ARAGqDP9nD8qpiVmrSKTMPK7o65iCbz0NQ+rcYP8gz+/LE/t/A2dvOpOZM
C/j1ok2JVY15tW3LXvg/DKFkCFG7/STgTx7entWJTYc3DuUkkM6AAfdbAeJGUYmOlaPdtMGFytsK
r13sn7xLV6XzmTU88Z1ejvb7PL442FZm0qFyaU6MTneE2/qxL7y/NZnhTP9WtSfhxFiUvsHrxSst
J3Mnn8d1UQiU7Ko+KdKjYQ3ruYFOfCUwADB6qBdQQtk30PupdI1i4Bppgkxelf0sD0kwJ4+1rNMz
xLmTX4kXPCF+qzTuu4W+tItVSOaEOsPmCQVpmZfzUejJ8zJ75wLRFvV22QsT++9ou+xlEu6Q5Bmj
JWOCLEmpV/rluszVMVemAU1ZRx6RFmmseU7x97mZQ6RljkRC4Mm7qzknS6zKmveC8FMn6pY+vapb
85zo6altiKMciGv6EYSl/flKh8kvbZIMbfW+GcMUL6l+ZiJbxNmvIVcXQhpwKwnpu4iU+MWixprN
YaMO+DxmwnuajVqMh3HpERRRFcjUqK8TYOdvH+hTH8/cKvicA6iz+/5fuc5jP4vtGb14zS9zxPKy
QV7mqWjbJqqQCItyQ+8vnab4WzXl7eC9HHn37Xq10kxFeyQcAF77ZYo+wo2RqrhP9DP5wYk3HuSR
jTqFYeOJ+2uaPDIqbkoKFtahLsryWEJKuyyXElZuN9cXiPTwyrfc5qDXcj1z25xcYhJgCsnUJcF3
vo4wss/HWQE5DzUv8YAaFbTPono1za9GsqivZhY0v3Lf6B470wFV8Pb3PRV16JqAaAHTRRnNfD24
QgfGXTVWWZoO4nEkLWX/j4l85tvDnJwjz2hgkKDDyPdfDzMhfpcPC8/Y3Lezp0qk6nItvOpy0kb8
wrW5+ChcVVzV89K+f3vkUyeHyE3uTakGw8fdyI6nZUHXA03MHAzuvy5eH85WHdv+92aazjxwT80S
WKmJPBu3+h8emWC5+twVVNELJLoP+CvlF/PkBajeDiWq6qlz7PTcea+c6Zyz16mIvlkKUwylk0g1
6vX6gtuuhv73MS0+uflPLfu8ah+W8lzt7uQE0QL3aLhuAMddKEf1t0xNlzqU1TnucaW3N4at71TH
OhhFFbV6iq66zOvjoHcf3/6Op4IsCTYpJhk8VOzd0FCdkqDWCER0D9qIks18KIK5OpNfntot5H08
GLkyGGS3W1qKS0a3MEFSF3VrjkBKFKiLx9JqUQ7VkOQafaWfORynziAVSmh7lLY2lb/XH68yRZZq
2XY4Gu+TSozL1qm+LM5y5g45OQz4WQ9paKqVewnBrU87VynDFHV7pKZBd3GMlnNwzVMruFXLHAtD
NGoiu53o60XjT4IVVJaEc1ZVWV5irySWLiwol/ohXtx1EE7DIs5xAP/cIqAoCTGEcN+GaruLZW7W
0gVxSD5nD0kR8FDpewGM7vJvNyKjACIhjAH8glHz+mv16NliRAlrh27LlEXg4l3n4BVBlZ3Zi/uW
Pbv99Ui7LT+3RdHlJqFLy2aaR5ZmXJrJ+B1fxWzr0/kHo1Jf+9y8Sez5Qgw2yPyy6C8rZHuizAnA
oiFZ8/bk//CN234TCTHdiE1jgzPyevYDH74V64a99Gov8jNlH203z8RhaGYbLbZG175qaMVlB3zd
+N84Z1USumRdaPa7TdKFadYbqB/VBmC5IU2W20Fp2j+uqDrA3D4SumEnnFyP3bHsfsywdwF21V22
hqNMFdmHr6R7qwXu09sz+zOCbhNjy0KX4kLct+smBFaHsmWxzS6Jg0reZHP9sSrLuFXuP/9iKEYi
XBOsISC/XsO1qkCQThyRLMssbNYBZaRcu5FM26ulV2fSi99dzde5IzN7MdwW1F+8kppAtHnRcCzM
Kb9c3Y4OBbacpWV+zKxsQhR8KiLsFPUw07PLYWr/SXz5jJzQHdp0tH9947sYkESqzSfqCQ1th0Kj
gruMUSChMlht4oXmJt4PGAh42Ip42aK5ZrQs0z2Wx399xTIZ6qw8Y7cmwD5WNvRcUAVmMmW1mDa6
6lb6Lumy/IPlr+pAfwDPHiNsk3S5ePuj7bmOv08jA0I/pKO7CYK8XsZC1eMgBYj6Upv0qDat/s6x
M/lQFR0gjVp7JjNID8GAnGGz6losjcGNF78wj+jLzl/e/jWnQp1JTZgXNrchP+r1j2mstdV8i1hu
iaT+lkFycWOnKovhzHn/Xep4sXmIc/BjQOyCjAebQlR9PZBBDUNNCwr42YKSYlgFy/Mw2s8bJSNE
Lhp5fnfWPg91oEWaqN+rMs3CHAnhTeGmC3u3wFK7zvQYlzp13aM9c5QymA7S0dRB+q1/bJ3JRzSs
6qJUJuOx65ol9jrv67oaqOiLwYqSFuaRLOZnYyLwAZC6tpXhRBWRN2yspj1WukgjpzKubBuRAEfP
bkpNXqaD9VMEyU2e+neyD35B8dFj6aj0Rpg1amCJeBZT+aVK8y7KstLDjGHBHxo4x10zjhhW2OV1
sHQcG73H4Gp1jKgbzvZ3dh/SxyIVtwZzYxSS2QDweL2+ZjM5dO142FVSLz5keFEctGaev7+9XXbB
7fcoyODygtvwOFQZXo+yJhqAdo+9O7vIHI+D2yME1Kp1igxERUMrT8+xwHfJxn9GtCkEkWjoCA7t
RsxnbQnmgQsAtz5y3xTr68WbBHq/njizR09Ojs4jLGQ66H9k3atZBU4zMTk37ZcLC7W8OE+89F5L
pLx3vOEcl38PIv2fuf3vgPvyST+1c1ZtIFKna33EDMZfqH4Xd4XQfiWJV/3ox7H9lejYwjWpoV8W
aAGia6Kfo3nvMq3//AxKoBvu2yQibuvyIq67NpIHTb1wFRu4Suplmlz2kxQx3eTli8kr8hGN91qE
b2+lUxuW3J/XMowBXhq7UZEkFRtxmWpOU8Z6XT0Ha35mt57cOy+G2N2PFUxzrRvZO0nv9Ci4OeMt
j0r7Ih/c5fHt2exL9v9ZRAwKtwIAcX3/otEk+dW4jWWDt/5JtoE8UboS2ziXxDC8NYZUlTEKjJvR
QEtBu1xN7/D2rzg5YVTBOCmbPtk+M5+UMJTUNmxm14pjIJvlSAb/ZItz7bDTWxdxKWr1nEweAq/3
TNopOw22vEyXVRisddy7m58FYrJE8UTIsM1R+uE5GTqD/k6qcyy1fU77e72pkG1iztQEgbW9/gHz
WBWmkakm9GV9cFGAxxGIW8yAMKR7w42nhq8aGUTdUBV0ZRCroMBr01falZZNN4Y/vP/7pacvhFc4
JMM/nyuIFSbz2IJQNGs3C/H0EDdB4bmfdf7117eHOnVeN2brxppDo2f/lW2rQiAO7X8gy45mx0su
gS7Xw+qEqSaCIexoSUzHSQftF7098sldzgsTlCyRmDi5i8Yl1a08xZ4sRB9zvKh6v380/S44IHjT
HqdqoJeS81AS4+Aca7wlbvy6OAcbOxWmqRugCQe8lbbH7qaDhuI0dCLAgmqD/6UalJsgAupBItZU
uVaxr1nBOZWzU0tOD8cyfz94qTu93m1Z2biisCxqiL0hfxRzb3wEQWJdJCnbH7npfwJpu5/fXuwT
Y9IzwvlqE9vjHboLkF2XV9PS0KLq+uEd8pAXTY0+UqO6eyyV09BJxJnosc9MtzPFBJGmA+5AVrx/
utSuXrWYJvF1TafIjzmSn98VoSQ5DJVu/OhTKTMsnZrmUzAp7eBJb/zpjMpbwloYiY/oczlNZ7bc
7938MnH8/aOAKgXkyqzH/pL0665M+40tZ7jzEOOpqB2FloCe4QEXTtmMLhtiaY3dlTHvvSn0G8dE
ADSwrip7Ko+ZJ4pj0rVBhFnQkw+s8GH1kjQUmzUEj9DiWuopatKtd1hMNNLHXFWxK7HW0jzv3kes
NLflp260P2ii10O3wc9qNZNjaUBTbYryIvMg/Talhp5wOR3W1n+qc/cLifsaGmVjXI6NXcFGSadr
YaOrhcGGDH1Vfi+k+FC083cgDTKeB/vK7HGvtYb6rlLWp0ll0ey5d3UxPuRW/XOogmPZlEOIH2tk
OusQ5oX+KDMEwwfn8yimIu6tczHt1HEnyds01YD6U7vfHbXGrDR32X514bck5nSX5yUsswxK5NI1
xsM66fMvVA2RNnHnsrAjOLGyvsiByJ1D9p449RRfOfFAeylO7oNe1tlq9lXCadAfy8k6KucKAbYY
iZozG+7E1UZBBhzjJorHWfjjrFfjiOw6vZ550S1MYMbkazNl2fsCUymXTzwkRfIZvguStjWq/6HQ
wdAZKj3zO3YlUg4jP4MUC9Q7zRpv/0zcnjgBLjMU89bWvO3b8iFNzOSBovHMcSuSr0ElnHtfdO3f
1aV+D7wpe9I+dOHl72EoCDrPmxXOVslHa8g3bkmZzjSS/8z9oNeB1TApViJqt7+8C6vx6NsRTjOU
+MN5aL4UzOhMgvln/GQQiwvSYRnBVe0yhMLIljSdBZu3K/Nl05qe0sOg48YdtmULihqGZ2eGSz20
xZniwon58ToCMwHWykPRbDc0Au+DhoYxS7i6CfLopsIywLL+/kMxCs1XKEZQpPaXsVt6shIZl3Gl
6fUcdo6R5XFdJuM5jtSJlUSYEkf47RFv/0HJtjt8yXAAZ92sxrxeLfUMQ/S966MoGvjyQKqQXLx9
920L9Drob+zvTTqSXusmRvD6vtXQY68rL2CDILTI7R4ca338oJv9p7fHOTkzlPQ20jKw5X1UMSwf
N5+cy6UdygMk3y+YHXzT+Gfh8fVQcfz7jb9piwFXhj+46a+8npe7Tovn0ofDNSI9dLL4UFv0696e
08m1ezGG+XqMZvDglweMYU+S8AW3013ifFZnhvkzIG90n/9OZXc3OLbqRe7g9GsaJclYibnAsDVy
jfFoLDZOR3XPS+dfTM0BW85WhJKzB2ChS1J4ecKYFGmQVU8L7DYHlL5HD+30fzHU1sjcHDAR79p9
qYXmWBKgWI86WzP4UafyjizIVxiQUZr68H8bbPfJzG6Ys8Hm/YJV4feMvCosmlEPF907EzJO7Q2P
8jRXOpvvD2xIkYyBTTOcisPQX6f+dIuF0gd25Jn5nNobL4fZ4uOLikI9KrFCBAIuoeeIuyBLf9db
OpYNldfcrE41nelwnJ4W6AzoALCP/vhYaG045URyoBtYlHoC8xC0yhayxeIc1PBUaKe7/79D7T6V
IsOB/cjUyjq4gPT56Kv649/vBo/UA5Dhpn3t74KfP0p7Gd1tiNG965eijZwsuMER7+/6eNtFjzDT
/46zz6yFBdhk9tkM5jSqi3kRY0zzRT1m0rfOnKaTq8aLbcveUALexz3YS1qmk98iZSA1Ly7LQLZk
zlY3xW+v3amAvr1euA5hufGYeb3zLJxI+sRk7Zz0IentEM8dfJezMLW+DTgdvD3YyW1OAYI6EvkZ
lLrXg6lA/c9eaLJ3TZJ/tb32ftXMw1YGenukk+v3YqRt2i8OlD21er9qRKM0re9RTYqXIP319hB7
eaTf2wHJcJ7WOP6S+e0iXlOaraFZ3IWFkuNNVujWOwuTiGNVLrjgQYO56DMlo3Vdnr1sNKLgP/au
lFV0Zwmi1e3tWFmrRSu4cq9ne/mVZ6l/kwfCPZNenTruLDdVDhrssPx2H7ntjLHOFzZu39MedMzQ
M9VV3v8dR+Q/6wFCAEQLeN8/k9QAjxZni5Vl4zx6VaWiUS6XhbI+YFABuq5dzgx4clrAdkzALcSw
fQm/lI5d+At71527g5N01zPEUwOnorc/9OlhNislxKp4Yuy+c6oCo0bTvA07f4Ld92yaKnTKvxQo
/s/qQTD6/6Ps4mQ21MOC7hEyUjgrh76Tvnf6sT9z2k8dQETaeUoAdd5Eil8fiwDEawusqgUl6quo
Bxd4CFaZ3Qw0cOJJ2tkZvOOpY0ghgk4E+iCIAu0iswySvHCBs4cLuopthDIBVU47ay15ZmKnBqLW
QWmTDBgEwu4bJQmIYp4QLRVLc7kasRamqledw6udWj74xgDymBOXzS5+6TiI96A3qaQt04dSiMfK
07A+WNoqTP3x32RUVBI2YSCLAffFBAoDanK2jEpW6MAYc5TkD8iUHt7e3SdX7sUo239/ESnXWR8S
TGkptPTDdGW3tbxYB7c4k+CcOkOQ1Da7DwCpyI28HiWtZlfHcp4av/K+LdnEqkntKpfJ3yc23qbl
wCdCSpaC7+txTDHWFlaufKE+uAD7djdjEefk1sXbi3ZiOgwDnoe2HgXV/XOrSZTCkJpFc/QZKeG1
Nj7LcYRA7bnq49tDnfg+5DQAMmG6A1HaI2mtzhP1ZEIKIrJTY6vMXz02qW+PcWo63GRcZC7JhrVP
B9uUKu668HUG30+O6zhySWDfpiO/8fZAJyqmtM1+l6UoTAG+337Ji92GueNg2As1htbrFy1OW77l
HTo/wohW2Q122GudmOLG9Yb+ohRrRcnSVcMUZUmOD6woOmRf7cbVv7/9w06tQAAIFGzR1pDdn2ww
PZnyPAKVX9hXVql/tv3uSjb6j7eHORFA6F7+d5hd/J1U6ulA6Xihe1P/U+vb8T4b8gyDVLC1y9ql
ZzbPyWlt17GzCVT9QQ0N/MToB4vNY3Q4TKu8+qgpAN9z4TnHfzEz+LiQfFAS+KPcaOemVXk4gIQK
iAhCr5HD62zMmqNIfr490sk5vRhpF4Sr1arbZmULcQ+oGB3seBr846ijUfj2QCc/FioCKIeydCzf
671a27JNarnZfdrieq2QshVWhpC9OcX1uJw5gucG24VhngFt4TpImmVSv8H3807h8bfhlrku1/zM
zE4v4X9ntv33F6eQyli+YgbHKczl0c+zd/6sLoIsOwOAOhW6kOnacI9gHClcvh7GQvy8KAdysjVb
npVVFxva6tydfGKQ7SoG/Q9ahk7uLsVwnHyrfIGTSdVghU4/3PS++f7tnbD90F11jfBIUYOrZWM0
7HZCphGs4I+1aDWry9R/TgHc6fmtkyhEDw5vj3VqPshxGFSw6RpSu3+9aFkv/WlzakY51Y09/Mnp
icT/tyG2n/Di8weyMO1iZAhC8DLEWVUYKjKXUQ5nNvXJdePqIirw5PvjXiH1H0x6nOwzukae/Q9a
H++7MThOhtmxluf0FE4u3SaowHVFIXlfBxgcqfdLt0U7ZEpFcmwtI3p75U4cHOAePDg8c2NN7tML
Q5DionjZIn47KvBCCO71WRIcBtmdeXScnMuLkXbfqJycoAEySAGgncYIv60vTp//829mQ83OAl4H
FXSXNOdDlU1aPfN5hv6Z+lkSVbX5a5SVeWbZTk/mvwOZrzdcmUJFq3+b4DbBWkULc9OO/mrTOXx7
RucG2h0efH1TF3Yfyaxf38u2fcRh99fbQ5wI1GyB/85l+wkvDk+DSXMfYLQcdrV4563NLbL7R3/M
v3lt/eHtoU4eH66fjXxOnrmnACXSr4IK6VPoTU6sUwAq1pvU0u50W4Ve9+ntwU4u3YvBdkvnFl3T
JPYWdxKjxU1jeOdAnDizEU6enxeD7BYvEFmpnE0ts7eCX7mnfer8/kdjBedkw059JGROebBD9KQN
vttwazBuCQkfyXKCC40rAetO5ZlHnon/YkaA36hiuvyNZe3r7TBXWsrjl2UbsD0oau2ItfEFgrgX
b3+dU1sBo4oN1wCZlC7g62GIomO/dhxVv2imI7ZezYcCGnPc1WZw7+H9FwWabp6pr/yW6t/fey9G
3StOA63vqEzrBAiEC8to1VSehnqCsavtDkhvWGb9Ts2tF3tZkV2WmLE+0NXoPq5TM16I1tGQcswB
LSerWzwWqVW9L4Na3ib8hYHrrKyHFNfov1Tu2CopW7a7Mc6pPFD2er1WtZNYYPLYZPg+VpFXqA9Z
Vx463nFn0qhTu2xLO0x6YQDZ9mnBFjGDzmGXBej3pMq/T6l3lW7yJPGYPTMWYrLbCdx/jd8Ui424
/yfVSOlipCmwOKFRrW4ZAbrMymg0C9nel3VHo6DQR5xUXeHJ+rhAt7eO2dxLK1aZ5Y33WACXOMUs
6WJc2PxJ6mJYLSO7Q1wptd7VPUV6CA9uPTeXadvozYeutrL1ydQxrP0wQi94n2vNVBzMPKnSDwM6
dum3SW+rjH4F4jAlnuC8iTdK8FCXH9cZjbtbf0KNNpZWUXnXVhPUX4Mgc+3LxRjS9oOTlbl3zCpl
ard5ZWhLnKS9ocIk8xomaUOrwt96U99YxtXpDo1yrWEKA3jH6zc/V3l+wPRqKR5kFWw2cmPefW06
WbWHunFHM2xmfa4ie/TZCi1TEVej28w1NueeKL9YTTHOuAitWQomSrPTr8B3AnVnFaa876okfVaj
zMxDXXt+dbmuom4uJkMT7aGlDjV8gFiB+ziqw/jZXgAwW7840lW4YaNY4TxVCPuBoFEdMsh5HejF
oSAXymN3LmbxbslnfOk1Wa2YWuoev1VOtLPCAahddY1zTfNuNRLTjDFKHz+bfVP+0NbO/FzOuccC
UIz8PrhivOWZ7N63joXWhbc42pVVLfolG3390mBO3kSBbUsrcht7amJV8+9gqnqVT+9xkhhYZKMm
UT/vgNG0SQVWJusnWCApe4fORo+scpTmbTfECX1nhIuHcvyRL3n1qFWGn0bItA+oGqG7HKGUp8pb
6TviZ6nZ0EbpD2p3JoWLQ20nyzflDPPP0VRQYzoA6G0Ep8x7NIxxiOgyiD5Ua7ehALuu/Dpqgwfs
exiHe6znWuMgF9f4mco5OPQ46mBZ78GdDBde52XkOZlZhEZaLU0k1TJceqbkuUReU9bgOdWMGHM+
+OWlHIzp2uBh9U9RSCa52q3ph9LIUWdHiXbxD5m0y1uz653jvC69Hdm05HCyXzI0/9JBl9eiE8uz
LDrnV55nKGgt8/S+Nob1k+6nqR0xD3lp2ENxFMKQ5NMi+dXqa/HQdXMXwLuZqoMUTvV9xjO8P7o2
VfKq6f0fJZO/rPPSuxmonz2kZp/+lIsuHrQGYJNXL/Od7QhQQuzbo6/XXR7WGgSQNjG7RxzpxPcu
q3j7eEKMz8wWQVFKOMExH/uJXoOe9TeFpZzbSSXlL1N6wUNhDn2B1mCTyVhqJoqDUlTeO5n7nh5l
Q+Ek75w1ta0YO7Hkl/QmtzqQHqhjbbKlUd3ubU7dqDVgfLLmJ9zRfIzHyS4caKbtOsTzYljXtRoy
7qagv3eDsT9oSfJsp/KL1RVPwhu6aBisEhs4kWLztJK0z/Ntug4XhiufUM1FLNeRZUTvZTjUo+VH
aPV/1lUtCXzuZ7iC3COGXR9Ts5y4n7yHCoQOTQbVXKfu+K0e+uaot6v3KXHG/oe11OlDlVTzIXfb
b7MX3Nej+2toNePB81p4C0uxXvCFGh51Vv81yWBT+EF3nVS2EQ0AzGNWIonU1K3hWrSoaiaG8dSN
/XDZi1l7KNJMh6KYubJ61zWteSfc1jpi4udG7KA8Ania36lpuoKNUD06U+p9R/J9fuq6pe7ec1/Z
h9lJJuPKH1d9iizV1Xe1ldRpWFdJD8VEdcH7RTOt65Hit4yMpEaC12oQ4rBXMXzO1nUMRTv+zMfW
jddB+PEyrfKCnw/qTmjHIgjW0PXbIsJPoYlNoHHHRjRmNLCuV8od7Jhc7DbznSu37vHo2+zhNcO7
SBdZXnNfNAw3dBb9lUSLWuHX0bhMwQEE/Gen7/uD11jOHeIhMORMp3kQKOVEs9U9mZ1mhrrXrjeY
vafvx27Nr3SBXnljWndjZd7oQRWgCWOZCEFbdaS4IELRBY+r0d1aWWOHZeK1F0ug1icp/TluiwXe
SGIcW9mDIVTeHM2Q4sPE5igbCkNBaWYP65o7Ia8oOwrq/t7uEVdv3U00ce2JNpXlH8uqdlFq9zr8
43wnFtIzbybpPGAV/U3jJgvTYNmcS+o1WmSKc3Qp+gjy3XQzUa8PHWcd0QmEUecWECqt2b3wReGj
Rt6k191kXUMq80N3KJuo14Momar6sPrZRQEyLTR8aC9BowP/blf36IgeLeBJqrDT6Bh2QdPEPb2g
aAZc+Y7ylHeJzn0W1Tmb0dIfFa8o1gh7Fa1MWBtnna70MS+PrsImA4bUTZsD7zW5RCLNqlfQOXoQ
I6bxHIyjEXajHA++T0OmymD6GeKbaDx1q5X2R3vwhhg20xPW0VY06HC3YXupA/WK8kp5RRcHqT7G
ZSrGi7xcnBstabQLX5/mTx693bDQRvugK+9GTDNM1Kao0LSfH6psELSbGhGJbja5jc0rXGfaC9k7
l13Wx4FqncNa1GD2svx6zEcZ5+mYheNU8J21yTqsrvG1H/CIhWDbhVnDApP3r1FpV9VVUUE9s9uy
joy088O6rC4Wu0zDJJ9uaU+t4SBr0PZmf2snXE5Z6VhX7CqN9y7MsTIrPpuTjvja1pVN14+ZKkVs
V+NNW2sfPG7tRXjPhVWb0Ti7l3iHg5bwsgfhJJ+kvXbROov3SWs/ZzZxPaiB06Z2Nz0iGyliln96
KIJiPlbStGK9N+JE1Sqag+bzXM7Woc3nJM5LSu1BUwjexo0W6emYQtgxmwNyY4KeYyqiPCd7q6XT
hzW187Bayp8SVaC4RO88QvzIirPR+5GQvBj58gVV6Gchui+97O/N3n+XZ/JeBN6xAe8fjvjvuo2m
PeWpcV97mNPNfrMcrMG/Vrp8Mvrkfdbr1tFbjXtjWjIsjQb1q53x87ScXKBNWesFf4y/iDycywpn
n2koruzezI/SdNdIwy7oSiGYR+LlFOmdZ5dj5M8628LX1oMcLYcEtdAPI0r+F+045O8b0FBxDUz9
pkhxZk2qZXqvizZ5agJu2N62p/ewmK3jFEzNncDJ/QJrmuJWTWbmHaARLCqqtNrxD81cdMujLgYO
JSI1uYoDt+kuHeF9MpzcHhESxTQ11Hp3bONkbQw9LEVNiO704W5wrIvU0nWE0crkgLTJ+K5UnfY0
6u5CoVQfYhbyR6o7Q1h5PQjoec2uJjUFoczmldjcLeQbXkIuPI2HVnhkfI7EUcth07pLnkUYCWTo
sfgiXPGnvAyC9EYl7TMGl2WUB4b6XPeBPMzV0l0FG7tX6m5/U9a1CQYkQxy0Rb1F1g+21b8rHWXH
zrj2R09aywMiBfYh0Yz5WIjxMl3FckyN8SpP0kv4uwuQ5IYGlcjzi6Xx9LCx6vFSm2GhOEH9zXDX
9Z2UKXFNgEprIajpqx9cIaMWXOt1md4NJcvCqhpXQ5LBy8Ef7xM4c9LsAicE08zus1K+a4Q9x2ia
cu6m3sIdMHu0V9VcBKldRUnX8Qe6t5OeAECHLRGRH1vRpKEQVwhlxQ2f62clh/oCTumHNbAk+qRe
D7va7q+MiuK7GPWDt0gX0c88CftWFNxz5Tvy1qM9zrCHnGAJk1lcOgrH1WS8KvVpDZF3+jqM0w9B
iz3q0TG5KFByjv0s/Tnm2V3eFVeiEld91R8trSlv7bG4X8mU4ZlVNjkmEURv/SD0gskP6TSkB8Qw
iZ7zRJ7Ey4e0DTp6+R6vq2tidMy74UcxiM/VNMdJNawPkqZyJHgqRrRIvni1sI9l6/w0VF4eFs/+
0WRsIRpgZF+KAO3I7gpk21GT7NTJ7G6LZP6YJllwMBXSqlS5jXnjMH92RjOJUhO8Ziia6kk4xgfD
rx8x2Q3udTzrbr2p5NUwXNYmD6tF6j9mvTz4bTUdA7dLn9yEAF1rRhE7adCF41hdjqq6wbpXu9Yn
AgN+tQqN5qq/9QvelsibPnLF3ozpvIDhH2+Rv8FRt1zCZkGWOOgrKMlDcl3la4yc4ld2dDR51Z25
IH3PA1kvkidjmXmxqUvTJlFfMuMbrxbELOZS4pGZ5UeMcbPYE/4QFQXoQTsrQGTOFHBo+wQhx6mI
qilj5zepFufG5Eb5bBWh7mYe3ORRRo43ep+UlxpdKN3Evi5zwL7Yd6GG0Hd3XQlZ2svaHIHWkrvA
9G5rz7jA2y+Pe2FpYa/zS8qyfBpmv0dQbkABABMW3hQiiF0Y3dHKvW0U9RMt7RvTGUS4GMu9yqZf
ublyj7euEZZFNUXuLLPbRCz3CSlrZM7G41r51gEsJswLSDi9rb71aSXjAmZv5BryZxII7x6jW4TA
k+nb0oxfy9pM4S+0WpSOegVPzXysJusxrfqLLMkA8M3BB7TQkdN2/J9onhQRJJMqynnHR1LOBd90
JG3Jh2eldd+xnfjHzUjscUBurro+UVyNZnfUgkoL5WDCEqm6w+QJHkFBfV26crz2NU/AtTTWg252
8mYUBkXvyv6F0FyGs575SeC0zuz+H0fntdQ4EoXhJ1KVcrhVcLYxJnPTBQxIauUcnn4/79WmmtnB
lrrP+WODfa38K3W51aR1rjN3Cti8Vpb6ZDcsySEW1UM9xw9dzCDUGa0vnenTTcStJXo3Wpv0X8mU
7i9juW/X8UNfiS9YG6/giKOKXGvjR4VAAOpmLt3onBAD/s1UYGPfVb6mxt1zDh7S1DI3ZCqf5yTz
otkSTjBQvt0SiRc37Xfsils51kyCq9HenNXcLq73YyQpze3tTNZRZb6x8VyNPDvP3hgfqQ/8SNM5
pndYeyequQi6tKkCu1o/KgXrjCHcnZBL8UiGwbwZCAwLVJc84CI9TewSj9JujfMsJLHVpRVYxXQ0
FncOeY7DIh6O0otzH/pss87pFqAmv0cs8bmUxj9VryLyupRtEmPLD2xcJcd8Vv9Jp/uI11KJuLOe
1zi5VsbyjkUmGFS1Dc1E6VnOZzVQh3Qr9XzvzPLYr+UR42gX6IqtXuPC25cKkEOmp6kPoMNMNnm0
JY0W2F47yWhshMGdKA9y6hGEaHqYF2TMdI59S0TF7a+7vyKbnpLK2XI0PghNmUPFnP/II+995FrG
rrP6r5afx56KGYNnGxnZ+Ms1fCl7L428nNlwir2Loblhbio3O9aGMK/KRzJJ+yBvzI3RUawzik/n
XvUz8EAyWdIUY017bRR/ttLIHUJ4IlmTarfG+IwgGBAdKwTNFmv/mzRpjMWkAUyYIoIXXpO0uKWt
frcmvzLnnJ3G/h5kbQacO1XUKrbjD2qpnMqJYHOTXOxeFM5W1gQJufwcohkHf3STMkrxx56nbvUY
t+Q5U42DFYPTZNOP17vvRMwbG9EJcbT5s/i6IrHpU8044AMPFte9NAWbLgRSHzrO2PlxMa9+tvQk
hujZs0zMx1Foj7qoO782he7nGo8v0E7UEgYLPCNupPsFRWml+0S6/dbtOH3MgrUv7l8T4mmVoYZl
jfM95esvnlIdldbcOb1yylp9bwkRZoXL6JtYW9A1GpoKl6uhCnX6wXbuan8sY/zuLd2WRANeyWS/
kKHvE48+gk2tVImwXLa99+TaMgnnUsRh2zJvqNMurXQ9kJ5yjBkFgsoAWSJDbNu31mm2rRBSZgnV
RP5UlWZjRJT7si1aH9Je3fd1uc2GaQq4YuTZzZVf0x4SXxm651h3Gn+mZ1Io9hFo2R8bAwy8Aurq
jCifTrwCEZFQUWt/i6R+1Ps69Pr5Jzeao+L2AcjtpdOL24gr0OvHba2v76kXR5PhRHO5rsi6l6dy
UEIj51QD+fu0dJEEzpSixxxCrzDVLQv1I41S23h2tk0lo9YTQa3HkZLpRMOs0QRLktJU2NgOqf8c
rUZ6yJdf7w6osR0xG2nzc+XO73fDK6Vy1lNvDdtOdYM8JTxxfRu65Yz6+oInDUugx2PXFJHuzH+4
WO5oH1k3sVxfSrm8La7+ZNXIVKzOOhJpqGynqrwtPEXBkCq7Sm02vRnHwWhbD3bqPCpJce4o4yUv
JtlVvfnpls631VvvBEDbgWXysDRWH3mmvaPcDACua5po6dVi16fFvi1i4rbbdqPX9t+iFbzS3aGY
OKFMdVeuDkbL8cXNy52czCPkxDkFy0na4pJ6JRIJe9tR7kjUjH1okkb4mqbsEhG7AaWLV20wywg3
6IRSdnrwFnHstXIvhXUymgqZpVgWP7XbT0tMQeGNhzJ2KUqZUdiKzl/rZlOWyk7pB8Mvk+pWlu1r
bYzX+1DD49EcKFKoI9ZkegOKYlv3K4BEA75mvVh9HNX6RVemXcHAPFd5xGUd+6nS7G0DUn9e9nRY
HfnKz0nrPBq9DFNPieZVPNQDV4CbuI9JPWwVvQ5iNwZH87zcZwmApyutVwVlWIAoge+ImW9sxwuy
5w0xi1vJ1s+Bm8VBrksz5OB/yGJlX5RaEcip+nGwuHB4+7ouA6+bt5Sf+07GtrNC+2XjvzpTP+0l
Phlm8aqo481aZ+qE5oVfVad7uXRPhjVsuntGilm8K1kTxosSLcbMjE47t29obNQYwHZFPwZtHUej
PUaLbYYCEAfGVFyNpmfYqdNdVtiXUUxfqzc9u97CRlwcCe84WLN6aHtqThf3T2WL80mFMf2uFf6w
jJfedpygLByavNSIsC+OzfhT0c2/eeyfxgFxSyPNN3fMrGBNvV+hNIo/4UI4pPqSh1XCFDPhGlnW
7FTnaubrrXcwSBiNCsPcN7O+qZ1ss6zW21JnQSX4/mvtUtjNR2yJfdqnh4RDpmjACy3ngiY1csv/
u8bmL7U2DvosAoHZJlXWP63oQjb9k8ZE0WZ6OKXGQ6yzP0wYwc11OvR9+bdU4EVFnp49IIvUwAIb
f1eMjL2adBtDtHtRTLdFf6Lh8A3ChrHaDe2k33F9+GO9XDttsAIlSb7qRvWNajrGVKhanUk7ojE8
0wfxaCs53ta4PTRaGWUZuUzTDCgl4toNprZ2ghaQOajFCCkyDV1IRPwe+OtbiixqW3pRC8+9zXYc
1Eo3bRyxXknBfiUjg0Cntd7Fs/JPk+XMGlbePFWcXDXXw76JX6yMDbBY8g2BlqG9Ar2bo312l/Vr
sa2rlwGSAFBsCp6BoF7YLuYJfJF8AMCI0jw42rjPWJytodzqZY+oU7CmEI2vOkATWL8vdztkNTUh
o+FtXSQak8UfYT2otTgnq/5Vx9p3XBHY6fWbeO5DLa62qZ3TS9kiEBhUc5sJ49C5WuTOHvRKtyE7
7SG37RZQxzk5sBhRHndhL8efhPibqrcusmZ+HaZmP+silLCS3dy9VnqxX5Oh5QUljN4eiJXp+3k3
D813W5lg2Y2xawdybqQaR7PeXdQB2qpJT0Z/G7seFHDV9xjCCCewHpUi/ZwWO2q8boP0/MGCJCra
sBf1sejdyLj/oLa5wUR57ApzVzVuqDnKE4k8B6Wed9oYn+d5Sqhwbsm5MG+6o4aJSSTM4ip7xmH6
xCevD8yu4EUt1GzTGXLTr6+9MfLP4ujGtRFNRf6XZu6zjeY6LM3irhKSy0Z3RRWwFpQBPNxewsQQ
/crDWutJ2JTMb/ZKYYZmETsrQQ91sRBTyI6SyyxKSyqviO43/EZkv27tXlZv/jFX59HsOWPyTHuc
hEdzXf07OBLqLDvAefMO8noZLk9786bCMy7NeG2G88h7vNTxy5TqH3Lohg1DZuLnSJmwyhMuMXVb
UetRwq7osQ4sfPbK+qRoHW9MFSqKjpp6EH/qlOzyuaEtqCEfExjHtV548aMieatjdZvr7i41eZpc
tql02oJIBo3jRfmaa77A5ZymLLKF/KaiZjfUetgZbhgr9gQvQTBy3qtlGE8QXUY5JZduRRHZzOCz
Q6nZOytjYdNM6JNRE/PDmOgdMFLPHFY61bmJ036DSmY5NguZBq7ddZumKuUjUqfY15LxZ4ztOiRZ
Og60BoAwV9XyC9YqIZO818K81WWoWnI4q3pL7JAK+iQq471N4jLQijhSzeIvV6oDg96Owzlypu+5
nkics7djuf62Ugsc0Iy42PZOvG+9EEUsKnEB8ooZouf81pyaUQPjs9QPS0URZ+MdNJA8MPNz0uPV
ruIh6GZ9N9bOvqaYKcsYgMq8Y5Juu62Vk4ai9RCVoz+PbMlatbXGKrKchQdWvZbQT4L3XRBWNlRs
5YYDkTRRmTNc1f/Xz/HckxzXmcSWZWWYKfWxRKTgaFOHBT3fQwj6kiTxeGi+JqFsx7tlnzqjFU9a
odNqnqfPKjm0PrWyp2Ie3g25np0718xuIoZ33UGM1zY+dtBDbcdwC03gsnApP+NE58Rkkl6gnfmw
Tmmh72rTDVikOJ3znSKdgzNqb4lu/9hedS5lE4F9bJXSASMmzVtcgHKyn7Ry+sD2aK9o5y7KdG8j
R32HiZMvTQshXjdst2RhFYdGT08zRIxuZo95DLbRbhCmwFvk4o/Mmr1TQA72w9lUOT1j/nSKeG1i
PUjBfJwONS4+AmveZjkgEgiQh4BAKva1zF+q6blisZClDBzAwi6/ZqBDcEM0nc7vmT0GQ/nbpc5z
3Ni7oXIetLl/0US76bv1N+7HjTGisxjTaBWJ6cu6+JxF+iTGEWTpV4wcckV6c6ZqOzf5zuhJ5gBi
kKWWMdnxJHfxh1efSzXdDlwv3Tz82FV/JjYrRMTNYOoUQdnSu1Pa+taZ1DNJjP7qslV4zgGyZD9k
w3Z0X/i5wypbbqMBrZSA+Qxfg7NE/f1p1r1D6wwXtFPHKjZfFb150nDvr9CH/WQcpaWdMvaUaWy2
FqlgRsLMCOYNnNlny5E09FMRV6E0JuOg9fGDGqfR7LqhWoMyF/Gz2aooHuSh9rg4lfEhMZdjBjox
9PTm5q2DyhbMW1mPYnW/89j277IRT0l3ikfF+qw+d4l2FNqfuuZ7fbWPAwN2DRqYLQgRGmcGPqk5
C53xk7fh10PwUibwv3rxkC/7wb7CaT4l5JqJpjtLIpvrcrkuRntc5cEDQXHXxF/uTKPQtylkweIB
x021sa9iZds63dVojRfidQmfBjF1J+e77NOfOhcWiL9dAguU++L+EQ3Fd+7Wz5xQ4ZwPmwpB1cKd
SVpokIOJd6n65TnDaRD5UZPJE4X16KHgTOwpf7er/E2nzDEYZHrORcr5oDx5qcW7Nx0qSN964CpD
e7u5EyyJNXc+PhiqMuNjOq+htdoXOFWWkGqrwZlkWXWshNhbdRa63QBqB6GU8GmW6Ymv58ojdMrn
5S+3cyZHWo27Rn0tiYtwtPZv1ltwqKWNJrv69PQaHHB6GvlkMmpa+7ihRMFZn4XFBZbo9eLb4q25
43pW96zFAr5viLKm26W6aANz0LcT47FfA3bwS4MJG/LQKY9GM1+pZoikqT063ic15pEBZ54Py6s2
4+cZnSQqgcFWF+wXwDeh1VLlk/VY/8cJorvW8OR0yWu9VntNHzeJcRND9kUiQ+DUj5NqhOQ8HrKZ
ZupMcPOvoSLaqF5IV1oqauDL0BbTxq6To2EgjHUPg9TYYxpx4T08wqXsHKN8yaRxWByax1NuF2/Y
ID0JxFo/KPbqGxDDrfXSiOmhdZQ6AEB0KRBSqVvcNpryr+RoAB+h0iP9nU3zOsvppDZv48jVyv5R
DelV7XL8chAFcr0o6rpbx+IyLvWHtxh7qAK/QY8iujyg1Q0dP4BkTrZHzBQsQYTHDvw5y39GMknB
x7FKQCYMRvfDvHfg4aqJEs2OTmq+Gdq4bfX+kLXKo6qve4o2X+1+9o1sZWN+MJUymlvA0cZ5dNp5
l5STn6f7QVwtTsuYMwUJSbv+rXkRjOu6aZHd1qW9TTCxq/mxml+5MQ7cFn9iiiO9VnxXfUldb5eO
xaldxqhquw3I8Ms6dNsin5n0kz5qrfVVsaZtQtyMNPq9PWQbQgzI5OO6gNh2GUO08XlSrDOOjTAb
3UcTHIQIL79ov+xmCcEWA5KIzktl7a1O+LEYo9nMvnIYFLMj+YUEaLP3/Hw1Q73XiaJRSCLKIqvW
NgnZZmouQ+3/zW2mrk/1XnpF/U0UZZsXTMp2zbuJV/dIwt4micHQm+k6dumpp2aLEg6WaoUN3DAj
Dr6wTbHszmMLrKmcKtN76yvvPCTVO1DLv7mKTyYlpuDUe6ncdYqSBwBSPlqtQ5ZBOLZqlHhXZTLf
jVQe83za3pcctU63jt4GS9EG+IM2kB5hpSnAxb+ohQPX423vjL9xEMcW7FNRXsgRQldQT1ezWA4m
OgkSzW6lbqW+JuVlcsZTb9ePrTSjpM9OskI7XRn/7pwIdQTXydTeZq3c0WGy1SsDD9oAa08+atZE
GID2OfKfrCgj6ejhasUHLS0OnfgSc3bhkoPvSxHslEyP1iM+qs09MZ4f+80w0xvo5QdB5y3CIRC1
WXAelWaUgwM0c7Fx4i4Q08tScDlZxsh5hhRjkt8zRHa11Eed7tyOyaATI+5oJAcR5YABjVqoqIiP
5ftd6oE4pU8XSrSAl0ml8WpmI+3sKpsEBHo+PFgqJaJJT+8W7679rCc0UMMYI1ywIg+oQKU6vUGt
UbehntjgptU5ASO02osjTkXy3XQxCi+sk/zVcJBfciQZovrS6R+IJqreV00ejHXiMPMAFAw4MDk9
FJ3xXilkdeaoGuhSpkBtOVXSDRz7WCg6u+h10Fk31H/54ly63IxI2/gj8/dCVMompRm5zlau+P40
md+mRLKfzZFcM38RwjeSv6FeIkXr4UP/2ON8t2l/UplsFuGc7DkLlK4Pi64BBEvOOQO5651pyQwS
qmhDNbd8eodOAxNuiXbR1znt+qw7CFYs18H7JfdCTUiXyvy04Z2y9OPSvfctCUZtnvq5PjxD7Zlc
DPNlzI1vu+VGXofqwij8UWZFNMZcCC6DgO+aTLF2M3zlVns1FYJfauxJLu+1Jr7tEvmalTRMRXYV
DCSAeFbuA2oFhpoURKPKaNKGx7nPXgqaFob2jlhnG1NB8qKl8WHpkreG/zUG5YelqE8xH+iEck8d
5F3UkhNuWvut44Ztd4vFd51+1JYamHcSz3Lh/U1kThwrA+3d/PGXrVUk9w91eZtT7TMBffcJ2/i1
GtXjdxnhZ2x9l8QMU339VarLm6vr18ZqPlLN/bSGV7AHNdIXsRVS3RRW8gbw9pm4D3OZ/fXL8lIW
225ZN1n77BnphxnPG51lqE6fyMT7UKfy5GnI/Srtq0+9fxhD/Vo7EkwStLn4pTBpV9rpt+W0+lbt
Y86pGFGKF3uAN2PGpVb8iio7xYJBrFSWi+iS9ObOi/hs749kVvQvaWq4Oy2+V5iSNwFErKeRS//2
Y18rRZhC44dlyYzYrroa1bJzj1btEvVV91loSsQafcZUqKaJETSz1waCTPBdOSfsgGZfs0Oz3y+q
noeqkTV+5vQrq0QTHxfVanyv7Jtg1owGsTRtm3Hifk2z/bUuRLPCvH06Ol9eod1Rbb26FU2VbYSz
fE2WJhGDQQYqMxbMcnZMP13il6Eh9KxUBiYGvTmvsz1sGxMUtJN9gfRpPiaDMuwt/H4BKEO1URxu
biTD92JaeZ00qG8CidBYlnAU2BZ4EsiQcwS/TQGZ5czWw7i4N3dMHZDUwmAIayJUoRoeMS1FmVjq
WzdZT3aNs0qTREMM1bgdO/sr47Zj1qRCzompN0dUDHsTAw+W34iZwyFjfE9NygPqelfAOVFnpl31
zHscLfBry95lpGQFBJkmdKLCrLvDk1sOu1rlf0GKXp3qG9ttQ6r+9pMdf7lgJQ6QiOzEVVFgT5e2
udmDcfLa4c5dKc95mh7XxgmhwJkenf5b8gLMOrbOXAfZmXzHLC/81mSl8ZnGwkh9pJLtHuHvN44B
NWjXZI7WgvV20kYzSNwCwm9uA0uoJHy5e76ef4Ze2Vvk5vvSzh8nWW9HZ3kEKiujFn16aFjYtBF6
ALBm9cbS85PDdHtnNp+nBbdDNr+lxMrsJOJDqnlylHLusC9wykHG1lZAisY35Zf2tSgqoC/REuA4
olTtZRauHEepm+2pkj26KsKSLun+0VeEnY81muLA/Fnrs990nc8y7zax1d8GXX1S3eqfuS73Cwho
jCLMgWiR+sc2lJlYvmRfqlVYt+ancG3GDUs5mERk+kPa4JMdi18ttTWkgpPjdxUzQVVC7JYZT65w
v4RZSNbXda8nCxqCvJ/3JPI81HZyllX9b8WuD8g5fPO5/tBnowZr7mz5l1ekcp93fKu6DyR0CgNB
tUHSdCl4CMG6i0OQxQDdMbWu8HEIjMGUTKQcyulT61cCqdE5rutXZq46aNKwaTC7hZ4Ql6rKznrK
Mcf+kvpjkeabYVgzhJXxphNNjw7BY7vS2Lh12S0hQQ5NYPJq+bKvvnqhP6283CUvNt/imqJ852VM
CI/dDwZ48NTGKXQg+rfSFIM/2+ov2MEcLV2JnlJUr17d3evj4Y+ErIh57fOoJ7DJz6gT1RaP/hdv
/E1LlDbN5KDO7tMHzWnycCzQWFD2uuuK+Zf9f9q1na5QuTY+Zq69g+xmMcr2CgLFIKmnsLvDnGau
gM8jDSka5QD39ZWbblTzN76cUK9MM4OniUkAoc+ZQETVp90QrcioMnTfaf1J105WnRjhWo4Th4KO
tJi92ZEcuEambCB4NsmocjvnFlty3G/FUj9Xc/7FZAYsUmvbnGIQokkYLcf4YjTsbnSH+BPy6KCG
763JktnYQrysi/3Ql/ZPSehr21VhnpfXsa0/mx75Y6XARFJ/FKaS7UbXn2pUZaHHoxZOnUUzRyIU
35yrY1OIi+kNp3bWj7LVdoY5OKDLH1RJq5t8sZ+oo34Z3XtQPY3K5TL8ZEPysAz9vpTOWUp5sooG
3kdOOzPRrm0KEqLr+ZbQ44deMz+7In5bp/EVI/Nbos5d4KjGEbJ0o/YKMLP3T19GY59M3RwuOkhv
KrVht7ojoNG6NRL1F1bLl9a69Upr39o5rwyVTUsVNyE50kgVu/jqlGTqYSsKhDnsu3pB4q63H+xf
RqhYTgfK1XzVGfyTKjknIcYwvxQ3Ke+D4d0divEbwXjLwyGt9qHMXCTokJDEuqph5nDjkLcKzyIv
GUuY7+AsCPQ+7VjVTeLcy+k9QULtG0v7ocduEtLZdYtnsDnH6WMO8NHZxG1TBEtlNFFLkCfPqQlz
1D81unvoZ3ri7zUuUTbyAFZigaVcUZ315Ue8xNcpHw6ian9GOK45S82wQ8gLRkUmvGhKsUlqtM8q
5STEmxwxTz1obv23quDzi4MLeVQYojQ9S/Z1NZ07/vvYQX10xl7U9rKzO97NRiDaSbEL9aKMkUlL
cCQJtK6U/XHJvTpMre5hsvuDEc/7lTcePc6WqrW7KWA8FoZdRLNWNSEaOQp+YcYtxb3JSv+nGV0S
EkrM7S0VxlABDQcYiljJ5o6uRs7ZJes5nEorC8BeU2LunVtCZoDfrPFOejyTHayPQPSDbCpa0nmM
ks776BTrzdFyOAVxdrhhnVR99Ir0QOsg65SSw+hWqHKB2m9UqR2nDiECGbOcYQzpeV89ghkC5jTg
QDNM/GSmnw0SjJVdW4njb9xPaTDrnFgg3Ggx9T1TOGTsPKRPvUsmDvFe71qpz+h17GjgRy/uOt1l
IHBZUuN3XwylvSh0AIxyg/XUAMbs+l3nJbgo9ao9xerI8l0jzhkdW+KpEs51MAZn14r6nt39qOum
ttFK+8WTrrrHQ7SEa28Ti6pXLHSpxvtYNmrYF6ZEAM5a36KIuKpoLwKUttlGasC/+YrYrmoW3P2o
QZqZgoGpVXZTZ8ccn+JFh/Kspf1ZzwD9rpG84m2g9DUn0D/PXhFP3dQ23ydoxQaNZchAF5AsyO/c
x95RnldXv46O+eohMLTg+LtJQktPOoOG7pz7dX0ee+e4FPRc2vKuT793tRuZDHWF47tuNfjWRP3s
62k/IFk0Gue9mZYPx9NV8MZu2RRZygZB/PUupakJoUnMfFYssB2aMUbupE9B69Wn0dCf7dihPKGt
PqARLiOIL9aPSUTjqD5lCXNfbVsva9U9YSnZm2W3VxzowW7d3bdJWaXPSqJcxjJ+SRL7LDyFhb0/
YsQ66e2Dh8Is0Fu0+3V1JDgKZVuucAwXadCZ6UbtgI3b+WyXJUW2xfyFQ8qT7Qs1Ezu42QNmoVtZ
8X559XG0lZPU2xfVYVoaQDfUjKFVtysBWCWuq7W89+iTgtYsIdBaZ4ZV6EO+IfZyM+CpjI9IFJsQ
2/9LnzOtZ+KYwPJ1VnVyUVay0saM/kbyaFG8pBrWW5loP2gwdr2RHMequUAAA3lWYzC6/XcFtBoq
uvIwezlKVvmGIiPISyq/sihP5pdEk+9V04P06ruZCH/ABXkgBvRUdeq3JTt7I9T4eajsE+qAiC8b
YobZUKIxaUfwFbBa4Vkb3enCakULNufOUek++hHtXzzmRxqqEjpUjEBNJ9vvdVVjqiteSVV/MxT7
kCNywRD0Zi56SAHNw8TIAJbq8rZAyBfF4HKkphJYwYQ46wx7W/QsY1gYE6Nk45Nv4i4zMKvDmHnP
RClvWy+JOs26lWqOgtf6lCu6O8Tpe8nW7SjWzlPmZxNd3WQVoVaj20UT02nrGlHkha/AQadrHqcl
3uFjeVDWGNShfBeFtTNNi3Hnp2ogsQisRiy+pm9jb36BfTh+Mfff3MpPhcrx7aFita1b57hR5ThX
ogL/dSiwIRaVX2bCaCC0udDcW6sDDRUJlGIHQxz1PYHM04xsKMYNlFXSX9JPNc/zZ3apl4Y1hKsQ
DtyUQeIo1zx3LzIb0TqqT3j5bgCoYXO3TmkUy20kO7zfYEN77yG/CeuEWdAEsgVOQvhlEqYlj5Wn
6Nsxb5hQDdK/VwaVtZs++8bemsrKJKWs747GzVN7yeM9fzaeGWE0a0nwBbAJLBAxi2zf4hlZlVow
ko9/BrdkYM8Q601T7JJanOcuf6q86th66gov1bOd0joEiD/IsM8G4JqC5FdHd3YWRV+uQS2W56mQ
2mpxUGZz9OEEDlOWQqTVuhLFY3mcHQVWZ+nf46p9c1rD2NIxvFVy7gYbGyvOs33DeFpXQ9jYRpBS
nuCjPkxw1g1ZNJrr6yRUByZ9TnZFtui8DLp+ZGV7ttQKYhcTJ4ahNPBWVOPV+In7+joRDq6M/PIy
NYadxAq5HaV4Tm3nIGrmXS851wMBXuYw7jjMXrocSN9ZDh10cmPo0R1A15MYsAtN4aRMRxMpFOtn
WNUm1AI/mJeEbrpAyHqgTVYDjV+Vy0VKN1Ks9li2rKxW5putEuEh0YFC0r1Cli0iIcw3meeOW8Ug
AU1d2utSL/C5DJPevOxQVG9tj4vCK6rboMwK4l55LJMF6SCfY52oHo/9lPtaMw0IWZMXhqpA641o
1JYPjZkMlSCvveHhMhkbZdkjk8P0BldOQwCuDmtCqVfAxNayuGmLMfHa6o+0YO6UxP5ZtHQ/tnBB
hJUHsLETswI/WzLZ+dZ1W6x3A68/K3M9a1v6HBEDQLeGAy8lHeJhnWWHenYusGYR5rgQIyxh9dr7
3JQRyQVZZEquP7VmsF6bpfM9BBOhSOYKhn+qgyQTeeTVHuugrTAjSHGwoDoHhKNhr7mbVEDomTaJ
vMlTQV0R11bHrGi4wMb6bH7bMxeI2YNtaiNP1Mpjo5stBte0upFojCaYOHngYcOdot7gVRkwzsy9
b7eNHSyZealpeNsqwr3hhOQqylE8qAPKH1mv/+IG91Mq2udWydwAUSrYXJywhYzpo7CsC/rvrUxS
bjckSIA63dbMuGyH/j/uzmzLcSPLsr+ipeeGCoMBMNSqzAeSIOmkz1MML1geHi6MhhkwAH/T39I/
VhtKZabCpRUq9Vv3k9KT4Q6SAAzX7j1nH7YLKWSmsh/Zj6v5qbKDtxpZzHZQ1lWVqKMTu7ydKgTp
vElclg2/Jf7NvfPoFG6rnO26Lwam/ckj9qRXMfoPfS0ebOU/BdS0G5tSwRHt0RvFjb+OB9nR3Ous
+BQY1uPsO1+C3J3x2kTnBRcTO/Dm06AxBXj1dOtPZK9ldkO7bdS3Ha5getPJjH9sUpRbrOyELme7
2k9oY0bZR2/iba2qIqx9u6mqXu2AY5nWB8dVH+OeFvkSVUkYR6jXpdib2hs2wo6+UJcvG9uPukNF
avqGDDReaz+hHwA+lHyyRLSVnTwyJBOHIPLoTSyW3tFZoxJt9IfUcJ50M5+KSNHpte99UXGyTcrj
lu3O3LEMTZ530wl6oQ2inCBa6L/TCh6mtxblb7lkSHAsk4eA+QGUU4PNkwem3RvE3FvxPiporNr1
PRtfiuDAP2tcEhn60SgZr2TqXAodHK2JzYLt30bCoPnu8TfyJKQMOmfIzTB97lL2iBSZ1tEo44tA
Nzcx0BHaYVFYzsvwSp8ku8RSVJ2DLviamnmNmzNHLz9dI706kOFkYcQyINTlCQZgVIDKiD6OAnEc
LoRl26fth3roPjfpfAVgmfCjNiv3vl3TFDPTr3ZcdfvcoYpiyqlN80wCeB+aXiW3AmS2rZAjIxhn
Q1QuPFEa6tw+uyc9me9Zp6ECxgf6Kt3VZcuQQCTjJh1bY9vFYLabaNoviJkxgzBjNpDbs75jxokM
Zpj9wA5rbl7N1OnX9gubL/zp5N7SH3LKy1h2X2IbsVAgK/6aTyx5mvDYGFGFN555yUbsaFqIFIxm
DGulPseD11MxUwzk2cTwzTAPIvJSaJE54Vxzyu3QsOkyrDK+SlTw6ICQZZ7msovFlYn5zzD3dBnS
LRFjiHlyv9saLSM3s0kYs8XIrRiqzD7eGnPeui76gy4V3E9567/quch3tO1Y9X06q7M9YcV0tYs6
Syq5LyuVhVaefnGA8myNCMC7V2XNoayIoZrm6UvDvm9PA/FRmuLS8wTb+Sh3AMFxPhqIni+WBMM2
mQtiXeH8TMtMMAHCkFca+lJ5+bRLkd+z8Kd62xeyQV+LpIt+z7E2eECmURS82lkiGRV28RPXFgKO
wJi3g1+Gi8MzxGiQpPgtiWJFzow3GxncGcYNcfBvYvaccz6wuXObicdXg2xOiHQ4VipFftDSB2HC
We8JAMi3PODUHY8yvbPy+q7JrHmbtS45iVkKvIA+5XOXi3sXD9a1b4vyI9E8cmsEFNCmruPrsphJ
zKqtYe83RMNzabb4UsQjo2S6IBPPFV24xq4X7R1Km3ofOdW0M71R8QapgeqOK2SKM81y5MbZCXUe
ym24m+OGcB4EIAXBB92SXgGs9B+9yI3fLOZ19yBaua6nbgr27eLYx6gckp2jW3qzJU6EpsJX5ab2
QC6P6e7LHvHUUAFIkMlQH+vCGe8IhWXrwnUU0vV+43Hbha5cMKd0yRcuFX1R0YW/jXt33kdRXx2j
uUJJaylnv7TiRfRoJ9uEDh9unFeC3Wa0ZagEBs0o3fYU14yHrqsekv5OLfm8Rf2ArprUGfIhJx3/
XPiF8XXoxglNvWjl2XOzdkep236qaOQdVSXGnYzJk2RMOTjPNH57qowU0YnVR80ZG7h1mwxFd937
uXwRs+PzTS8NWgnDyB6hhKgPUyLUZYpvmjpDGWhujLgLE4Vae9M5ybrq8PQ+QFKbjhXX/xWXBHsr
lhqKHp8UTIfJh6o4KXNnGaRftj4zqnq+WhLBjYC4kdqsRc81e8nJLe3oaliQlhfOqjpp4lXZ3edH
i7iosHBzfUCYgbwmGaUdOo7nvlUTgoK0QgM8mq4GozjW5KQM6a6MW+/sd/QCljyfP2mrZcLtUaaI
ANv+PM1wJNpMIy8vY7YGjWV9alFd0ooK8JM6Zneh2ha9QurhjZVUnKZpy9suoxUfJdI+OgUSg6m0
1u8ume/5yTib3VIj5iQJRyHbAyONAEw43NWa3f9Rq9o75C1fZ1F45etg9e4XOSq9z0mmPPRLPD6W
9HBuPMnTma8seuD5XV4x/2ABb1sMrl3HFogpSDjA875u1ll2NhHV29jGapELkktZmsG5SWI4nF2X
ggeIi/2YBvIiTgMzBDfJPgvh4S5oxv4yzwbM+8vYnyKt8qu+aaafo56WjjJwsaN6KW78Hh9E1JXd
2VOkONVeKomJsaYbTppxcgxhoPKo/WsnRrsTYE4InTS3qFsUjme6ved5znqsfYv1ADjBPWVNujz1
mUWJS39klzTZcoM0mXk6BeyFXZnk1oySZaB09BniN632keUlWkzrYMV2he6OPe3gRB8Q2iGdhNhS
n6tMG3uzhL3RVox+3VGY27zF4G4Wtcnz0pXPDmfqYZgSl9m3xbcmIsZnGN23GMyHK9Lmo0OOm2qP
wykhFLyOThYrOMbTrNub0WyFmR2xScEHfhXXwXAr8GGHna+to+UUJH+mTXoBpKrANTale+r7+TDk
cflcRpJpAKLQfdkmzoVouuxGZxHX9irlLDCKQOtxuOOdiN1CN1XhsNj+AexDRPIHc7pOT1+bda6n
876+7OLY3+BD9HZEpAfnoOB+VREYYaujY02QaHalGW8CTZwyNqNOLy7bxhUH5MfN0XBpJBb9POxy
7SFOSF3zmv3Igk7YJfg18xU+hiLdC5Qq2OGz6gZp+Z1MRfswWNl0wTyc6QNK+2gH8AvZLAbjHVVS
W2xHq0HNXzC/CXHM8XAb0EMP+2nx8Qf6uWLcr4cAbYxZYIoPmdU2t66KS9yPQ1ZclRIxJldpsbOS
KHtporK5z0iyPODH1Ga2Y5ioFXAFlpr6taDXsNHR3F5UtRNczKJxQzBH45zT4KoUZqhIFTS1UzO6
bY20vkrHyRm4jkZ1GOGuR9shMkhT6vEeR4x2k/l58gr33uAhkoWGbt2Bt2myfx9oUODQN0ebTh9h
61ishNd+7GSUB7sy8jEaZ/FoEneVd/Z1XEY46BuqOlr6lj+GVjfImf7sSEkvCX/z2GrlaY/EqaVA
iFl375cqKOXRrzIj2Mh6aB6AueSfcBZb+iJySpXsuUgDpKW2X/iXiBBy43lEFSauHQMCxh3hhAoj
4ULS/U3qFo4qkAhwnk7gZFrKT7FkA5KyVrstKg0qmrCsmUa9DsSRxYhcgpYnWpJNI+QD7U6rJUn7
T5U7KDdMZpXFp9Qp6IH4cgVJdrWjvX2Ml4DVBufVU24l8UtUq3YIXZ0H9yCxEJ3NtYtKrO9XMyIy
2CXYKof8SPZN7CO9TcYV3myctn4Ax0o1qUo5Z9t0yNHnsa2ZMOGbzTJv2j4uW2a9c6+Nt1HF2kMU
0Ink2h9yWtE5UU7VQ7ysMVegk3N5JWMrp70aS/sTbulyV/WlDBcz57s1ERzU4ajapqYlNKbDRSy6
dNniDoEipW3shCHqa/Accqo4oZQzhbNvs5TfBRs52GcWlrreLlEdf42Vz/90JI+GnRxYUw9506y/
REomPVJ7KttL8rOGaqeLtTYysq6RD9A79KPDbvVxmkou5szryc6t6nlxNmMiaqb7KmF8nvEflgJ3
QjLVxVCP9hpxCqFVqrOggaEEzEIBZYmN7DSsgqxY0E4yJK61i0ppM74woqAqTj71AmqiycPMMEoM
uDcJV8lKBXFEcYh77YI0c2z9avrTkob/C9QvS1xt4tnyop0sMCPkXxr/QVCKJTjTO0K5417uBP49
A2xA1K4bcndRm6SAjwTiIqO/4CNLp+WE+TEo1cW45Ihu3W3KDMwla1JFTOvwyP6CafuP1+k/47fq
toKOVZXd3/+Ln1/5Pto0Tvp3P/79pn4rH/r27a2/eqn/a/3Vf/3Tv3/7I7/561/evfQv3/wQ8kjr
57vhrZ3v37qh6H85Ju9h/Zf/0xd/ePvlrzzO9dvffnz5ytN0l3Z9m772P/760sXXv/1omxAzf0Oj
W4/w68vXL4rfvHrpqx8ObdV11Q9fqx8ehuIPfv3tpev/9qPhmj8FNnb3AISy43uBC8RMv/3jJfmT
5fm2C/oJKJt0A+B/JbFRCb9m+etrhF0wn7J8UjxgtnUVOSe8ZoufzDU1E+YmOb02a9uP//wyvjkh
/z5BP5QQEKq07Lu//ei47xiEApgLCRRwAXmAwsIP3oUhRI6dIjCw8J5gki0emeRUBBuPZSruek+s
PCjQYm78we78tmfe6SXuqcjUMFCuytrrTlwjgzrBs5yKT8KoE7Z1+Lg6P5S50xm3Jjvd5Mtsd654
sV2SAT/jX5XBlmdcXeu9EQPqAx+Rxb11K3IQGqvxWDXT58qnHA5FFVmE8jEqc8N8zpER0TC0jK3q
fa3Q+6F8vx1UNOjDHHeWCk13ZMKZOBa7p5khUHVJz7QNznnh6eBR8ibtS4YlKGSAXTCGMIMmYRYM
faG2PkDnZW5O26Uao7PyOEefrLE2EmSSPUtK4dV1EWaK1KcTUlIDQ0ojYp/GXdJ9pqkokMX1kXjS
GErHvSw0i6GedVBd1iVYiqDO3OI2bfORds0I9p+ykd3W0VReN2wBkg2nPMt7f0Buzst7lNFeO3Fr
93T6xgCBz65VDJBDzPaxQNULau25kmkVnKfK6lBVBradPnvWvGDyyZM+CM0C3sVt1pGv2W0qmfO2
OgEW9EaXKwZO+kg8QjkHbUNT0GL90uUw93eiLEZxkhOaEtyzcQ6+i6GRd1SyKJYb6us6u1gsFLoH
jZHWPDUeAhGktIQi7kUZZcNWKIQpCFabIaAh1bDusjfFVZwvfhucNAnKWxG5SGjNpg5jEwoQL7lY
nkWejF6IlweFRe4383KMUf+wSKdV692hWcaStsNuwD5LJ9ZQkPGeC/NglkGCvM5jPcS0tkjzfi5a
C4YHDEq06hg5H+aKx84FwelZ/+QYONr2xO9A9RGi5ZvXTI+Z70/wKi9KAc7vyzxOgd6ansFODUke
U2/wmsa4d3Gw+zvXReZ+0bi6pUGSBlN0E/sLmnwlFZYli0c3YATZ5S1mwcrQJyJHMYDwOFJ2WC1m
chUXAs2Un9FLKYlPxtctYqP/aPZdemMjKcIrRwP0FZQZc3Ehx/rnjI1hi4wSLBTjjsltDonFtnOD
o5rBtqnq3gfxIhFVYN1Lsg3fmFiu7DiVkNYgJ83ohyidAaUVzltWLlwfyIO0uIZNFCGAT30/38X9
4soL6ErYgwQdCRvnompvx0ZW+CZqY17eGsHpeqiXQOpzz4ixXp8q0XRd+Xx926ZQVbF16ik19qlq
x3vgGJpRJG1WQk/8wIih3fVOezDadEoO69y62EptMaGQbWbW22HRjPEAmml1q8lfphVlprjSY5UF
X1rK7/VR3gMueI5TjASXNUUNQxNjDrEFgE/p1utVFotejl4OSDHYNbY2x35DVEY5nmXW8yyH8BQz
NJIGrdy2Suk9ZkNML71CzRZ1z/3abOrwZJTZm54yd9xpMUGHi2HqaEoDSoStqKj+kUwsrXmfVmMR
7FAhY3HKTI/R82TJilUKrxvqW8An/oGpMYI9x84a93Yspd+FczyslB/tNt2hL9lqXtZLyZhnUEnQ
7kjPnEBD95oJeZwutAugyVRcqEi4NmCFtL1FkT1gDqL5Hu+ws8YVUl0iEe5Ltwl+Vq2t/WOA/4q2
nxFjz7KDeuyQ9jY5RUhdEBOWGmSDHNA8s8UjagtANLRC72mKkMQcGKB6fZhYa1Za4WqjO9qOHckw
py+C+ttvrY/thFl/C71OIPRtJ0g1Tg6Xj+ZhjsB4ME2koJ42o8dx0N7DlCqG154dZwe3Avt/jLH5
R4Av+6+ON2Od0gN2/j5xG3dbZlYsNrZVKTRL/TQgVY9hnxDXXPgK2SMMPIRxveEcl7YojbMnyox9
ju0vzX7OWScQNfY0/K3I1E8OoidBp3hiz9MIc9CYrgLEno3su/FqoUPW3nYj9sozpbseniMVNM1F
6TSNOJtGC1dLd0FL78Wp9XiveYfeXbJE8IuiqPWLY+osc/lYlX3M2FkaDPPJkunmkNVctFule7SN
hljK7Ak7eNk/Na0FeU4jt8A/nVqDvk66AV9O0bNMnGlVTstl3zvTB2vy63jX9T4uWR/Qz2PZigFE
l8wn+5T7crG3k/TS6FiiOjG3tKMARJLvFM5ufdITMKqNEgsXlsrV0GOGqeZgLyNMfVsvd1N9cmjs
ovZxhZ9cmWUDlky3dTWG7RggWBKQLr9mOaKyTTvMWtxaERusO0tZDFabqfTzf3B9/1LBeJW+UlxV
P/ffVoffVpn/z5WVa/UHdvk//lmr/b6sTMuX7ofDW/uSdr8tKH/9xV8LSif4iQxN3/ctZPvElK0R
Qv8sKK2fWMFMKjiLf+FIm0ruXwWl+MmGHsKo3/SIZXUEr/2roLSpUWnOmZSTJBN4tvtXCkpXrjDp
f+wE1vLZEzi1yWSF5chb9AlnfVdQjlMZtHMpiBn2E4bNbOD6ZF8Ysy/vpAFiIZT9GvJYq4XHTZ8a
UoSlL42D7FarKy5CA1phrJcdWzIYfu04Du6lNgYsPdkAnCI0xh63vs9Tk0YnWigBVW3spsuerRYo
bQR/PQtbOuqj7ZPxyMAcjwMVk+qxgSzG8JzVA3J9r2YodedOxvCz5zU99J6ucuvpQhcy6lYuZjmf
x2mczG1T04C7FsJhgZ2RluY3TVvXNyP2tWsGX51+gCca4fAY/d46MKiPffaWs5nCtYu1gyaMaRtE
zxLgDPxFGIU0zcEb7uCltMkuizqnuKs82U3gJ2s3wCVrJejEIByhWjcNgzFunZkz4KVEk01oO9T6
5rFQY9yvIjebAc2CnoIMZ5VbM5SqIHVeLbphTK2MhVFqXqr6WU4TRgCHqVF09FSG38z2Yv1J4UWJ
T1NnqvQ6MgycOaYw2DdatgPKvQ8KZV1MTau6p0AmQmztLFpoFNFbMI6l0VGONaa0Hm2F+WSftHXh
7VTqWh+WyUlyJEoBj64mUh3z4Rkdy1H6Vubv54x0CSKwBserr+oiDbpbYY7EbHNugWNklg4gSNpD
0B8zYjPc3TwnGCio0l3nzipFP4SNmwcZMnI/oW3oomDBhgKEcMfKNgaXfkLHhLQ5ObEFhgI78cwn
jm7DFNhWTOdHPT/QpFs6yG4jxh+o6SuFUxXa+ZJZC6JTzA0JiraiHsIEmuZL1RYoMIl3BlHlZVi1
LlXn93XYdt1YnyHB0oKcJBOBjWkMQPtq1PfTI7xI9PddEZlAmlLXCCt2QflF6zO/huWZ6eCA7DTS
m7lwl6/toLyvPc+jB+FhRdg1i9m6oXJziclKT1g/YMc67qvw7enDJIwZ+1WReeHctoa7y/FX9aza
rQEDcYgNcaCmHp1zYSxVcyjiXuWnVAGMfkzmJYrC2AqG9J5QLeWFQZtX+LxcructjLo+ukcK77/U
qec6OMMC88tYVKiNKhc14CPriKqu6ihiU1IKQ3wkFdSgIJ38CQg0ex4DzovocXsBzrRoNjFo2SwI
ozSejcYIvFDYsTK27sTzlNCZdCcYQTo0/Xrrmf4gnFNuZgCZA/dLSBItp5X8iXOm5/LALywfyF5n
66DauUpuoVP1mpmeA0C75xS6W2KujeGhGFMFn6obbLlvnJbG+i9tItcWQ7YX8+xmKOY1sc7mYLFX
W/SEpNCdnLG5Kysx0bzRjgK8MjdpGJludWjn2tuaa+/ywDJT026t9SzoIDcrK4waFMjm0pbJXne9
NZ3U7GpMItIYPExTTV2eoRfPzEy0WzFGs/zIOsSlzJdTm1WRf9CjZN9VwhX3Dm7mBwvOSdvtL4au
SeZDjeZAX3jxwOWxIQJjmIDk6Ag00RyV5i+3cIMO2cum9kJr/JVPXpPZiOugb3RgOMCXIrbSlM8G
3EysVSBq89X2gfmaKZLVfciRJnD1BpWRoiimspmu4lkKfAium6nTwNVFR9mACXwbj1kF+HO0PT4t
NLLmUcU+mpoKisl1QNrkEpIzxogMmaPKLhEx158h1vn2jQlYGumIC6ycnU9fgcazGfQ8TG2QZoeu
CZhhDkSAqTOmRQNcgoOcf5skkqRyB9OPwm5J6siZpsScwj1Zoukw+uayZGE/lYCyFjqP9qMF0y4I
Pd6ygXgdjOi9jUYGapSIl3WG7ejxYNfQgm/QkHLapLwIKEJxteQyeZbwDiX7lZh69mjxfFCwQKVe
vs59XHggJSGY7RPIsGxyLD2rg+VY1Z3nseG5GCMHgt7cIBY55mKOqUt78OcBGqQpdi5HOO/DiTcn
2IwzgqKPaY9Nd+7qbG2eRiRGbbu8I0ZFj96qLTV7XzU3Jfi/at+VC33Hsc+rGDteP5phMI5OchvX
TVRBcrPhdlyUUrKHjnVDp1QEIJXDuGvZfLO3XeffOe3ovZSD620NZehHeInpuE3b2Yh2tgLSdTkR
7TgxxVNY9XEbFOkrTnSOrui8eM12EBH+zrqe2vSK4JzBOdXpksGJSgplhgMrfhMGkI3nk8oDvdzl
Y704pyxD3brxBpbLM6OFlY3klyK7YcnDDEtlOQRh78X112oyEE17hhe/lTiFgUTmTg3KJPDhZ8xX
BaAxLXSH7tBnqntJvGjJq2SqYDVHGPkBIp8abgNdeDaPHBPVRucM1rJ3nAhvsGPkQHxi5s5hV/vi
qVIRY7EMpjV42ajAzCrXfc8lwk13AEshenfbej1rBx+PdoyLrnV8C0DddW6KWdRJYRovWyc1uHVa
q0w+jBYSIFahjN60zHlYxIxgv4gpoB9u9mtvOVZx1NK+TmdaAm1tu/A0/ard5fDwX35pR8eDyWoo
WA4rLHMOp9Bs0bGhq3ZaOjbmwmVTodWsdv9okGkE7vEVUM5qOIgFrvtJWBoMisAQ+NjCVs03Blik
gpiZZqleEGNy9eVsPXvaJa47nPo5jZ2f7SYAl1BBEg52KX8BsyR+jxK0H3Fc5l6SaxDstENLY48+
YrHDjkuapRo1DVIvpSB5SRz165Q+q3AAG122BUZNzIgcVJ3RZnMTfRqBSWTAHdJ8ZOpa9jszd0Cl
9YM/AIdj1Rjje4b5rAw2vlif1bmHejOj9KmZank46ht4xtaebgbb90bJVANy8vuXkqZIvZ9no+de
EI2ljdC1dZ2zsP4CuSdmgdO2fie7BRS9cYUcqhWHWjOPuwZ5CvzKaPK1TeWb87D+/bZ7iJiWM46i
PGUIobWsq9txcb155zOTn1ajQituWooxfHqZE8Xqys8R1T10rFsRSIiyW6pHoehefMS6xlmtOs3f
QxenGIvqJmtvG8n9fpdJkQ97x+hmeekyMy/CtjWHhbtdNMhVeaxACskzrll0EGV5TzhhXd45ck7b
p2x23PiiZx6K2cEvUxp6ppjirz0MmApYvQz8bc+zEw8Mu/0muohx+PUXtPvQjuFrL5Mj0hd6MNyL
efaY+TnWXKr8AbW8mWdBOAQiTu6Kjp4SH4kzx3i6XRNgUZQgWk0rs/oZVOicf1RljUS/S6odPn6s
AEzd6/KFQrxpDqMYXHUUVj590ZgzfKQ8FGKXVTyZM25Fg7mRr436XnQNwYCb3KuwfsXJbEAYQIjd
fFCugwLPS+nabo1q7JeriAAPua3T2I3p/0Fb2WOeQxzXWIiNtVaUZhoXKKKT1uK8+zGxpVilHW4g
aIoOMoCBjwyBSy1grJqh6xD6qjRduSz0n+PUYZi4uEXcHmXfjDece3wQwAup4pnOinil3NnWeeBk
ITIsLTbFTIRU/SjSqtdXSzNxxy+K8uiYlS491mywuuq2mB1k4hKXTpMPzavhgXjeTHOVjUejkTg0
kIfLT3mRduzxGYume4BILKC6oeF5TNy+b/Cm0IQ4LwMz3d1fn9z8/7kRt11kT9/biN++tP/nf/92
B/7rb/y6Axce8xfhkTrEBkUyqSAm7J87cPkT+HSb/8+hxydMj63xrztw+yesAYHNrtglVtSRHiOm
f27A2dI7qAUZU7v896/uv7/Zfbu4n30ikSxUaabrkXD9LlKKLByXkhgcEJT9R+J4iy1NnwHQjv/x
N1/Kr5Ok306Ovo1g+uVA5PxIjsLRXEe8ixWy5zwIooobs5ZMkwtV3oHJvgmcrN13fX6uU+v8/QOu
fYN/9xV+OaBPZW4i8wE7xOrA679JGlP4cuJREy+0VApLsud/RRQKwy1+iLvawJKNtwCx518+qBRY
Yxw2VMJjUvbtQdtgHOqh5+usJKQ61PUiQuyA8RwpOgyd9SkBVqCiiFmyf/TCvpmd/vYLfjeYc5iB
eP7arHEC6JPu+zNZsR8clEFpUy7VR7NLN2TqdL756fsf8A+OEuBjkyjTPPLu30f3yqFtFgCtq5b7
q0aLlxefMYn8SVrT7w8iAumgy/Ec26Gl+K4lFMyAiKmgqg1mlgs/u6oxy7fLuP+rH2U9imBUbgdr
f2xtTP3mAsn6ohtjPMSYsfR+DiizxL1X+39ylHcpV5yW9SjSpvHlWxgA330WC7mxi9gCV5/1LFR3
PbR4XPSNml+//2nWG/XflztLxHocF1S5sCzQKXK9/377aRDTqxqIK2T64OzO/jGjnv+T82Ixfv79
QTjruDi5tZhnfnuQCbNxBwCe3hSBOBiwtmRXMhDrrgDXINtH1RKCDM+/SoSZl0mHY5jZJqBlGxJc
3ozb73/k318mqGcFkaImvhPu8ncBjHAlU6/JbeIkE/S4bZnRUvNgksal+pPb+vdfLkeiE+oQxils
13t3Eo02soGcKiZXdjpfxgZVbYXG6E9WrD86isWUnvYXxxDuu8UjTcjyipKMbIPFwablJh/hQD5/
/zv7o2PQ9XVB9wY0Nax3xzByl1wWSXfR1iXdMfPE8PL++4f4duFdr0S+KK55m4/i8W29u0jgPsRa
Waz0ThyTCgADDoTyZO3YA7cvc4ICJm+zEaAtbcn/i/MkTMlnQ+kQkDr87fUZ5Ek0WRMdC6Vmnxm4
MR2LrjMfv/8B3wf7rZ/QMomV5DFmWr7pvLvwRgbkqbveazQ0dulR5LusvJr1VVZujC06wL19mWBy
gog07FoiCtK9/uL/yUf9/brCe7BNbkUwl1K+/6hLrwunolhH3IPNeGcGA9Ajv2nxa5SQkTUqNHeR
f3LQPzi1lunyNAUIsaZqim+/X8/2+rhWLMyJYb32ifzMF/RMA3YnZutDwPoDFq3+k7vcsdYL5tul
jdLEtS3ELcTG/q50YKBK0ELLBQW1OZ3CCPC80W1jEI0DYpNQ+ttKfSjrjwpjt+6/RsSqTGOyM2LM
df4Oczg+IkJAZ5TxNwVODSZ0WHAI9DmBa8KukDIOfmzT9b7rd6nagt2NUY7LzNwOtLTz4n5YbmVl
gjIcd2aZhww1Kz8E+OPWFw4KAoQCW7SjdtmgfrNo5u1NlH4Ac+EA09fbQ+XZtp17KbsULTU6xL0T
vIykJpVJu9W0muNJ7SDZhSAmae5JTO2JRcCBasKa0WmBgoyGU3GpiU87qWT6ZID8iY3P2HWLtCXN
KkNH/JnN6oZIgiMpJ8d4cD+41ZPu9z7kanoUztbC6EsmVN5fzNaNHJjRRgLyxkxv2t6SQLZhqCDm
x0hemcwdrWNiSqz1z0wbGaU/idHbeFinSceYHhkzZAmeZfue/Lqt42P8g2NBulWz3HjmDfNCgAzX
efXzKmgbpqfWYLlsT70Rhwx6dn4S7ZIgZrD4unSYRryfW3lYnOvcZDhr75Hkb4jq2/buYalfXUz/
ef+SD/eeDAMdEU/UbEY3QdjQbKvyQ0/MmACYjTb8pgHJb8lhs+RXI+J+chzRDdrDdhQsBhjiJ/eU
OzuNcd0lvC4GdctEno06WYIM9G3m1RiFjQNolxzyiswuG5/4v30SXSdRdz0VB437Nm+vIPOauPMd
yKBV/ASYsIhurOVGmw+6OYtyawaYeqE1geJCDzkOp4Qwqn482/VdDOhtxMFTYcCRW2+8jcZDHLBv
xK/QG7dQ9/YVuDhhkOBAGOqzjcrezB9S/TJ5uIY+YZklVUzpt3h5AgVoBzu0HPN00P3Jy+/jjHiM
Ozvfj0g9a1gtXUoPsPk8IR5qsy9tC5iuB/tP9iOxZePUoLBAHX9ccDz5wZnWwy5FXpGN17W48AsM
li4zlDWwuSCJrV1hgGCSrnO9UXQAUuJrpvnTErxVI3mqD1DvAaGWFxNWmehGFp/dwgU3l56kx7zE
NZ7KsoL7ju7ZDTD1TDCliyNI3oKp1JqkwuW9r73TGNwlDV/BGEGVo7E3C8AkK4hoOKYms3wBR3Yw
kRKPu967zTGhjkpeTUwKaXzAxxKgRjlLjCiiG+D8FTGqQGhs44sdTQB2kfO2R8h1KFyZNhn77z8b
/mit8pirBia5Nh6iu29XSOHNckGqT8Hvmhr0uR3hOUnGBBwXqunrKG8X67nRgfv0/eP+QS3keSY+
XzSC7CkFW9bfln91T4dh9jhT1awjQB48M2ilZ/XziCs9+pM68A8PhpRwfbj/UhG9O5houzapKSIG
3yMxhn5JHMCn9/oMzI7nXX//o60PlffLPzsbyQRr3e2+38jRXx+dscBRH6dXlvwEN/VPPs7vzxkz
aE6Ytdbo0hL/zdl5LMmKZFv0izADHDmNIHRE6ozMvBMsJVo5woGvf4se9b3VVmX1Jj2qvkQi3I+f
s/fafxQs/mSik8MqsKpbLPlzwuSYifq2cZugxqWdoLH6hz3tP2eL3/8mh43Mc13+Ikvwrvx+B8En
TTqYT4zIY/hVpuNnyE/cYFV98DWI1+g5Jq+4YDYDtRwbMBPKGwTr57+/sX99jL7FIct0PMzHHjnZ
v/8IXUJfLTiUI6T6SMWHIQFCyV//j2tYFEnWIhqgVPn9GmOfK7rAUIPcvF57E5h1X8DRGP7hERpL
yfX7DaWc5a+hQHA4Clh/VCYRclGn42S9ah3WugHlEeszyTh7QQF1QC2cwNtgtEuyZrfL4FjB2iVq
IyblJ/2nKvSvpRnX5yS2aCp0Hu8fD7ei8dtlNfXE4GYMV/pnRmYz3CbnYHb117++vwTUUhyhFdZ5
mH88Q3QLkkkXtdEER3mb5wB85ngq8XFr9f7vL/XX79C3OW3ZtDcQFNNo+P1RRkSsdnzoHP7i3jkg
eCD4Tmcr/39cxeBvYRGjjfJnbW0MHV8ikgfEpniL0l6Va4vN7e8v8j/efL5gYaN1cDj///nFC4IZ
UrwsNbNLndGoGWhoKfL84++v8j9umOsunTWD2nWpmH+/YRDH0sZdriI6/MK49VNY9f/6EvwJ3C7b
F77N//x+CYaFiD5rln0IfQis8U448Kb/5TV8XmLuFuu9TQNP/BGerlJztNXIK8ZmsK8jr1vZJVSf
f38R27ANLC/I2/U/2xdiGgoDLmG9KgY1nuMywX9KXNy/3Ur4U2iDm7rgTWbFW57YfzVJEvTLDDU5
v8zzVyzu5b9e7fj3vaX3BpXNEs5/TjL/9e+3Rj2b0ERoXDV5dkYuCHvbILYiaxvxD4XGX15hfr1u
uVyDS3GQ/2NhxaFWjAYAp9Vss5p2dXhLftYbsZT/8D3+r+vQsKVva3E1OtW/3zImzgP69gq5Qqio
jqFe7RlEJYRNtvk/XOov3wt/0rKOOdw66EJ/vmh2RR6fnVu0yqIbfWZGC2nh79+y//XHYNigRjKX
/f7PXUL26TT4M0uY3xjBkL6I6Z1mwj9c5C/lhG8IOr+4I3BxOOT0/X7HJNrM0UWbxArGkbInqoHZ
lmmxWqpXTWv+4Wp//ZMM3PmuQcvIZp35szqSloqI9OCVRpx/K3xjL530GMM/+/s799eKhdM++yof
539Khj/byw1IuVbLuXVjM0wTQ8n+w7LxN+mS41pBg7ayF8IU+mGw4tPISFASqzYgmYmMuXn6+1/z
lx0WtQ68Lrp+SAdt7MG/3+LRpohLM6psOzJeJkkYYB0NOJMK8cTw8R/+9D+bHj5LhSfoZND44KmK
P8pDTUUmfnR2JKwIgT6h+vLEdDM4Dhmt7ZmZ4kZ3639YqHhy//l3/6ukYZXCwUUyMOzCpa7/c5My
BsNvW7GkTgwe505m0vCUnHrQtE0d57W2Q/ft4tpCE9a1FwJ7wXJb+WSjQELzrSP8U2VLGpFdGta0
7pq2JwkMnwcpIUmsDwUhxeFYb0SZShOmUW2jp0dCMMLlXdn12Pdsv0ygjD3jEkwRiYY3CXBME7VP
9ey05UkvnWH+SEl+7za1N9FWhIbmeCRbFTa+/SvGYkiDUKDDfi9oDkevOc63cUcyaV2T2WXWi14o
JYzWKGsN2Us6AZ87kx7iDndWTcTaFWgwAclV0oby2GfZctYfdO0mGnzgwb07umQJOwpTqO81qVgJ
ZesG8h2dSM7GTMc7P9Sm7VTh2Y7Re6RHkyYvoiP0hgUxMk2HW8kRzEzIdc+rDbP0+TIwv3+QY9Nj
rpsXS6olNB+RDjbVbDGs4pzx05fGn93eC0q4lWxVCcrDBOZVnacwhnC/yjBP1nbLbwhgsLTDIdKo
3dZIoTDQIgtJEJbrHgZeM9NjQL6TYSzg93Tjms7ivy1b2PG4ozoScRaD7mLVhV2Mazf05Ui2rSUf
kQ5e3B7tRAb4vqh3daesoJKInPjpyTaa4nIbLYbguB5Qxy4mYcSycwDcqQ94gPGh/4+Z2IjsHQ4L
69wsVmNL03Ede4sBuY5NtcWwATJisSdjX8CRjsgD0oPPx2YOxcXOKkSMDcweG7kq8hfg/2aENK0q
EbV0ixe6XYI3s8UfXSzonHHxTBPOl95Wi4+678tkWy3ealx85RUEy7QzFuc1mjnYvnPTklybtxiY
PXmc0CAEU1sVd7UxaJfF5kiHA4dTuri7GxLgg6UBfBp1+DlFRS/JVf5EGt/cX8CxAaVGlhY4i28c
SZ35006W+ZiUsf+Y2SkdhcVpnqcw29rFfY75i9ozEtqW0yOCTX+sTdI3/I92ca63g04KNrSFndSt
DFMyDndb9PqpMKpxayz+9yEeKlI88MT7WGVvaz4OOANAdrLFO+8vLnryh43HcXHWy8Vjjx/VWJmL
7z5cHPjm4sWPG1z5SCbpVIH7Oqqiw7nejFiKFh+/tjj6S52eiEswzS3KzX6XzsWwL/yUtMoo989p
bXVY8CAEeA2yJDuyZjI9S3QD8UISwNp6aD1b7XmpdDDrEAdw+vqnfqEQuKH8sJQId8PCKWCV5M6B
XtpghCGvkLbMhcAIet+p5Tzwb5THFJUCZ1hLf5gLq937CxXBZGX4MAvhHmhSpNskU0jGFoTC0PFh
Rk0K9G8BLOQum/68QBc8L27eiwXEYJvd9DAtcIYZk2ygLcCGlrp6Q/dfXLSpBOm3gB3MjEiKcIE9
zDW6G7gUHlwZUBBTX9D8U8LdkfcGKcJeoBE+oik+w2HeTQtSQutp0FYLZkIrAE5oI5ErCKfVNl5w
FPUCpjAXRAU462hnzNVwzGuVBG4+ZBvkJDiU2DhWhou7KNWGeDewJh3yVnkHTDYaKx1EjEykYlcZ
UDKGHOWrjWOIM76l1umkyH+M0uGhlda0jxfWhlyoG9nC32AuXpxsDrVnG9XLJmn6+su3WUBWelEk
6VaYg39nENn+DnonBh/ppcZxWMAfMJQYtPcLDiRH734jF0QIj0ie7AUbUhee9tGa4FzTWgG1RcCK
aylz6n0VdvLNXfgj9UIiSazYiQIOAPnnWEfxjz0PusH+L/ybqnVTDM5p8WIsuwcYEUH7dm7jl8r2
mJaNdY0VZIpF9IIxC0xvpA8g8ZEJRifNlVC6sMxId0+bxH0Cl2Yf2rIieoB9nAXGiDz5VI5JejMP
4gURZ79VmgGmyyQ6UBiN9YmgkCwMXgyI+QuLZgyH6NlYGDUS2fL9PCLRmejCXLWpz97iyjLsVZmF
TkTaPRnOXuORVhrBfVdp15C+kCLvDoSFShPYr2ddGaMkzwiE3+Ikmh4Bouqnqo4R1sanucKFCmrG
W1m6jALXHS9Ut8Q8m2uXLbOpnEcr1RVvVbalSDxkqgLqjCQOQ1swhc6lgAEsCEtbCIFzjqwc6Nfe
0wiPInHJZcq6thbwkNHJpyGUZ7Qgx9DDymSIpDn1Wf4CZHYbud4tQqAc/IaHqKoG8g31X0QzDnts
Toe4KU9DZBR0p6H0wGU4OcRlAboyvE2s0nsjrR4GuxkIQi6h7Nayfe/HA04yI0DSDrCJVy5S59Ee
Do5dveRT/DJrM4iaqcaLSSSN5fWkKDGroNzbNo231+utFZmnwfw0QkABRGDae9jFIIKkfaIZRvoB
iI/Kj9eytx5HRaxpV9xEodoTMfFElYDhAJlXSURFmN8P43Q/C/sRVMVOo5ni0kfRiP3soV35+XSe
FHxEdMPfeD7ItlS3fQhCFSTcNnU+hS4JsUMLRxmDrdScFkqSxMTe21rFACfe6OW84W1dGmADm1ea
8oNSkFKjidRV8xakSvOOcKAgh7D0AL+3kO7qEm00MSqAlUaButgn2gN4PV1tyEyrpGy/bVhu0PLN
N9Pof4Y2fPC7iN63sccreTvHLFtUXqscfGm7gHIRT6droxxe5QJa1W3txSnJqSIR/C2BZjcZ+WPt
w7dyECnWGC3IO+Pr/eYT2bYpe3cSEdI9ausQBzKTLPcFKQg7eNZ8tFW3UZQnOTasNYFVxUZp1dkO
CZkyRpIvRn9T4y0Y40XsH38UJol46SIZA4XUAQWgrbeOXMaKot64gtlCwpxkmiEPtQTU2Z0f7UNJ
WAOqNvQg6VlFuGLqdDrzSm5mK1yVeLlXMuMhK/PS9dbB8rJ7M2awkIB7WoVNduo0Qu0mi2GpaGA8
k/D83hBo3VvDiSCset00PdOWGCfCXJb9KoYZ5Sn7sRj8B6PGhxnFpFf6stLufD/1V6Erz5PkjyTu
o1IUjYL0W70hG+pLSd5CHRB7ZvwCPLvo+Uicjv36YTS7z1JWTNIi5a7tSHv1RuexqBUARHzk05Bv
Y0uR8laqWz91dn4vYD9Bz6Eod7+sZniu5vCKIv5zCqneAAEfzf5TQjKhJRPvZjJkQilW5sBkh90q
Woem+inLNw3pOSv2Yzl5l9LPdsVsn4R6LFzgeEZFDi0+0WU5OfMfPLAqJ/Sq6jtHV7/63LvO9UTm
VZbB1UxG3sNEf00z43YY3QussZ9YFfQh8Asf7dB+qr36c9SrbFUvKQ0c6k9R6K2LOD5Bmthw8N+z
YKOzRj0NqiOqOrGNS/MKyeo7bSZ2rxvc1uvSP1lz91piuDU79ytMtBvkrEc5jkccLi9jjSlCZofQ
5AGgPawBdUG+uHMjOLtacUlo5gkQlhidWaQGXkA4zIkM9PnZMRQIILGzOijz2mmKbxv+OoMTV0rR
yNyPHE9mRTDZLGMdme5akBqYVg0//SaPytuJhIxquGvQyFZzvscptUJJuW0lXsx4OCj6IlELLJUI
zsFgyUJybur5k7/EOLHIGWUJwl+j2a6vy7aaViSWrIXsGABb9zqk+XKpzds7Fb0PS8Z49WxSjUgo
LQDRH5ohO3YQOXhhrvqYHucl7g7OVuYQGSvG6Nwn73ZKgAmfVTNvexDhfa3tQYDB7PN2lV1eIMZe
POurS1ClMTTNfRh0QgPeWK6ke03ZOx07eSyjLw8KC/ispyl33kmMQZmek32F0zVUzn5oMbRIjgpe
h4fL/KhtPUhHGt4wgPXoo+TE0vsqiAvSWLqnQaLuhehXae6ehLB1mmVrx4efJHjf0cQmuvlOK2XV
5yd+WowGG94+cW1XCu1LWaKcjt+pxrc2w5JRWLuIRNK5JbyqKzZtGWMlJXDD9Q9kBq1GkO0eNaPZ
R2D2YMZScuRSHhrSaLCBr1iXnymMDgONGQkyuvfOKQGrRuasOx+gv87FgTnAzSNTqQr0MSah46Ok
3rCjn8QEoByFW0OpwPOindT6o6m/2SXG1kVAbcltIqyVaN80caajxuMfmC8+TWQ2DyyGtdyBszxU
nIsKrBi4SQICt9Ytk6bWaHeNQ/yQP9301bVAeIDfrw7i+Ey5Rgik+Gomtj22lbpouJWQcMkbmR7N
/pyrx1KBawDEovZzf0jHJrDBPGKfX3GiX2Yiu5QSsoo+mSRg7grX9gy9CPkACmNJcmXmHOe0uvGs
cutgf/Hj6BcCxvNUih+LiSznIWTNRrnuIdtFfbTvcuPJLoDj6jCWmQEsCpThy2LdjEjM0oec8oFG
FOb5bdEwwR7NGT97m1L7w1OrVX0cIuhEngfTaYKymgGvq76knG7b8aLZ1soGdGE6xDknGLZgDSYC
rcUkdy17r6UeQY0ySPKYrCpY1Uu7WFkgJQ0C6TghChIhC4pM1ewmDsOs6WufzBEMOeuitdcApw95
bUPp9zbw2wlHrs86UTqWAhAiV1IzAo9Bf0XLA+/Qfu7eO79lruzjXrpPuqtN8lCS3cbZRFs/oAbe
GnxFXlucWx9vwU2EJqdtBrJhOxePiROI+rZrjoP+ZPItgu22OOlJfz1F7ynqbc14kdVBo3eXqHtF
eRHdje1zmd10lrmx3AWv/0nE1qqmoPKMDW4m3iVrgwEf9/sV9R286ZXNhNtUpMkUoIs4YiboLkbA
EaZV7Iio2raRtZlxXZsEnhaTTlEPmwfOvglJzBtAvqLwyLSVzPlCsHRxvnywCAew3LPubhn4ZHPJ
OOZjli81wNVoBlNC6PgYc3dTEgzIWNcIA2sOnN5WYklzFls8lWujgFl9yptzPb1DIFrX9Gzm6Aco
ee2ym9xAcyGkcY0YZwW2i63uxoihR9aA9jfu+CvRT314SwiAM24JUQmGau2qnZLgOjnOXaCorJCd
cILYpigOMMvyf90W3lObPzkygLO1cjBCZdgw8OOAcLRoTAnwTcgPBjhN0r/xAHVB2j7SBVxpVnMw
sxILFFnBhU8DQILuHjeA5k5ScL6dhmNqAtUTzpckMwQg+KaJ2eupP2vmOyVftokY4MtBNTJnN6Yv
dqMHbGE0djjiEbmgk6gHdqvibPkHvjlA7KtFXtJZxNiazosf4+s3s33YtEc4hGgSsm9IX+uukt89
KXeRiQEpHpvubmhnIqlq8QBwZF0JEOzDEMf4v2b1YUV5tq9m0Lr6DCs06o9zntIGICfLdtO7UjrH
hcfpp9ElEYiKRncfwpguwAtT9tHA2aIz3eb+Pp7uuxAgpXiyanLjyMylgJ/Nx7wkTU5PN42Tbn3H
3VBmHuMWVJvs7lwqSaj6HMwoCojuQDJ5KPRbjzOZ8dTZ+PMukKhXZuvtgZCxDv0acWX0lgZx9m0w
CO3Fo0F+OISKlxb8dYHzDVnHyR4etVTboGgMmO7gz3aPDqF77hiAgQ2U/aqTeQsQwoBxAWoyAMps
VfvCeYWV4oYISAFXYOIpq7dOe8FqszKSdoMJmcwn/LkuCMjmvtKXr4z9Inqs46utv+rOSYZgSOhT
ujeTgRtJ2/Q1YQ1BShfRmI7Uq46rYLnvDOszg2RiN4iF6Pm141NRT2tLZId28LcEcpAUBGu9IIIM
9ymg0n7eWf5D1foEm5BhFMEyjPrTYH3iTdknBKSlGNV3Ux5d/PlN1SUEC3Y5IKaJw/0CB0h3pbRv
JrL4kmcXNIrx6FWvgpWfjAqFgcvxcCg/OryA9kLF2drlB+xjsoc845UDI6RkYpCI/zguAXkY9/GE
74fx1ur2rnpO/Bsnvp3IXfZh2Yz9dvFN0gXAeyhI5gDROncPwF9XNlGHfn6OGxrDm9Ypd7yhChxn
qFyaYnz4bKgu2RRLCzQv8eDm2E1Me2uk0wOmMG3tZ6EfwHIpSVj3XmHhqUCQnsM5EiAf/RCCI2HU
+s+zGO71inMp/fdQg+gos2OjiFaub6uigj78SKDMMXfmu0IHE1np6xFcm5XTI4WiHxPTYWT+r0Kl
H1AXdxp5kbmGaA+sqP7ai4OhToj/1q10AIZs7Q4JLrYbeW1cuJiHtqXg1O6UdY6aJ9XejsWrlu/K
vNx6Zv6ZxLyoeLtOIzpQw1QrAkjWguBqgDY7OuS/Jkh0Se852wytVunVTy7wWn8Qe0xKZ8zPPx5Z
vq2t7insjgtpUCLoZJtf5xzmSjIhFPy7KD/LGpNaO5CfSNPT9GgqTN0Klw5jwBGbW3bo9C/L0wM9
cQ56TRFUT1+wUR+GcrjOHqqWdt45GrmQQ8OqW4mPyI3XkeqwAeFL0wy5pMGgPuwBHrK+uO18VPAD
EkzxK1BqkVbf9dPGALvcvY1Ekjj+KjERrXQMY6xoOuQNicfPYU29NAXd1NyKcVyX0Ms5LFfVAMs2
3VTaFPTjfi7Ue6pR/CPQjdpyg7P/mNFkwwv+4oFNVsbWz/YpLGONHBdZ9oBUCyryBtmgn+RIsfSb
VNODliRqAkBeC1zrmrB3vS6Jvv4eaoC05LYUF0y3O6cQK286awZEP6DZzYHeQJDNpO8SsTKkjOb1
9iYnh7smZcc8+slRC7cVh8JsEmeowntV0/7QWVGMS92R4TVDl0lsMm9ndpJ43jQdKPBMvzMcRbOx
eYakdrYJKzNg9YBHbKLnPM3XiiOu2RYUKHAYfe1q9WRDUJCFZrzPuo1dqjuik78szb+r6pESsUDt
ScMQ+4Nw+3Uz8bKazZmKaUdZKueQEL76wWArNzWUpna8E0kdWNI6wO8HBUg2TvbTQ0KP21edCmJk
YEykmR8fLe211Lu11D7VWB5M/QutyzpX6VqjIyFrVI3XygWIbVPmW+FRJc7ZXLSlnrGblDyM0PcH
jzVTvTBAX/uuuSVjI3DKHH9pAlodF2U8bRuLTLa+2xcjzFEZH/CqPaVW+JAAvKjnrRl9sQKtXYNQ
YEVa3cypyqHyBjU8aGcE8oeCjO5+uO/YJPTHUroHvn3d+9QpBovutZXXyubZYT6Uz3HW0hPpVyk8
g6KJnkJCKnOiIkny2WQ26GFaJCX1f6aAx7sNMdbnCR51PlHw5VbQo+LjXA5IbTViHsxrJ2gEeeDq
zWxvYvMoI4OtSDsQrE1zEognMIL6ZYqvc+RQ0XAWYbqyzAsWd6ASm4bHbODK6ztydHAsjt6x5QSD
aS9IhOA0/UDEO48n34Q2n+PAnVKwuoRWPRn+wwhWIn3uzMMA60Ooe63ieGpou2iQG1n/crXuUsRE
ThYc3W3xEnKroeWU5Yfn3nsMqRrE4GV1O9YMoPNr27y15hy0Dm/2+KrSYyuNfT16gSMbfs30Tdwp
ybc2K4i7X/ZcL5U0Z4flzEXVgqeL7UwG4D7XtlIrGxJdoZNPA2BrpoGdTO22psvfTURxGER9ipgw
+flGT8x9wakr1KptShgqR32OUgXrVnXKPMZI0tnBx1uhf78Ms/PELrHOYy1AQE08WXLA/LrJMtir
Dd0W9Mu4xxFNVytSjwPOocROMpWy75Oak2xDrKk97gs+cGALzzMy2BlEWDZaR4xSTAeiMzl4B1Id
D4h+riRkPyawshmur8cFAzIhK6RxkvkgNYp8E0u0nr63SfJhg1F+V5vtpnSyDeouhqRfOuUumwsx
WG0IqhcwbOu/pTPpt5mx9zOc9oV/r/u/7DS5Bcd0Gym0DLZzWMTes8CQwA4/WQVnT31DSCGkLWst
0uSQ6eG2D6egibzH1GVtTLQNJI6di0I4Jz3R0XO6vtEU3c4hoSxG+USDQ+A6TV8Hx6XF4XJaaCbB
V+cbmPu93OHlzr6bCigqcKlqSC6ZOT7PQwvDrgTK2SBc9VdFn++sXrxrKYnU5VXa81Oef8syIlNM
vYzKZD8SN5ETrxuRnvQ4ulWqPXS2/xON/ktMWrGEmtxw7JnTu4Gksih7aHHcI/P5Uk7/3UFx9Bxj
A6ppV0710bB4gnVDQl6zjqJrWZGC5y/dUY+irZ0ZDrnzTmYgYnNcrFZxArVzU3XNVU6SttM5s7p1
S/KOX5Lw62zxx2jasJ+j8ujRV4orWuh00oRl7Gj43+P738wUrq0+0PcVeHi1XTY2UBVe6+JucH4l
vn9kwSauAGrzBOXWUWpjjcOR9eQjS/iNLLx6XX3DfLvNYovOZM6wljed3kPK7/AoUfKh3PeedcmM
Jff+Yih/IIfbpEYefyrtI57p4Hqp+zaTvNqZECe3ucNAovialMssUAviMX/uWExIYXrLQzomBqnH
egQLzU85B4BJN18kn9yYfXd21nGm5yCZcBazHQAY1wRB3nLgmUaHSjtDSL4hlvI74tarXl8jd9nn
Uduu6G5vmbnsJEnglWMHFcittPgc8qfR4sjkNFuTAZcKHZL16oNhEaPhORf8v7eyyoO0ce6EbAOt
kse5bQN3tHaCRO987K4DEINSh1w+1xuDXip70rk2msCV9Nfq+M6kpeEV2jetzKudPackVDTPqZaT
nQzlmyU9MhS1bhtY8y1AYKKcumr5ggNLf68F+1lGpKptEHLL1z7n5smmfVASguROMqjcEh1tuu/8
dM8OEqhZbYdsOIOoPWYwWAp1T8LQwYqfGW+ty6nh1ibUZ/jIouQ2yRe3cnlrytdEJxegH69V3IFB
X5o/0VlLgPpk/qMczPsoa/YmrXnFoTscOBlN1qrVPgeTiSkpMURQHe0EIEIed0dmMCtJhWYl7YMQ
lAIc+iW9F4OyqfS2DjudhqRetNlPTpEnWb3gvCc0JACCj8esJ4kVsm4DU8Mm8IQ3wrr0uX3UjYwQ
G4GxJNqSO9X29kp69GxtG1rnPZ2vhyzsiLUluABtfMo/iC8laZAqtEyC6euZMIyMWX/TQ2/VOKgp
xmYDnIBTfkrkXMZP6JbMtqI37rH7H/W+/87m9qNPh4+M4Hmq6cKFqQNWZQQ6uspE5qyGfvrEEXLv
j/0NvDx7XcxQryA1E8uS0T5inrOgh8OYsZy9BTM0cROy/ImEt/a2nKbwNm6qZ89qtoWBt84t2eqL
BlQONOLW7H71uJDYN3G2QPKcNmMmngBafWn1eNXi7Nup6ittiO9xjqm9kf9tGwWviZEtrVtwMyTs
GB+qh5o1LpJd1Ov9RjSKICxmcfuyy+ydYtw2STsAJfdYyx6Oii1rTu5VvkMbdPaT8dZh/h80lvYl
RHbnkHC9mzEGlTVQIk4vAYoN4nosRGweGL9dmVnPpmLxnVS1vNaNsfMnl7bqEu4pYFsioW2qBxUJ
2h9+D9CbBaJpzZ86I3UdODQT/EHduC28QBlB1Bygfq6HyoBdCgwbOiltdp0vqyd6q7UFr4ptv0XJ
tPOy8K4v8200V8dO6vvYZPUtzScGe0yAxM4kQolYDDcwjPEucjIiTa0HKWjfl2yFlmp+Kt19jCLz
GnnJa60T3Nb6Nautrh1jWT61FL2rQuQ/sIWehVIv2FRQmmTTs9CT50JaTlDCFgLv9OYmwHYyoz/B
iH9GwYPGHFq9VkTALKJb20PPgmHh2BMAg5bhUKI2oCnuPjh9dh609i6Z1NmRw5GBzR4tbbVLi/kl
qXIa3l38ZMZuMEScIgdtiwvvQeW0HsOamEz73VPNnWZ0G5H6d/pI02gkI0o0xzAb38ilOtdVSwcG
ogEtSRG7B5RAVw/eYN7Je9vgQFobJCuT8XQGKcLQ0dyOGGikUmuPJY5+yDPG5DMBzQ+VhbOk1xnH
SmevLKYN9CjYz1BUBEZfPHpRdD8khFBJ0ztVbf4RQ9ox23KNyuOhiucfZiG/rGbaV6oPOlG/DNhh
oljQS8vsx0rMj9PIqMyZ83ClOdlZC1lxBNIORxjUX+GLr4x7YWC/8rJbpyiuQx5fVBe9F0qiVRrP
5I3sAPgcomqut6Lvt6FJK6DpAW3om3aGdZ8YN7UZ/dB3DWQ3HlAvHVp3WhCq0CpGTLdtR0lRUOjE
vUYrUL/JmO36NREoUX2feSTB1eyvRrKT0jukTGoLbTxqmblHpxjgNwWL2VGjMkUgpuysaf1bkjvP
jcfwwcTMQ6uQLhqHOAyVt5OZcfRKdu0wbOOpOlXEAzLmPYAROca0fbw63485jEp/RGAw09/r9exh
4bqXjM2j4bNJxDVTe8IsNiMGrYTdz2RkmHv5unQug6T2Jc2P/sUFaN+uKLDMw8N37O6pjKvDOBT3
aUYnhSozwtwFhOsub74TbEeDTVgpEdK7sYJ3H5b33pTfsjLtzaRHDiReJeMYrXKvEOf30Gjd+dUm
01jvn3Rd29Z1+MvTIkA27oMy7xCn3kRiuthDelJM+lQK14YjATq79Ty5943INrFTHEqtPlZgAVEg
MDT26qM7TURZVmvfP5cRGX+CVKypDTpQcyF1YOknOxPUmpNAN2p69neLbD3nHCUf5tKm05qjIONc
M57ACZcTRNUOZQjDhzgWG3eiwOJjJK1gnfrMzHx+D80S62GOOCcx2av8F53xsKRnQBOa93nCumId
uzAklgE4UGkGLbto79Q7HfGCHn4DYduOuQXrTNsVPZUIaW2l66xR5tM0GpDv0AfP6NwtZ6OKXZJ6
n4f2I+rqPYcPhG7NO0r3orvvTBLXPuiscM726L/orE182PUPteNBGs9mUe4bLto6D8C0N4s6Whak
M2TvWXmtWzR7k/UmxvPU82gb5gyoODPCaeOUoaOihG5oRKKcYmvZTlg4Vf6UwHyDJUWPwAVDxWQN
Egsam1VYCc6Bi+Ez2dcmMtxc9g8mODnd0A5jPh79KSbkl1BPreDUJhESEH4xo/cSZ6948+iotxVT
4BkdinGO8ntjznc6xzpRkUVBTPYqV/RJKmq0vKN9wuZOlVvC0+a1XknFAo79bCJrqvt0hmeUF9ve
eVxaTb0nV7bebyPbP/uFvhe6tgYme5LU/RVpxxFxLmH/2RinTNkgAPmv50+XOU+kG19mj1UynWkZ
Ml1rQibLHTo1B9+oEX0YWfxg2IrUw/SczM2lmOONPbLXy/BQ+sXGiySD1h+i21JV3zuD/CT7Z1Up
Ah3mlFEuccq0ptCUnuB88eVm6BL9g1eLHbL8YHQfYV6v4XcDVne3eoujdVBAe4sDsbBbl6/YJTDF
qd/7+KXwxkNCf8UgLNOsER8uVcvEHtnSBh8oUSF/F8giUQGckYkdo5jUvoFldZp+sYQF7OBnci/O
OiNqRHOReEWkpqmXwU0Z9aWBrUfbsXWvTTq+k5xJYErdHSdxNSbnh9XxqDNhaFP9ogoiIplYmcW9
oX4c9CoRR5kxPTXletE2+O3Fz5h8T486lVa1PNaq2pdTuAGksMntp5BhtXqAhLwey0tBM9zh4+rq
aVonZG3B0jGeR628hlL/IHxqm1RENU8VStqhb2heGi/lvFga/WfT5Wb1mtqPpvxRmknuyWlKR0ZT
Mc3UWIUsFnTV0mztlqCGcntFPybXbl2PZlaozoqMOlgmAfJrlByCQ377MLf5fp6Xic94KmseLtDE
nMk4YR6rVBRYeJfdsKetJldusZDCKL/Iy3gGZ74eXfWTWv6mcJqjxyyEN73jFSwq/9pXqO+bN171
a4YYr+bRJgy5VZM8Oq24huPEZ0l3m0yqVRnuIvaXPMl3AxkrvkWa5kNprZXCC8/V6TCc6mifdOcU
7zWmutnfZ5xyUk4J6DomsB7nGMdqp+9pXbb/x9F5LLWObWH4iVSlHKa2JMs5YQOeqOAAyjnr6ftT
D7puV98TwEh7r/XHdstFPRRr8ayTEmV9yNVDnz+ynlI/CXaKyEjlV4MaMXe6djHILQYt4fyK0nUL
Fko9+aBc2vHfLDiV5Yzyl0Q1PNF3ECpQtpC/00XiZjcy+ph5/ZAAoKhhnGsGsilGt+ZUVKi6176z
6SMFPWl+RfNASAs4gHRJuoPSb0jA5F1Kl5bbfwSbomxEg04+FnTW9JAriGz9Pmt3gdRLKd376ot8
6xxVB2xdpIebIXiO5OtIqHaJ8tecTrybyvdI5G2N1+UkDL3XGC+UDmJPfUuzyizKTeQZZWf6YeaP
lguTpEcnMs8aC6VWePK4CYK9km06YQd4vkp1p4hLlsGN2otUhUznNnlj8lqr4WzzAPsGFPdLqK96
9FeM10rbVHTM6Q8tOS1+WxrI07WBx7f5ERQiSN/p8DTEI2NhNv8zU9rDMXub44qSsFQ5DDnAZfmm
If3KrigEYoFq5uE5lGtGu1z7iSJ2ooNWsU4INDw0ySZ6r3yUnSQALXKhaq/5j1rbEtCbEh3fu3L1
yfYqkqHgV0RONq4VzU5dPNNiYxQ3sr4chGG5STi/3cAE02iKSk0QYDhrJ/cf8/hnSM54KdmpjOqU
ajaZajnaRxRWhnGcavjfj1Sr1uLgyAWy5nMqP9txI9SPLvmaDeAD8zgPx5xQ7+xLbFS7mpwIhl8O
37WecBiWhJxb851i2DQyj1kfbHXh0mduQXMBGqwLMCp3zdp/C7DuK3ZqXboxBrH3uDyh2ZWIyWqT
669RHTbIAldtsQtBKVJ+UQs2JEDoxIQHWkqwHlBkJ1dp/EAc1DbbLrzTX8CrFUzH+jsfsK6Q+Lbp
CHjxl7h4tF1nvXjU8obrsqDitKDHD4o/3GaCR6HiiuK1+KN8z5O7r3Gy/mPJ2epQZ6hLfNR3iufT
vauCurw1yYUnxcBvYClnQOe4dPm6tNh3UxYdjbltcGkSJqXvaNQA6Mi9672Yvct8dUl4TYpfij4A
CVThopUnot2Qf2ZuKG/jYds2hAeQCR7tpsmp1A1ESs8lHva2b/wg1YwMT8HBj7weDPqQ0AdOW41M
VZ82DnuFH7rF8J800wpyHTqUmAekVMS9aqTdiXxW8V7i/vjXcckEOyXn6j2N5kPoSZuyURiFZwEF
WJoMNi9OmbIWOUrnjLU30Llm5MdmuiqgX5iqkKzNz1Fw/OVYGwAbsmMPRS22G204tFZn91/B/JNj
Hgj/oE4QQztihLIG9JEsh49hvhCgmoHyjup+ebJQC9jDcu6VTwttG0UTBC/8NXJghxPiNjQjAbO+
OMI6vGn1vp9eivA+oKQp1F9l3iLlqKkdM5wcr/Vk0vyOkCE4St1WQV2BGjDk4+ABScyLFOyl4p51
xCPop2j6F+eHWj5ko8+ycBSJLjT+TaDtBi90eE8HV4ad6VehfjatJwVzVJfowKTDX8L7r+zy7m51
G0H0dOmmdYcMORSDloWNPSRaati11BFMiNwSRiVqF6bjZDyjwWNWKnQ37+9RdxjIp9W+0ubTKN0+
OCfxp6ZQ58vC7WjGnQg7/FF19jXxZKob/i9CHPXEv/rJlqo7FPtpn9mJuovDQ0+bvKB6I3KFWfoY
imNrQeT6a8Q6k7ktkGPjheCftShPrrD0gfaNIxPnjT5qflJMxh3xT6TYvtlP2lGzYEXP0/QzhN9U
ZKy5O8kKKYiNJNwWeQ+67MzOxEMvkqcivsDDdVoqTBInVgsCwvmnnU2alvHvsPTf+2hf0afJKRqz
FQFjgFb1NamChHCnFyCtfj50Ku4EKOV/MR0VxDrMnzg7FtEOE3NPs5YDZGWITqH/I2bbrpEGdsI5
C55Z+VGG4MqwNX02n+LCrZp21YEZckBbwSuUv8luy9OT9v9ttE/gSa2HpbzNKgJhB1x+JYTbmea6
NLvV80cAKUXS24EyOzuIrz4rf4SXN+u/G1azgFTo7RQf9cAz0w0RvG7ffUw816P/mZq/g/gTKV9k
E7sZm1oTvLflpwEhY13HxbYCsovuhwimrdxsxoAcsndBJgBCFteC7vHYoV23R+WRIOOsVb6Lng+k
eAt/IMibWzwOO7PPXa7kpj9kxTcjkK1pX3PyoUKsIi7K/sU4joFKVmC+NZ09cuHNVYbTybJ97Tzq
sguTiPqeOzhs38LEcKURmeb0GfSfWk9d9DzaberbMVr5RsHKmsyrWTi081vOwTWB9DEA0sERWxXq
K7jB4WkFBgOE7ASmQhVLcDBYouocfSINQ+WpRAuObiUtvOFGguwZ2qIQzqT9CpR8ScpDJ5rKUI8w
FsqHIf6LeQ5TWuxz5WXClfSUVWAPd1poKvT4BhIgwuLk+E3PvCbBE3Ox4ofqn/X2jjIjjXeK9NAb
22z3NPtaUEI9xyWHIvy+iHDJCZYQ2ORAY6ubW6SzYIxS/iR+NAA66yDdy80dpTcChTvJzOhtNzP5
29UwqqtW++PDC+OzimRf1Z2Wh3RQPvl7owOttCvEP5Z/8rOrbz1E5dpqW0k6DfqlLt+zwQ5MN8g+
1PlY040kOxGFmmLAcUhLD1oGFvSyOAgBTKWylgPodi5nj+iZ0njk5afE0BlYIoUllJOAN8IeyyXV
4jKmNWhthGihsevbk1nW27j9E/qvMbiWgOcjAzHuiyaiQEh1es1B7ZMMJj/UVRLDEov2RKZN5IjW
IdLe1Y4myy50I0Yl4u/Rpf01kMG9eeVxQn9V8VOstwKTNL6GE9GkDvkmUJW4Hld5/xCFK/yPlZ8X
kasPrL0QDtccA0IkakfFVL2s3Yi4byRGsF8R8V766gwitOHl5m9p+LJgvkPC0fV2b5bvOhCK6OSB
XdEczwLGQIirFghGTRGsj4k9CJSqvk0Fbd54XGqE1/HZjxW7g4KWfH4Dx3nIrUFMTHRvww/5PW1c
VYepSLiBZTJs7Th5Kxs4+fZ3zu799NWmuxppHHhPqJLyYp2U8jJrP1NMfMzR1L8XS1RzGaZvCPV1
OH2o09b0HfxBwXJPQKEK0zMiXiFk4VwPWFlVYCVzvYggUNDJ227ciyj0Y2WPCsEa/yg4If6bTbai
fXVLKOkxiigXnUAzRptdh9SgifYC1avA/QleSiV09+gxg/okIGieRFuuqThWnqjJotATkNiN4NNF
AkW7cDx1yW4QUmjnTZLr649A+szYX9FQdOhvhoROm++5EWzJ+I45o2RIXnDkTiDrqAdpOqrlRSIB
KtSZFngsZnATu5V/RgLEtEx24/g1gKtU8qbidBJxNSrOEHtx9WZ2dCCWe6nk1hyYYAjL4Xwa3nEQ
TKojzu/AAhsQep49KM9cuYagdZWnVy99PgkWOC+9z58kfsjj8m90BSZeG+8ikRcjBywiq7r6SuKz
FFFT7s5LH1L/iT8BoRI+o5i0bDABFjpsY1Rbg2yuK22Zm7tVmx9F+adAp9/Fhw70s3YRadBinIK9
QH0lp8L/i5n7pGRJvnWN8qKgi6rHL44Nnd+sOUPA2U42Dy0ScOjvbex1xSMKnKlDTqs8zfxTZqlF
rhdWb4b0J5eXxjpFUGAtUeNFRUMN/rl1Jb/74B3YEGD4UobLqx6vU4t/g9DN+WNKilB/8VDbCfrk
+VRInKEUwh2IwbWhLiOxwzAorUoOyzQiu8sAkwFLMrzcfMr1CrxQ56Mny1gZ/2XhzTC+0RNQAH8l
BXde64Fbpad6/g2oTGYJbrG/5K8UQWvZPoOQ65uvgqXfmgfmx8AWuMLJA703dCk2GF7c/lbyBNR2
hQCk09ZVscMotIqXbF9bb/7Uxk27rSR/NDOXiIWCsDnlhj2eNNSei3pTIndrtrWAq55So07bjxyN
PisCkEVAVv3EuTj8SPN2Jn1iOsTJqWbDSVdhYK6H6DcOeWT/ivxfiYTFmKVtov6a8yv8p6GOkIVt
qrxCK3O1JSu/3WBWc+rlsX5H7mkKN6G0ZbYlEzFl1t7j/tUjJlIt1F0byTxO05lkY113tYmUUH9D
a4qI1DkaNhwrkvgHdZIKR1/YVcJ67O+sIdQxMZDQjlazI5KK1WCpCb2uotYgjpzYn6gHuspsB5L0
qwdHg1/TQoN2CqrdM2n4hG575rTRg/fOfyqA0LmhOjrHPX8V56iauNb8SqmZr8sfNdz3ElFnvi0y
lUSpHfVQXmF/DEtP5BtKkn1iONZ8VPS3bthb5UUM9j5khv/Ubijn2uFDF8DbHmlTQR27ecjSBUtL
RzdEJ9I4fVSAXe/VDyWvsf4K+59CWRN8RhScfwwQuEroqZ/sI90SzuaZPrjouoJX6cH1UBiIL0n/
jUsWYSiatdY/jfKn1t6UeNvVwVrvdiWvpbzJaaqaT2HrWTEI71GCEvBVxpDlR6xw996N/iuOvgpE
cT0haBTFEZif/Mn+mlceEtkYn0O61eqtGHKsO0toteEOWG7HNVxyA9CnbbnEZx2/CZVfCAETDlOe
jqnYsq+mJGlbdtfcNBM/+PiauZ/49EQO6uRIcFmDOjaBjNXvrHi9/5cArMs9sNqOenNXxUTO82SF
LiXwCFNBdPVsPy+NL+9h8UmtHUiamtzDDJNU/upT6Ie7KKJz3GjY9EbOldquVddXLyaFcZJDFGiU
XpvpBiXWR7Trtr8J4rq+AEBZfE0ckHEfuT7FE/ho5VPSHKb2V8ITV3O7k9xvzx2w1NdyABLfYxcR
gF71LAr+KCBMpVpATxbb7GWE36WU7PTy2wRiVRbbARTEujAuOcsLJrBVWcGoc0EhxahdwTxUHXif
l5Hf2Lklsl0eJVhfVO1x9yX4qGnabZz9/j+0PSTzLaTkWQW+tjNS0xrOXJKaOW/+KL8l7C5BDc2u
Hj9VBSPTqQMVXBrZwvDEXh1CFkv/CD9GVXTE+KxknlVcGuHcc0wLezIMwMUOcsNMgdpX47jHsb4f
/V2k7czBHn5kWn7L31nOV2mb2CaK9wHwnNVSRwGcPCdYifBnnn4MRAEdw2RWHWQFQeroIfLAvAyR
yivLU7khUtxgw4y1nwCsWoyltfickkvS3IfcayTkkJ6vXHMLFYR1DQplJcQa1wgDFjrXnqagrirs
fkRpusSPIGzAalb/KfpvF3xo810Ler56AhiXFQ9UQwiJimjEtS8FxyBbU3Uk4QKj6+coPWGXEl6+
bhfw00LBwubTYxVAsQupkGeu+rvwFYoZ4cfFsDGjBVpF2VuiO7K1VpM9RMJAtzmnc/ehNcfZoGxt
mwTH0nymNGcwPgp2G35WbMrZSCApZeMXnF88F+YFnrIjRi/dTP64UrpTL/wZyil6Cj6OGmxONbIY
qNBYRXwGZV423DWnGNnwODi4z1iszIbrjiKgGgLBg4sr3hrA8jamj1KCy1k2POsKuY+ZSBRWjGBm
7UGkrhHkYufnFzTys8zuhbi4+nA3OK3wSSRk3G9C8hzztV9MPDQzeQbXHHEB96QeHoUA4fYv4QTB
uA/wY4/5yD3jSDT7wCiWdz8xcSBhz/9SlXs5biZ4AkyBKsA1diWUU6gExWEfFLwXqJJW0zE23zrI
Eh+rHHNd9UC9o9BCk74KLFHlhKDzT0zcOWUD8Zp0o1iouhU2hFPHynrC5dr2V5oHmGaOXcIRaNf5
DZ5OGDVPsFhD4KQlNwq3RFeswukQGq9Y+QrV92b+Nwo3a/iWSw8clziAFaym1RGjquIPZpbt65ck
38PWB2BaQwMA+CG8dZtqT2ooLoy11Z1VWDIt2lFD7mP00agbMFvuNvluwX9H5RYAgwKttaHxH/4x
XhGOkbZoljcCdqdoJ87KnURuMjIZE9t6hcFmRUY/rd1++lPILsZdRm0J7fjOuBsIf4bFqf1P7I9V
eypgAP3qV5ExCgKQsoSLsMcKIuFNoD5JrGRszdQfPq4NnSTov/+VghPPIy2WJcrxK5cIcQWztB+6
R0wMJCqYNbo+2pfbz+YrqS9RdhqTcz5/q4gbFJiuErvKLgRcMfZadV2iqydu4xhOCKVLv2/QqAB9
KFgML6V6o6qWg86TtV3ZOP5EjCdsbk+Z4qUPv/sk4G7reaN7J0aGbAZIBIYfLfFwbfTmwUS3GaPH
ojZhNUA0hibFSdFbqzCtZ3/quK/EAw3bbKGf1UTOmomenhqXs1h+NAV9S8MJBb1ocmNsI965YvAa
Uz4YwyWJNyOikVTCp+8/c74EKz0J0XHZfNSt2W/BzNL0NkmYZ7Sz+hNL9FI0V7HH3S7iHaJv11j5
JW/cIYGhELfZXDFYmXiaroN0YZ8rE8pzsXnw9OlsUPJJ8V0zcQwiQC2qvgTrTR49bFq5/q9gCudO
nh2BI7HE2NHBC7TgagppGU9axnAw21n1Jw8OwjSZDZweTyCYxhH53xb3T5ytS5U0udEjtrTO+N7Y
EAI7KtEEJ+8MTSK8rf//Le/w/nUKTJ/EdcEt1izofwlN1mjXTLNb0dyH41eGS70vO9TgXDeo/BqU
3Y+efjBlcK1URn21TjQnVtFI+D9i/61pb5lx1VGtIntjXgIbq99pWVGqCxRJj5wCenS2u5qjq9rN
emRTy7vJEoAKtBaNX9hleMTP5CVh9U+Psi+/PmjpnUonGsNWNecf0+In2hVN/Y0o/sBCZqr7lHmo
8UC7aRYiUCsP/gjHZGzADU29hnj058ss86MkMwPcw6db6k/9MaazpLs6bTAZ/gU+lV/rV6M5Xk+T
TYzieLoy/CmALeobmYdNwtO+0Xto/LNee5Iy4Jh22lzeyvzTjW4QY+hDwl3UiWeVCS6i+g1NUhLZ
U6TY3Ihjqa3ihuuvpnvU4iyf1nH+1cb7ZRAJM+b1QVrl8m6IX3FOegaaZM4xdTepTwnMe1G67fjy
GsY2Td2KqOC2OfJdmngV8zB+tO1WU9aWdoAf8vtvM73kxKuS4pDFd8rapfIJeYdQVtWXhFgODxKB
xYYfwd7KLhTeysVW6l3oozJVHLO/AHAr5p6P2I/I1LjViF5DjK9zuzPEiyCeem59hD9wNyZonZz8
GyTMFCjFUI4H5XEIKkeP+3XYnfXmlACyS8056o4TTdk9QEMW/xOXM+kAdtS2yx1L3x0xxlvdZJpB
8JFjkZ4fufYpayWgW4Kek6iD5F2KE3jEfxCV6MU+g3lroofDTgFxuA8wwBKOYLri8Gy7I377VZND
wnyUBQJCTj1V40d7FZQLAS+I96Ap1IveX0mrDZgSZPmuflTaYx6+ZH8lV07PDlPcwvRtIWaJUOX8
VANSapyw+I4k+ks1EXb5vRqfYX4b/JsuM5ewQG7b6j6RQk1wstWtOgr9EL/SkEtKRM8yDEktoB5G
ATVcfADt3Jk7iEy0BenWB301r4m0F6bjQF6s9WhU1S27c1s3gL8M/T+xCewiuWn+m4rKsdXAvYD/
UcMfYmW06Td2pLlcxzgsfZXV2SzQQJK/y3hYqcZaJg5ZIobAgxfG8pTyOXB2pBdjuMUSdeqXSD2X
0qEjFjhfxXmNtd3JFOSM8dps17HyiSqaPJ2qr+z+l2iIDNCXkaZDGa4C6ZQ8+lL5LmM8pK+nCQ85
s3VIbEHdRCvVf9M1x5zXDRrIJvqwOHWm6arlP/jTCTqZkbrBjqKol8sztH9VhAjLnxm9TebGZ0bi
fG64NhbnzimXvslnwHcZdIe6OvY/szQRwzTv1JKwi8X3++S/eA0pCA3JDzq6iRy1BH5v/O8mSHb0
iT6F51/jvvEfobUX+QFxW4T6qo3/yuWI4i2v49+sePGhwgvnwasFhkvoi1q0BASNF9lB/p0KGFlu
IrSjCrpOEbL5QfoY/nrYLigGXEsgDzuDN0wFTbsWFocPxxVeKOGLJ5MwKmOCX3WlyrP0mwBgWct7
iodEXroGz2ohe3j4EsyPsYZcboFC6QT8ZRChDwmQaK0UXpWgabRRYk8Ctx/Ac0BAQtdXnjKwPj2M
8p/S6HbEKQ2+MQJFDF+8bSRaKOofnEOV7c0cqQMiDd7UPcCVFdMa+YluhH1tjN0c3K/YTcbOgg7B
l5bIKLUBV9NHobiGeDP4RmIDpeK56wCnyUBKuQl7B+5BfoZNu7esl5Q+6kQEYIvdxozX0ykMzyX7
tpCRjs68EZqdU4vnqCatuPztEAxItmJs4wJlPEoGVIV0Uq+F+Rnrz3i8zP6HVbt5tguaZxszPhbX
sAWEpS5SFZF0vkToibwCFmjbQ4vdMNYOtbErywha6V4nJeZ2FhbxbsAdx08lfMNHbYqQ7Cdqs2xD
PJcz+qkb0gCrxvF68TW3W/YM+aL8P/EexOht5GgydfaP0VHLaQMnaBJYXbAVIbtl5X2PjKcMGjdJ
oER8z4NjxO9icLKw3FTVbz3vfT4BcAJ/T7YAv0s3OXg04rOYPwHhivXk+14U30I8cln/YcDP+Mhd
9KeJThEJMVZKLlhyx8XkJQRXmc7XitbUazK5pbkdTnF2ZIEhHmSI3Jn7qfjL0VIVCdXZABGrIbPl
+ZqREal2joh7R4aS3EFvpTRnP9CdKbo365u2uKmjQ6lqmzqjAlXQADwjsyz6rwxFSpDfhQqaGSha
P0NTAVX2UBy7fPydUNWMV9IU5HGrdm9D95JzVDBfBIb5qaeAXAfVY9DIRKKxmovC0dRmq6uXUX8T
CYEQqTBNMCXckoxhYnQ0mmI1/C5r9cNiq7PqP6KmV6X5SMtToiKb2SrjT+Z7izFFm3Rbirxp/LXw
3WWIQfkb8NpoJwrZWTgQGSU7GZ90EnyjvMgYI3QERhvGX8po9/NwU1Lk7rkX4/xRmm0efqOCjYxb
sqw3G8IKfPU0MljzAcfxX91/o68ienzBOYPsOBIuAmoUGm45sn/jL8Ur2qfn3HwTh6vPZ5sh4qdI
WHTQscLuwPCQ0Ta4+F/8yLG0Yws1F4Mp12s0cGv51bKahtge+rxdC0SBhOklQuUvNUQJfZjiWs6c
iZy0YYPavotvRrDH9heV34LxT4PERjAI1a9yXDfRJozWVbRWY09W79PM4Ej/cPCmRth93e6zjEHU
LyMa4hZlibjcbJ2D+2EIrlXA1rOdlB8lwV+FkhUAHP0IC2KX3pvw2HccIWQU+ncwDNWoVmZxy1Dn
lFi/3CzycDqOzaVvfdvKT5OuYNv/Qwu1aYYSFVdDbpzl1VyXPVD/nNzMRaLevNTFK/VSqgW2pTUg
Ab72Ve5wymefJbFDKomwEassZM1qYgBXGGASpqiMr6YVxXv7G42HvHYz1DX9Z5B8DowcVXQRDFjU
kbz7Seb7w2BB4ID0Wd/kAFL42dzTGD3ywdB5Sdk5ufzUzhXEQze+aDj2uAIY5kUOlXbD0kzCSO3/
yqBIFNcpJ33m+fZqnTwKd/qOZk8OGfHnF3kqArz9MH6r+iMkx3LyX0KMVcQ4C8LBHJ80NOKzj3pH
0FzSqiOcIup9LvZgpJPq0RqdK/+i4V9PXInM7JoO+0H9zOKtNH34ZI806jGQ7Bh59LLWrLsBSxDK
MfNZIKSszosJO/trPqt8XNcowCCw5O6uoA4peQRZutLImfWjqp8mhb72jyyFWPDQcyNXUB5gtH5+
bnMb5wZDrC0AJqMpn3kvTczSwjOHJTW47WfTmXle9aWIEc6K/BPBwFgAKvCe1G+qAQj3NafEP/h/
SnYQtb2KMAE7dI+KMHzgCVPGp6zs85RZlEcgooKbi7H21PCo8WIkumsuP84fpTg0Cx7X7HFRpuFN
wQYmM7iMTDgJxOIU3MbqXiYaA+yXSQpVsVlk9w07d7dDYoL5NwsoTqaLVnlJg4HY2Na/RUTNZKy0
0znGvFikH2H+HVtXrdipH0G7tur3pRyDZMn/O8MZpymp5kltZT5PBst6pKNBWAX6TaSwsKnQaaVc
0GzGvrwf+nDX98DFnLVdsZYQJC7K+sWv2Aad3YnepLhCcvGLZ4HeclKvGp6AGMW/nDtZvhdwZ5Ha
QKv1tyx7Emsc1Q8J8t9cOLM3Zqi0Bfxqzb+KaEcY2Zy5ABEfVMPZ6m7NsK+bU6vv6XYkf8l4tVQk
zuKmNmiLQcdFxNLQ2t2QuebUE364n8WD1P9Uwq2InUg+8LGiwO6mDY6PVf0lLPxHj3YW4A9os+NB
MLGsaZFtVv8y39EHJpzgVxidQf0BPE59VyPAQZHYudhwQulfWVkrHclNBwChfiTyugrBFR4pVwTS
c9or36WjmhMI9pgUNDTl0xDeeyIW0uBmNhdsYgCRWv9Wj8T8PBPDAOBkgei8EWWDNJDSgAsusOyA
PxmZ4HIGEh+IJ0X5Mpp7TseGkB775Eg02IBzPPV3SvWHo1MXv83JJhqfbs6j3LmSYNkY9vhJ/ozd
OSKzrH/2JcJU621kLBPkVySXGz29ThjtWlS5IV+KIhdrOuegy4Z1ucgV4TGtGDePLQabgnw9UX60
vrdkQ5F6OX9MYJkNusWO6bU45KNLzQJi6rNMpozhqfWOvH5O8L2R7EP1BG+Eh++7SkpeNWhizbRn
6cIGqKvHojsOoT1mu6S0BYp18f6Ke7yGavFqADIT8xFqd7P7I9ShNC5jcUeeyGFQZQeu5DrmNaaf
m/H50lX8HphW0n16elokRMGVl4eHive8yTI7lG8q2vI5HpaLqAy9qb3n7R29ui3nh6ratrSGrDmH
SvVlpo8gZKtZpZKHiwFtSGbc+vEKiG/OdmLcMvnIFTV86jKqvXciqNbVHYoZSgMKM+IOK9a4yuiD
XS9289ZD9KRKoJK3vrhLryy5tV2/bt/p3hpEPtX9XH1KJndrN26w1zuShZTdnlHZR9EdBVHB9wuU
Az+Ovte8a+xmIa9ag1A7wc0qoy6nHXiVU+KN9Y4H+1M/iNYmr84dsvkouPvd1pfs3NjTsH4hssym
LJX/blxo29lNLb6aVSNDDG+walcqgNTsLrr86VkbAVLrG15mMWXscZOahOYVre3Rgz7te1/wCoIH
zLBr8UmOt+TO+f0vuQ9N3dtdhG4wgOE7CvNV6wgXy25idx1H6Ne9ln7TTwv18ltol6TkjgZKql0T
AU1L7Bjt4xCi/SUJP/3po0XCzoH0EYW/tYrIlKTFyi0be7ZGuyqtjcDoRwuMejeXqxKLb+L0GYOL
CLHDKIifvkBigxkWxjvr3wISJ59hhCZWVQkou6I+YjkWkMyiDxvLtY7aptbel8bqHmWvZf1S+jvD
Ypj+zyB+yPLkBGps690ni/JUqvgLkZeQDhWixVABodKIczXeCZrTP/RsPeHjDnc4hABty9Tmci9J
sEPxK4Hmm9914QzzN3C91v9IKCpGB8CP/SmRdrl+qBgPR+0xJPtJ8EZ+QPJEMpgEA1JoBHg+Zy25
JjkwOC08Bk81q9QW5977IAI8tQy0BilQd1U5ltBV9VWYj8QZrVmqMZZwClIxrhPdQp6SUFG84vR8
BotYWnViccmuI6oRc9hFBPYpjN+MMQsUgWSjRucKGb4b4zymJ1WrOWfp0wu8jGFMl78mgwwU4PcW
xVx2lMuVweQ1oYZFmlBteMDV+KSJ24DdX0t0lnLSE6oVmE+jv6RHFP9D1y2ITqytxeBDqT+r+FeN
yA49NTAeQINy+yyrnVXTE/QmcyNj7m/36njhh0yigmqdlqSTAb7eWtM4RXQHEk/Q4fqnVDyFDwXB
iObKlkeoqi8gFvR6orDIPBT3vnZE8Uw+qd2ihuK0B19YJBfo/jlfSt6DdER60D+xqNBYdk/02dV7
y67H9iHr3xjZ3FnDjWSepmAtqDcVHbRatKtJ6OxpRMrGr81lFfafvw68PMp8RNXFh4GYIRe6S2WW
60KE1qHRWhhhw8WNKt+z+iMW6q3WPvFm19Gnn2vcWahNjWtvfHYRDk4wKaW/T+CxZJiipZU2M3IB
KT51zV8Qz06DqE5mMEAlOAaTp8QqWuzwUok7YDNHsAAOQ7b1huZyiVuAEZzxLNFeSbbtiktdHwOs
B1HEbRfnjxTrv4X5rpJcwb+k6B+VzCF1GQCMSIolMVbWwZUWeTNQi/oc5XCdLhoxAuVCH4yvlVcq
uSpdv61Ct4J3E5Nrjo60JwkJS5g7+3/TSFjxl0UaHFQhjG1zaPvETpt7VrGOcSqamjsGbgxmSx/8
aoBuxPFAXlJi0yTLxY5cLdbhsSCGMP4NfoliBhNM4BkciP18nEffMXVUKyAYccsZxo6Dt2lNiu+K
s5g4Ov3LqpLNpP5EOp1eXF4h0VHq5NYTVIk+43wBcbFxVuawfOoUoVrE4Y91Cgh1JENBxwNL2Ysn
xw2gGdLZ4oiNzImRd+Xje5Gr3hzfxghelYsjQf+DwQBxNdYxWVvLErb8ZJHEdm9kg56Rme1UxUKA
maJvbb4ln7yDuklW0BVxvM3CYTtZbrOY8h/B9NuZVwxWuCuvfs05CHNLNpmaXy3hU/C/MvNAzuJ6
nB69f02lT7X6rAnNYzuYT3l+CuOXLF9LYuMDXriaW28aoSAhVxhHSCggMnggg3YGM6zkjCv3Hc/0
OpbexPSutq85/pCsYwONNplPEbUOlGcM1a1V/poKLywh4NQy52PIvRX4mIV0IJd5Nk/ZWG1CUK+o
OS7++1JExVX/JrF5nxaVbBjvCSD+Z5XMjOQT5mzVpCVQDn8WaxTM1yHtVsOw3GDEehDPmbT/cXQe
u40jURT9IgLFWOTWClSwJFuy5bAh2qmYc/76ORxgFgNMT7dbIqteuPfcS+iWx6BGAfgeI5Yn7eYy
a+EqDPkdqA36LN6lzAx7fGIthhVIyhDGjK2D/aK0TcAiyxc63AWefq/nnjEIXwcrz15hFcD2qB3y
5iz6lsraBQhge/Qnjvzua1ZkTas4sc3HYqhY3FZ/LZA5yVMBpoyL2mIjGIGvqjZVV++EwaWKUHHs
KWqiAGnmzq5PQ2xVqDhuev0dQzgmI3xd129Vq/yovLrawW53w3gI8vISAdZu+VYEy6nKpHntp00A
VziqP4vlR18+jKbbTJ7DXZCzC3c8FKtLWwW0BUKyZxxKw+aLaAHCtv1fZsbnxtZ/NdRMIQBnBCqr
jtml5r6YzqVKJSgaLhh4IbbZIjwd8VF36xQ1AlNTx8NGt+XaC1vcdyw+YqBRRvSDM+KhXGqmEH36
3rKPBpsDJKmB9RzId7d/tGKO28G3mvRYvRvUNjOL5ALTayvtlUo+Zf+/WWuXcHNGFGGc7EgI+8Zc
lyB2ZAIxm8pt0EKg4M1qBgxALgAPxC1LuCB2GdM0x2VfOM9MFCn+WGs+NvrSGz5bzlM0kFXKBIwN
ezL4HhqaPltl1ndR/Mwiwfk/wx/c1myWm/ILNeNZi99D1Ofah0tJR31Wu9sOjS/6z0ghLGIputdr
HrNj2YIDMg+iXWu2cRLqn2BfXaJSESuGdE+laV8II7jnrOpoRKz80CnOS+R4sw5rOXm0Q3D1DD0F
mkAX244svmU5bbvxD8RMgjmiRqDGOIa9vvx1QvOsWX4vDoQGH5NcYrgaqNxNvuyFDAY0gJrMraFV
jlfd+TYLyAEMq6I9/pem/SJBDGrnyKr+ALTFZHQ4DrfYWBCsD63J8M1ep2qnWNyFeH/WvATt8xx+
y+mJAtnQ3mIXIxEjEBdVTNq/lhWkB/FaJDGgMWotOLnkTComAEH2mA0vnpFgzKM0R4hirAuepoYv
QY/eK5frZFoEywhlXUih2zj9QvysumtfPlsV4D7+zunKRQ6ARe6hlVjh0WpbbMyZR65NfUPc6OC9
IyeIc3NtshH1VfDqagADjbXg/NbcHu7/8BAz3IKhErKs4MhKCCuAQhXuE30f2g7I4/sYID6D0MnW
inXMj8WzXuFHKGSztbFIfrqSP2mK1xmTvzG5eQ7d58CndUP9WvNvVbCzxJOYjll9GP8ycH3upK0q
5CJLL8uWTW+eyn856g/b8h6LHA360zwj6WCvFiCpOdM0EV+vYxjqGfyNEVODlnDBH8uuABFjHDhK
w+Jt4Kf9Lkr20guzLKViHbY1Qy0rG0HErcFHYoaStnxQmKdSMW+k2/uJTj3lh3MGYxA1ZbOZStYn
2AMWikhv75C/ZUgDlSj20niNkO4TfL5efpeMYUrR4mOKby2EQOVX7WnqDprLPGmfvebaW6e+Fo8B
/1QIusxNHRwyeFkNWJj5RYu2SDkVux+TR+AZn45bXmWEdnLMgHpGDOqZWYDUMoFcGVg5JuRIhSae
MXeeAtQq5CJww9AG0fHmqjrPybLQhWXaTGKLGmobYrlP8R5Mnvtvoglo+27feikudWZNOsPYMN3z
TmkTYkRMXU+q6HxElymPhrrN1ZEp7mT5iQvAH5foMhiP2gumpdDc5saGcM8Kk0eyT8eNkz6l6aNU
jzQQCrwZa3SM4srdoZxgzzR0Hyp10WQywxzXJE3IFqjmS1f68F7sxIfWhG1kYgFT7iZja5C9adw1
XO43o7oUxqrE25OTVBnECcyeG1doN6OK+OLP6Zv4Q7B9VWI7smhhB4zvBWWGV1KDm18FLtKyvTjd
vs5vLZqA8beh1q4rLqPmbSJAlW6xjNepzRyu/O6ZsI/1zG3RrsK2OKUs8hsObCH/R4tO5scsLk3D
nsLwDRJa6aaZ0FmcFXPoW1a0rurZR6+Ou8EcNRQyd4MWKInfprjfFvWzStkiqX1ZCYpLvHnRLROB
P9pUDhdlYNkfuEpGpjp4XdurYO1slR8aH6DBB0YOaMNmPGNc/Fr2fzN42wY+OI73tQ3lcNy09q1C
5N+6d1fUlN9PiXpso5OkDjQ0jwL7MTQvXvtkS9Yr4ujl91Gm64lO2ik/yNvyZ7HvAsytOCGrArRi
qrYLdGVMT5n5XJt/IWsJTb+XIeLs4eBhebSzf1aXMYPLEXCf9NAPkIeYdGL8isZ4UCXpDFc8YGlL
uXR2xXOabAvs29Fbkew6FixtipB3N8XlgSmdHjwV6CFS7FSa/PE4JCaaybq51d3WBCuMAwSQOYob
qGLgG8kO2naNIh03uRWE4upPY3QK5w9EA5G3TNRbu36wgJUruSWn/r2bnpV9rqjCYchv53wHiwUz
k2nj0EOquij0Anzr2Utgv83MODpePGbqeKmVAZJjozntFvVmD4kgYgoe5BTHeLdQmekGkg841sYf
uTfbeHBxb/p6uY9CtvNKHUT0FA7fCap/oyTnaYh912aDoL21HOQ6llZHLV5OpAALf5rNRxdfRErh
u8Vptu+j8xxc3fomEyQqhAfziOjFhYEZ1GQUnrSzLSvuL2UtcySY6Ug8fiNjnc77IHhzhlOfIx1C
EGQviVYo1WPrqr17nrP21EfsMPbgXbFIpGZy79ERY9tcVSz8crYU4S6TBwl1t9CNo9JYYNs0Frzb
8bOrvyQgG6DobFtt3k7IQdMGaFetM0MGMIkATzKY1c3ar+KaFduPSyOES/9BIlrgu05aPKh84ES+
tJgZuJPQ3G4A7ThoVJ0PC3xPNO4D51AFb+N4tCrtl/35LW9yVtEOPnsukcJdCVGsFUdB4yY7xw04
X6B/FcjgNf7SBn5tsQ+THz366FihjXLad8Mhrwea0H4rM+H3BnsJavkI38XAYLAsi22RQeTusuYz
1iLMT946jZ5Kz4U2aEuk6UyodKffuYa3X57e8rNhNjDqOVrlkunY/CpcGm9BuDQ4xJndsJH86xDW
lFh4MlQwVk69gRQjDVC8ld6v25/isWNLiIlND1nheBvEnf8ixnCBHj62JroyxYAvgPxb96e5nVCW
AORnIt5hrFC2s7IA0wQeN5U5NsfB+b9b3XclvZgKnLWkH+y6dqvlNeJ6fDTN2PgV+hPHwKfOzduz
56XsSqzmPYeZhD9g3LsdiAfdAkuAo2Pkx5idh9Sq/XK+O8x5KZfVy4wsxjMH8LdwrikRkTfGzPFN
AxccT1pqNgcEMGvZOORNw0OCbFe1Er30Mht5jWYw3aHcKDtYGfi/jX5di5s9hhsvdmnl7yOPv8F0
sO/+JYKjzfmFwACsIzrlSYd/n21Nlg9/mOAYpzXBLQyydTk6RDml2E/ktFWO+WnjaCVNvnRvWsFM
lnhmrKYZh0eC4j5QsDFx+rQj80fwxiaC/8jl1ZZ72jGqc9auGFcCPmbMcCvZchQ19buGJq3GGt4F
B9l9cW8pxC8FBoY0j9eeFPeI/RdQNFwVcjMHiLy0W9Cwi7HK53w2V5leveGszab2u3Ig+48FNIMC
e1K2GhBFJlGw1tp/kwC0YZmPirczdxf1sNqnHDSFndEZYnrgka0q8mda5vPsKmKu856HpqjxiKt9
ywx9aP9l3VNi5Zdu1lYxl5/E9O0hs7Lr6Zw79wWyILzHFB3BMAeYdruVmyJ0axNYTx7hEhZSD+WF
Z4fthqy++YXPXWHuxfzZFxg6mU/V2bYlc8wrpleMBqx18oVkvCEQFx0vI0ucyEntHd3sKMCXOZXn
d2l0qXpmbRnp5PVkPPQAa+W/kPWowouZMcCKzZUJspYMHxKlim2CKd3rd07+2KOoGLO9GXdrl1dZ
zDuFbnsqThrSEY/hnQHGOR++Szr3CY2N3uP0Bg7OZc7f3dp0xgX23nauMfiSwiChPdcp6Ovi1sJ5
D5aPd+SPSFCm26SqBVOHfPxcIkjPtemB2KdDLLK1RZGZG9khnZmuoBVFP1V0r3wM+4ap4YJS91AX
mLrytewxYdurCTjmZTVjiVmInB0J2vpjVYcXkrioBxEAQ+l0yE7XB6a/NtGsff2U0kUbi53XSK+Z
HHclBhELUWPB4tZorw7Xo6fT7PZ091VITumgrVT3l03p9FB3/SUKk80MQ84THi2cD7No7TXZms7C
10yqJDrRgH0RtVXfsR4LqSTt1wBrYdBwikZuv9Yr85H+/yUJmda7kB1OHWRqiqi1h/gh74jYoU3V
sBRkZg6XBXItTDfC0nCruWvNhNmO4QroUgff2jS1vUbn23GA3M3B7wzva6BJDXiWY0v/m9mNcXew
bbVWrmGv2ZljvlkJLNyFSXtgJu+xXd5DmkydxW6bGcws+m2LFQfl5UPf/0r4fXNF4RxW0CKY6yvn
ohOwPSL7ThHqQHDeLs5s5nhbUw3sPqkfdL/NDl3hbOz4RTLW1xoqwunHjiDzmt9The7jn+2Co+kg
XpvxyUPVrMn0dXTGj0k7IewbDbSPbrpxCgiSvZ+L8k6iCLL2YcDJaKnvYkpI2PEWfew6L8sXR760
hQ0ZpwGMXShIGDB+2mevfpXuSZoF8q1Pr84eyhHPoYLT3brPZTs824i9A67shnvYRGvX3Rs0VoSh
JLCus9dBymOkvF1mNsgCONWy6RJq3s9URZDzkCaPzaOoiQpsbp2HWZP8JYSwQfUgDBu5pLFYqW5F
T+KTtA9RK3dDHLBJR9lQgY4j5QHzLsr8FqdeRNtj/cBqXRUxresiauB6hENtLVmO2bthvidMp4zk
q5OM2mP7t88psUYdsA3LToWpL2p2yRQ+hG24gtVE/3DRee67DvgC7o5C/ZsR8waqm9jQ1PjLQSOF
5dXIsdxo9hrFCH7+PP9mVj5WHlrfn9pzv4knQ8JFYIs+rC2WiawK2Nd6m4Lh2oSFbWhQVONAczrS
m0gCkjXf9U5D7Wvy8piMKYohv6ak5hgB5Zq+mvrhXnJUVj1n8IU1pmD9Fpo3kPKV91jaVC71q4c7
KKZ7CY9mhzCGMIDCYv78EWMPN1VA/Ah9MNvvqFOsw06eXLbai75oQPX8O1VftQVSVT1lCWLgASsw
5/USi1FMYKo78CAEAelM6ka5hXNPux/T+QLRqCJ3MxjmTYOPMSOggtG97tnWZvjVHO7lIAPpGUS7
mW12uCx/eTAavrMapJ+IxGuAKaAzBFT1AWGvtYtz0NiVfJyj+ACvcD0g6dImm722W1yyhuCPgKMy
RlNv4dhTHogzrhJP9Vt9kdgiymHPbv42ZveAY7Ty6s1cuB89qWuMs6RP5bcawIkjGeid2S8cONNo
VD37eSSFsGbwO0tUQTyMBkbZMbw2bNf5H3kuv7xR30ctHHCeayayGOYPLgSiugVwLt4t+sLGWA+o
ve3qPexz2Dm3mhySBqthiRGpanu4l/KhzL9mG1cr412yyXC7aZuwbLYO3gWZQdd3DzEORJ310JhV
2xpPtMjq/WTHtKzRRmOxXRrHdHoOVHtsLJ3VijiZ2DOICltl9ilIs12Us8/Xx0+zbw+ZawLB6NYB
NtYM/5h9LYXBKhBdKgMashH/NLaKidC4eaChZ/3GHY4N71llI/JCjmTgiBkYO0aJtRtUvq979PPm
5GdIJsmM2STUew6SRsON/JJEsqCuPqdevqXOhEjru2ACqQOulQFBfO1HVpin2Gb9zGGVeu017q21
yda7IwTRY8YN0O0hYkBRCVgIQ3FeVPEJgL2CgQO4uivED0JwXlybJrllm9jqay7T1eCaR8PttlN9
rIun0eiWzJGf2NB3I/VsLa5j3D3p1Dz5LCnqWr/2nH0FwdtKq9c2HOgr3vDugV5NN5KqpaiqjW71
+4nixGsDyGn3RWqmURUSvPpgUN312NaSUu0HZzpawvWJTfSrpeuBWUc5T0IM+QEubwc78kgdYxDr
eSLe6bZQpYhtjLBQDNFLpO4q0y+2hwyYmV47kbD0nKIFqKgPs+kaCGJy8FDhc917Grgzzq6JAy3G
9ZcHxt3AZst+Iuqqfcy+zLDwigbzNk+KbfA/L9TeUPTyove+Re7aEBRP3lxcYgZbVr1xecVK7V+X
PVlODDSaLZVrnIcIMAjOwEmcq4ZxYJ39jcm8LWmWWj04emHku2l+Ger8UAFnIFSU4xSJHZijvH5H
cUo30F758GM0Uhaiub6br1bx2FuUIG7E7pqiSoNC5jbUirl3blVwCmRyWaJK05G+TYNFidmVbU+c
1P5IKnUczH5qxFsL0aqXiK2hy4OKwKjRBgsGAjo3CSZ4KYwTsNmiebEoJLzXOMI+GjhIiMhxKGl6
an7MH5Y5rhGtBnz4DbItVoirsSouA05NBZAnD0hrYGsYWKwGKIol2429w/KgLEe0gvj3adeFFMSV
FH7eHFz0rCkmqxJmlo3bHcgHlGM/gEvjSHgs+VtIgxrVCVc9oyLup7xMji6pVLJWJwpJFHXBOcLs
YvX5JozYV2lqp09y17TlpqQuB7SPXLe5toH2WuO+bdkKjBigZ0YlU8ZZHHQbFv1DzyyEZD0j0zcB
/BSRD7zDbGU3Jv+FSLCVNNNdaDFXISS7JOvIcSA18UM5Flayu9OS34D0k88g0XlH8N2V6MhdzKjW
d1B99u1HEL/pTBxyJdYeKIYcuJRX7KiM/CiY3zyHbKtwiRPM1gqrt21+1YDCQrb5g3jJ8nUi0PnB
J+wt0mJnisPAeZptjREBsTQ28B8UHItWRE4MuXJwXCYgYm/Ydgxeg159tA2a3wxdY1bzKiB1hg0R
AP+oEVYgN9hZM0L2lFIMv44Vp0fb8X5M6yspqKqVdiON8zTooz+YI+Z0fTNR+o+h9qJ5hFK07akN
/rrpJ4vWLZdjrJb6SD9Kj0zT8LOxX+PZ2yjxOzi/JOReBf3FMq9vqj/TGVYKmcSYCuax5qFy6XPS
egOCb23iNBHMCTL+qob5bMAlHzM2x7STCUcENl6NHS5UNyB7Hbq4Bvow+z6sP1YFVBNpUj3vaIZe
nNDDEIZ1lylx46V08sE6aYBWuMP8LpE79ZhGOz06TThhynD0Q43BZmUddLPdl2l4tNmrjvWr1Zy7
kc2PYAwYBBaObNao2B0cSEN4rM448Ha60JBueM+wAmFsY66kFEfRsMus/lGxO3YTPAsRxlnDxUyU
k48S7CVaD10gGe1y/qe02dRp/W+exr1ksuL2le/MaNJkx3XBpz2RqwAIARj649RXd+mmh9idn5XB
DE1GewsbeAGBuRfMK+fo2KObFtO8NhyQDE7iw2H2x/FNudMLRR8TUrFJPGi1JlIIq4ADEdk5+oUU
B7p78GDNCMzvCgtmF5CdUdRgFkcGQQpVKstZBMlGogO9b66Tc+7omdOe1yfI/xqo6Q9FbD4rlnwd
wSUNk850rvy8FE8JEofOM1Zj8h2pV7bkvtSwS0B2bKoa9e+ye4A10zvQ5Mxjza/WGqyj4MRYcx5b
Vi4WZ8SAyHcYoayEOpLy5NyU0Qsv/XmawzfXTrgnDCdfjfpdZypvVHeGTTtZAF5FEFWyo8oQa2nV
T0Hgj0v/Brj3dyp9+NvbEJFf2H7QCVK9qgcKfYxFyEwvQ0ipbTooYnJQRnhqcRml0O5jeSz070rt
a+5GnrmjPbkveqZ2NXDobOQTWKIM6RKCeT723vjTJgzssbclZLOEZFLqilMSfO9E3eLan20Z+QWb
4anA2TqyWNIfljicRnIboecL4+onH8nudGi60ibdTvgOBEPqPqQe4fhxgcnpzt/A+Eib1CmAi1BD
OiBt9ib0heJJSw00zrZuyHLxlCYrA8x829GdoiWw0QfH4sdG8KWEwGpZYe2Av2qZT6Oo/WUKmxtO
55uUaLixwNYp2BcvY/sm8NZG8ICC6aBX1LuCy76E3cJm8zHkTa0q+04yyCsizuegxZvjZMuhHUHT
Ixi86J5kDAuPxV9rriWFqkZoDyuyB10wtzIYGeQMN4PQ9IWmn0bO42gCEznIP1KeOZT5zWwsEBZr
Z2AZH4qZwIiwj6R6C514P2nbMSuulcd8KZz2MetXDxNvFucHZbGZa2t2zdmqJRqMgGEUWtU+00nm
w2M6DfTWofw28uFec9xkmkHBRbxvasp7WiFwpL4uErWwXliAVUdTXXM4J7nqn9LZ2rhN+K6AOrpF
eiRW/tqzMRBTutdqnrYl/6FCL2Mmr/w2t0b+q+bxFNaSgVC5ArC/KQZe1VasCnh8xjhtBrb/xmIQ
ku6bFdK4juUhBxRRpchTTO+3Te0IzWoHbEdeiSCM8LTpQXavOW6IIkBQHs2PVgLWj8+wUILgr3xT
Dt6pwysm5v4lpPCeJ3xTCfifEkheseWV2ctR4VtoZz/JSgp2pt+6I7bCvLcWFZyu8B+kPBBOg17O
qMVbXD9jNPMSZ18OBXp1SsJUTy+kODxZw1eZ3od+PlYW52NlP3qm4O75WsJcbKB8pbXWRyx/YJ1F
6x3ncdrLsgIm5+mboWWsFGLZV71HVgA6RdFCJcrOLZQFL/WwPVA2V9XNyBG05JEviNhrEqQRLvPT
tjua0uEKUSSZdBRqNA02ilUnjl/qydk5AsGvA4CIBO8wu4sAKcqSIkIUQie9WwEuqRomPATLoq/G
gshECgWXMu1tYpyG2bmrut01pnnuI9c32TnaebjSRXmo5Li16vaYtQUyICRmjCz/qiA7DhXP4XIJ
Dg3e4XRrEWplTixEpLMdyvo+JP9U9jW3wE2qYgvgm2OILVPeb81ZHTIx7KNkfgrKcuOhe2YLxOQ7
WVkzti+czeb8aDIDCzq54WJG35TBNiLmUv9sva2HgsCFTloJeTYa9iSJ2HXIVbL0FAVcJqonv/eH
hwJDD+l5UIzHmRYKOmOaSu5g+6xiMJWQ3Htl7wcPliJLmAJiSKVLtDmMDafE4Iwdri47/4FsljCK
fIOsJcwSlly6hsXl6hxIvwIAzkqEBWBImq0oBtxl3gkkTdsXzwHiQe7a29R06yHHTmArdiOUvjXA
oFn7yuhKDWSYlqoe09D149j5VgOaDdHsdGvmQNy48W3pQWLRvNNvsUZIWbZ1KEk+S5RxI2LvWQyH
MqqRGP+qFkW+xKu5SBFatC962V8ygT1FFxdTur5dlzi5xsNog9xPQpIg2H5rUj/VXrAPTLmx++aq
6Q7GOcgdTFTlpDCknR3tLGbX73Swdh+53m/SksMUpWLKxLDXsdQWO9WghKXktqv6Kxs+ayTSuffP
ZrTdFfOLN7PeloVPeBwpzmn6mXAjh9GEKWcMj+HAgDZuvxwnvJWs39ep02HxCVjAW/qw2JASDNDC
vsv+4pb5SXnJasxucrHUY0p0o0dRpYcMh3DPBggIAhM23rVh4Hx0bgvpJIfzl8S7onpP5/go22cL
gkyUTCfMHn6Fp8Fzxksaz1g6cQIgGjetAdN3s4pHyr8FLDC4HyWSAbMbXqYpO8rBuBnEbAlV3q2Q
GdnobFr0QA+TgCcI1NUZUENSWAZ2tjj+52sYzsA0sqsuK7SM5a9WBSz7BuZE8bfeFJR/Aw9d19lg
c+LxHZUdaUiKuVATuQw7rDoghirw44ggJdIsJfCKokx8gRZlrs7VlD+bOhlXqE/yOHvyDDgE8pSo
CHxVkxF/l2gUI9ZjGf2oXNLNIuoL2dJUdrplgncYcUj2BSCXSn8LM6aYU7OojYFgQLy1kowQDKT8
409nMU2HVrcRQXcQk8P0p/STSWGIBwTeGqeqwS/kFetgUAY6Gqq02TuFeX+1kADHHG2aaM/KdZ7L
JDpLMW2NxN4Necf92eGwkMTXXOzidQ6etIlyZpSX1tWx/uMiyMrnuDCPU9jsXdxbMxrjxtCeNFdi
lWQwTNSl2XeXBOJ0HcLk92ZvPylkjSZg62XmTPZComHBpJvS6u6kICtHCy0QSB7EaC7q7JiMYlX3
717a+srmioQeN8h61ZKKGHEM8eexZELEHabHxYhelQKyr+FTny+Ib52jS/lJl+1tzT5rXNaDUjz1
jq+BkYoygJJkBNkjneGiV+eSj030vILBJFoJ8uF5eO1Vky1acrRzZsx4scXMzgGuq30lfiZCIwz2
amks9h4UlARgMfwZ0rvNfWdMu0rjt8wMTBboz2z4F4EE2DuFoL8GsLhF+DxP9R8ivF0T2a9hFTVM
F+jFMOWiTx1QOELt7Yzi7i6x3jFizQ4ZVbz0wbiXWm+4UPmhtcBcZnucXXys/1L6tGZxu2jsNVLd
+jS09rEPghetaH45Si5TbZ+nuPizJKqgHG2moFd0ZghSCXvTwnE3vesZDHoMhpUdfWPGDQFKFbSt
nLm33cjkhe6+ikWA3WTYH43AIXS+BLDr4lwMq/CVQfJaFQpvFrDgB+60h67EOBR99vp7Pd2qcvb7
IGFPR1DqUOyX6CZ6ygfTDLdSTr+tqjn1KFWruiLSEyq6nlMdc5/0kNAhkaOBaegB54iwmTjb62X6
Uss3w+SJqSkeTEsCVIaPFEBlkkhExoaE2oHOVXPZhke1e000QHlGfOg5qybYDnJQRys1zxmBO2Ca
LNTs/OQRIL5eVR9Tadwtjzhs2n0tk/u0tUCQwK4MdNvPXG3HAHNFjb2zoVLFrvA1CmHGe9vBGF7i
3FjWezgYMHRx4mppc4jiiQWGw7ApX7eKfWba3hoWfNuQNz8fhu3EUaqQHkyNdW4A4rey+Ne1w0F3
aLUzez2n5SmDm2ey/M21v6B4SYjCYzyLTxuTjpET8zsj8CH2iOaLgSFufgu1p9aCbcTNmcc4Osv4
pSPHxy4KwlrzQxIOO7f6Gqjzu2Ze9f3NobahW8FZjvCtTa4l/i08qYBo7m4xvhczWqCByHP7Rtf7
UeDpi3TDN7Ema2nJtKeBe4y7R8GV5L7WFqACHVYfPaoWKVm8CD/WA6DOwCIPzGkfG1Vek3i4Obl+
1XKow7MJlATco3BexnT4Z6tuV047F3tkVWvrsqMGtEnf0IKPsnFWM7tZl4GDGDB7MqaKJx1ZwsQ3
3epMG9KfSHOJRVp8AiL6IYj82k/4zzvdfR3K/rOBW/YQNgsgXT/C4qRVUnCN5ty8Ipy9yhhJvDbi
6LMpUXT0aqXpgK9ycW+JzwqHdMoHmOGHLfQR5tuMB6cqnxonOeikGxky+IYA/8giHu6vunqYQzqL
bzMfnitTPlUmcStkGhmIqlGIPHMxjEyymGhpKF+j7JLZxVVnrhdPjcakPPCtujjaOWmfJe1hgTQa
mYmteZ+1ibZaiBet1U+uiYNtUC0BR5FvoomZTets5a6vwthvPKREyHXsgUorNl6A+EMygk3GxOY8
CiabucPh0IXsPkREDQHzxmjqW1xZW124r0VFY9Mm47buFDWihaqMrJXM/vRQBODt+o0oT4gfeXa6
0MFEO+F+hrmexbpNrYCERWmEvQcAqtWSO9RFYknehjZCbUT7V7SveqOeLK+/DTShDDRBLxqA4cYC
GTvkND57vwHS1DK4oxe+ZAhBRBIyxWwePb7qUsvmh9EjEM9VBd1h6uttu3GoaZtYe2ZqQURgD1sY
K+A0vBUNPTPG8J4GPzJ6IEuUfYnNodjGIT3L8Eav+UuHik8IhVlVMhyrIOajkGfyyIxeWveKdUWK
7zIdmx+jZ/dpkKNSzasxRUmuxkeDXacGv5gPh2Y520/huHVybyMsG4+h3ISeSzA1sAooszrtCiLp
9QwBQOuMtYP3R0J5tZCqOIy7ukjehj7t15m7xIKhVSm998IEF0jZ4TQN+6f6Hzess8pCd9/pFf0F
TvFo9GL86wuSmrZ4AWk3Stz6FM1u6Zxx4hF+G+AnKwBj/DUdjKz8PW9LSjbzsbamY1M6x7KZz2WW
Pmd94gcZ3DGjtvaR+RLCAjJbhLAOgwsk6Bbb2NVUGwgUpOHsmIw8NaG5KpY5o1eeWHj/piUYXAl2
q4hIhsvm7oSSE419Fp+rEIR6TgBAqrnsqRC+Fpydm7mxbpJzNgwKZJUlnlEsyRjushhCVYEaOpb1
Uavb575ozgTdbUtKCaBR5nuZIpco444NvZasitrFj+vA1zA2RV/Rp5r5zRmYtg7lhanYGb8LRgH9
XhudQJPFsS47eqcidugls3+t6ZRkXLjsa0V1sLX+rZjyLy8e1nPuHFszujLiZqYEnoWESeC+aov7
/bv3WNu3FWGMDa8hZm3+RUJEsGXxbpTzQXXJb64ywsy0Y4I23S4dHoXo2eqR/vMfWV4wkWqbYKtL
RkWZOtqURLGLLLHSWECEDN8bfIkckMSMGFDdZrKCm4SFk8CSpkJKWpdSrMCVrVfBV5flj+j7dzU5
BspEDmuEvyIZnkoD8G+hzb6eoGD2JusldI1/vQ0+M0bONVGmhb1EpUglDWp8qpnHkCMlZ8d7GDsm
nTmsmNzu4rUr5v1gDkRQYyqzGxYNHnxi/DwBVrWqzc9GUJ6cMftLZE/WN/jYQpWbxGgJ9rOrbT4Q
L6bFh4xYYq6b4kCdiqsB6Yfu7nN6Gqf+SNEGNrO61AK+tYSExXxLT0mtT72VJeOXKhE+Qb8U+NCe
LdK6q6Z+YXW4MWB4E66EKykUTxm7xNnq1pqOPEh3zoagviwmLCVGtefDQ0SmbYbFGZV0zZbx0nGY
jXMQIZehYK3z/mQI81ZEHPhZfgoTb5vl4i/R0PVUqIFch5B1o1G4wsutB80QyQ1eUZ3dGjXK4KIj
+o+0M9mNXMm27K885LiIIo000uyhqgaSyxvJ5eqb0IRQKCLY9z2/vhZvAZURng4JeXOYDcJE0tya
c/Ze20OjSjVLIGJL7yTCMrIBQ0QgNNqo5iFAxHs/z4+jBzmwCQyM+KZaz5yuR4RSVhxdeR7tqITO
n2lVCIrHh6huD7F+sES6C8z+KoqcD/LCLgo3vipNNuTKvBYtrW+bICsPfRxwyqD0z0dVfgt1+FgF
E6o0uU80ffqJhjqxt2hOABQgDnfy18ybH5dXVQzA38xizc8AeyzWHtpWCaXLIBgx2ga/ah/QQmkU
N53R34SYLA3NFhHb1xKKc9zPmzjU3GAEppfwV1+A2xaObWPwGzmzocUJi8NoyMeGPpbR0SwROAtH
BXkEDcVZkabUuhX3pF6gR+CgBXpNXE2WubE7FEMTAXAOO0nYyrtuStimgKWM5j0hvWd5L1f0zbdu
Skob5+SznKjO3OoApnOKQUHed9aLrxHo008molrjtcOtBGk4c+uDKSlsFJjdfMn9duScjumaKMVW
rsISM8oUZfvGxAjdStR5bY8RMl8EsE14OSvvKYsJtMOiuXicEKnsGhw+tWm9Vtb42LmLcqXwN6ae
L/qhf/Ncg7HDjeeFhxTeLrpFa1Xj6oLXc290NN8b13nI/WrbzvC3rODS7Zq7mfdeSFQpGTDo0AmR
aHwoCfoqmh6krTh3iZzGXvrUlZRcXc2RbbhJdcMKmN913NVcwHC2nz90QfxouuHl1M1P2WzQiMJ/
UyYPGdiEwgF+QeuaLgwlZbB1JsB74uawcwJgwDoyBDuCCbngwpJBn9XfS+z+3LrWKlio7sVWxfLC
HtJrSWi00EDzzE6/Ke4gBot82EkNAQ6V5jh8NOqFNePV8rsHS1EgJiBEWg/O7J5HBbfwwbjvgCJN
HE2lW98pHExuLl7dSd+GlNwyQsErbikoAHaivgMzi32ivrCdpwR8ClsPnCraRWgDxWQc5hExRc+M
KTPvKaJ55GJNcZ3qJxKtl9CL8W0+yUHc4dL5abMSF9ED3epDFcudHOH6R99kyu8TOUgh2XkryMHO
sLcy9C9R3lxZ9nhNiCHu0ifHSulwRujLErfbx94S84JKPIjIEyC9TJsU2x1EoMX0vfLpAOFttaG1
GJgC6QDfjhOTynPPx+LZkA2uu5S7NLi4Sux64e8C40cBH7Bti+3kAkUXXcNhFQrE3PB1W1htvXqq
itcx4RUF03PUo46mSmoBYilSEpQxl44Oha0iJGeE4KaJXbybcdTpDDoRvJAkB4QBKnrpNczfohi5
h+/+lBZrZQ7AKgEVSKAgYHTl4AYz32tuwwMe92SYiJ3u9kUCarzV1xgeD/7gvtlsC+UgXlWVn9Ue
PBwVP02WQ1r7x1AXT14A4HpoYWUiB6ZXZOX9xlh8Ts1+knTEBFYyW6OASNKCmml6WVgGJSq90MUu
SoKxVEogiEs4zBhfxybICKM2t4bbgVqklRERFDr6kKBmTqpwqW/iGjWaVNHdEDQHGSAhtTpJOnJH
NCc9eHowqFo2ImquIty1nvMxL80W173Bt8H57Hs1uj8S1d7MxVKmRmGQhlJzI8LrVFFPGYaPCXHz
7BFxHhnOXalquunTyocMYdMmgTHd0Hu18Qa1VfSjKXOkknxy3U0HUjfWI3I1qv27Cel1G5GcwBQx
W/UCKv7VqMnFwhdWIO/MpF5SF42zvGG/yCZ3P/dobducPn2bb1BPmat6onUS04nOEXGf1XaR498A
M51kEethDvIGdrthfE+DCemh9rfe1G3NqL3SJguzMEiPzubxxhhTcEcNJ7Xsw1Cuuc9LOmbugBm4
yNGLJgH5gb1uyBwssW6YzfzamvZ9nTa7ssNBKzjg1s0vTBv3YUmblZo7QU8aLU9a98QwFBo5S7/B
EopnKhU/nQnD2uQZbzWKeI6Abna2TA7FPQfFA7KFEZhI3lPctGzqByyT93PeEBvo7RGV4D8Io5t6
QYpZFR0wczg4fXlvd5TaKQuAdmivhhFyyJCJS3Yb7ikTIurBpc8wiOQAdMwDIAG6fc7m70ZR3ohc
3Zcxhfmq4m9G/XcXZ+VeBPnWKQm39po7R4aXBlnqsk2eG5AMA1aijKg1pAH6m6QaVnNkbwYD4FfE
PVk5kIFT18VqhvOebL8lqsGC+Wa3vPe4gg4wmeVuThGhG16BLN++jszsQQfVu0YlP3gmpggbTx0Y
LheAF3Fark12cBpxybDSH2CIV3PySzV8UkNdAii7H4f8nerBLUEQ2zhlc+7jD5hI9rrzHORmgP3o
IVHaZj/RNCqiVO5iNu+zQb87QJolpIIak5Ynyx+uY712yXxJJfJOjuUmaMPHUs1rLUYSVQ3qXUGv
sKcFl0lqciIycKqDqCJM5NyP20dZNQ+2zG6qAgglp1VUKYQWoxyLZ6LYMQWM6D0022cinLe4D1ZV
Kh/iGuXzxElhAgsVJwPKOpSpo0V2niL70MIiqkT1KCL9lAro1KrUj45pPxHx8HOg1DE2CnIqtAgv
3AHx2LtTD8dMdZe1NHcjP/4gzfZBWV/TmrpQJj5XzzgMvjpXFu5zs936Edy7mPWbgzWWVK7RrvOa
OsBO2olwNBb50s8oQEuM3GjuLDeCiBdjm7YhIPoleeyGv02K8EqYyc0krJckJx6usdbEH0CkWnCI
YFxtjyqwi8yg7OuD7jCqgg+MrHg1eDcWPMSR+o8USxCDWd91utiw5a/D0d3V9uUgpQVoJHWuXQti
Wx7eEh09nfdkVbV5txZjSqYWVU2UqdaEBk2iwB3GmkyJKV5PtiSAprkY02pvJ7S9eUwSWsPbLoVl
6dvmBebPhAgvGJdi5OYQDCC0527BdhGCllFjngcwMJVJ4ZPzyoTgfCqMRxuFz2TF+7oBW5wHiC0M
zoIl2ciSG+BKTND7EmO+7GvrXsbzLrdI3pks1DZNUhOTKT/6Th3aunscLRCsTW5+E439qjLugdUC
CR9QlroFni/dJCypJYrvMSq2TT6v64KGrYiyrY+ZcMwCZz3U7rzKwvCpVQLHG8u8gNPgj0/xlD7Z
DXki9OpZhJSx0GZYpZqi28nQfhti7mQgf28iTuVra9DrmYXINRxOARCdqEsUFwX+grPGSr4Xgfvx
V5VfzK+RTWZsMBu/Au0+lqZuLgoDaykxmDuVjlfE9F0n0fyuTB+Ry6yeVIZXva3DS/JVNyNkUnY+
TFAjlLMi9F46Nb2Vc3BHjW+TkhpZDd025K6GsLJ7gHTkgzH1V12ej7DoYR6ZmJYLu7x33OzJyHoL
NWL/RjU32y5J8309mKiuhl1Qs5gOarlbx0g72pGaFuRiOi+UcrMkw6RolmjmFnpdPp+Xwr9oneGx
yGLM4zGsiL6l7+TkGArDzL7nTLzkzJUPmSvp2yJnauyraFAv/YTF0U+SYYlWY21rrYe6afmAISyx
Msiv3UQdnHSQ5xwoiOoYB5oVEz4Z0JqmSYfW67lFxIsJtrKt+1Dn9X5QQMYZ+WOw6e1Wyn12e/qT
1sD5teWmf2bo4jmDQaEHiALNyEswDaNeW6Sz6iQlDHlofxgZduwBBwyAHkA2qqu+oxJ5jMzJWRnV
CMVR3Bv98JbHJRowi/u2E4TbYEgoJuVXdYjsIkLlPpNRmN10fvXhOBxhEoHzWxfDdWPJb0zU75xy
Gxo/FWgk/jSuFHzWUU04ECSQwTKi+gcJ4TFyOu8gkcLjn0oNtv8UHJoX+6jKIqBOIvUgOHdmbw43
mRVydh/9kN4hZfQoA5eS55ucam8UJb96UHMGeV5Z15HFQG4QoEyzpMHkQXxWZHFfB8UzyY8XUunL
pv9eU73wKdxip418zn/xGxB7uk0xTco3EDN3AbncOuf+OrP0Gtzeu66hiZMzTYJgnZdYmNPi2uym
d48EtMQrAcx39OlutGUexmZYm11xY8S4V9AfBXww/p0H3bS3ZiXPIOWXzXTe9NbdNPVXrjdAmX6H
nLUyF+kGTexZeO9OkO2JD96UmOJ7sgUGhLcrSdrEZRNa2aZCS0fqaPu9bqqfHIpx+NlksvT4yS66
CFZlEzb55Vi5tEcBMindVVcjbs7b3kJg4jTgyagpIYAALl6X7nTptWl8X7lViYG4QJOVkl8a3CYz
eFxw/m1JtZZQApfw2G6Bd4wsMC2uFZcLZ2jqezP38QAX4lc20/NKYHvUkFGAXOE5mu5tJGcotWit
8kr3I7cZdSgXyf0bq4+ZbTKAM/WrO6y66tDOB6td5CdcIuQ2Jvg8QaV0DlavjzdealxAMj2P+weQ
/iGddEE3pXqavZ1sXm21qwpiF7LiQtX5yi/eiwD+qLEWALRHkqC8YAtscmUl2YXfwAfQK4TDA1Zg
En4671bR5EKl0LzhyqRXQtfnrByeMaVSgIzaNXy0srsGaWUXIN63M+24JTpjYf8zhxC8bgUeAVqn
Yf5gTzRQUakuKQmHrN9wacfzm6AKyYOXABq276LHvh+bC9XBQYPdMwNagOdTpHhmkXFGBw6MKfd9
W15P5XuEtyr0NdfNXwbwSQIFKAf9DPAS9X12HqOvc+3ohtImP1lu/aymHn0+zfS1g/g8rmmTG2wT
Lb9doz2kyP5cHIcRY0bYBECioGaj6At2872nt0U6Ybu3a2jFxa7SvA/o02+hfdkaL3TqiQQz/Cv7
DuPoiu419XeyV2ndnwtvk0E8dUKowJgCg10B0hwGTvQyue52rBGinYk3Po9VEYCsLgoEl1zh0MJf
jVTGHTZRWnzctIroZmn+V9VzSXJASGeaLmNBZG/B+ZCwDEDv9Np2aX4ROaiTOK9w8cbdwqbTL4Xn
8xyVr5k9w3S2+C0QWabqb2F4yTTu2g2VE5LPZH859ms0P2c1HbTwzOCslJc/l3fbXJX5XloLTKso
v+Xxzm5vGyghHfaNiArXeTXSHinPvfy6T29DazxHg2X9rCnogj4Q9g0hF2b3fZzRfBya4S6x147Y
yMAkoWzDJePM+uFxiXcpClvetqjXPTqeeOnyIFFODl5+j89NAxTkShvCfc0JvGj4p18S9AxtdLn0
6TGvIp/N5XPV3k/VzzLBTDL+LEk9UFwsNPUeosVqPmFS7tr4wM2sxpbga4QHoPRBX+b5mUP9hfsO
spPsKp6GewsOYxEZly6XAhwybIOYE64Uf9H8UKVXuUZKypUBeFDFc8An8PALuy+Y6WfnvlYwDp4b
bJDGRal3Rrer248uvZmb+9m+wv6BPJRfRcDp7R7YE3EKGTU3o1pZE2uwD3t0hpmYPgoCKEB90ECk
eoTxxwNu8Y65oQmfOREvdfB5OzgXUbAaCwTf27ndjAEnmR519tlQmmeYVLilonffLMIsuh6py97A
7Msj6srIF8VKNNTy72FA2NDL+3c/fnC9q8wS+BWdbb4gM5wcF0x3oehcNoc+/mak6WZeoPxWd0ZQ
B1oZ0fxla11iebl9Z8Z1CQeq0tf1Mv2op7grq/hlm3dRcW+O3/BIZjhWUSIAY9uwqBPykYTvSbWt
7CfqgpKFZHSYSyACklv+08r18L8UCB25wGHtSK7NCEJsvc988tdXJm2lkpuy26u1blCjXFgoTI13
2fsPmdh0kn8Ai9/kALjm1IHrjsbTWTQdJppSXMMumhARXQ8uvXzAb7uqTBwYDk2kiKwpjwzHjRy/
QSJZAww4V7jfAskBxuUueVvLuyK6CPQmBsIwizt73PVUPeYlqa158lHJtnPN/rl1jaXp8Y2NN0ze
Q7WuRviC5XPjPBcIvIzHLFloEngczjNVnlWByzX4OzS0qF/HgD/d9splj1mIZsTKonewtxA+yK8R
xoWADyaARHB3nCIwK/D51bYtDpF4iagnCNgySXqgLYbC5NKYYZmaNx0b8tiRdOWs+vYDXKjTXo3h
NQ3spECldNENCOAjmjPnLTM0uwvRXbM9Cv2jHvfh9KOx30GmVmhzCyotybhPi/thEChrt/HihB0v
qwnYXngYu/ouKPflMJ+T6LZJYmD6sBj96zZ6CcIfGk/DGH8L+FmxbPXAJsxy34kNsIE+fELP49zE
8paUG82TAwHSxdrCXxjwfmr7xbZ+mZxk5pW2X7nCOlCzxZU53kCWRHOQjespxSNzO6AIHFiO+IkR
bTklLyKgXEjy23jr5ZxpeSPJruJaRapI2kCweamXDYPKL7XRs4T5Xfhrzng7SdRQuC2R6EyHaniy
KMfL7wYGrbAjt/QBAv6ZXS/wghRgQ6nvguY2n9aSE7sPuA5+sP3aEN9Eg7wWKD0RkctLXC5Zva9R
ABoAAIGRdu02xZqczZpl/TK0rlr5URtvnrHricOIybeTDp2XC+utwRljom5sdlb0wwIj02V3RvM8
GzbuJ8A1ks0Dtwu915xfhUNwZtjuGvJhDUO/JBNhG8Ay43nruWCjKdJydA6DleU8xwUcgstaNReD
/ZwaAnHZLndf2+a2JKvEfM2R2Phcz2vC19Ck9UTpTAsPYj8igsQtnwsSXO5llKxs6Jauf2nw44UV
xEVtZbPBpN3BF2iiKHaxtGRroetNkz+6SFf76H6RVjA9RWBjTNguLKkOjiNlQOzp5YCkGa8DoOPs
suJOLsJvxKsV6aUHkDOO72P9VFqouMwn0S8lK6q3oSZy5c4E8UAbHX7Blj4SC++bNFNgWjYq/us6
ehyzV08/dzVtoa1NU06xkMmBfXd4k1TSM9D7WDu47ZQcKq/dtESA1K0IhVu3qj5HjMjKANVy2ndT
Tzem3LQJ3dC1qYNdY0/ricott1Ku+q8F87AetyDbN3OTbYb84DiYh+2DyuW2MYCA29vWQbgDbD7e
Ot7rwtuPodehH6u9VyuJLpAvnjeoYXHjzoQpqoKeZfdhqYPEAoM8nYITqnksvux/OKRqoAdg0Dr1
YATvrcCxhRFTRxA4RhzANYBCnNeLGModnj04TkPobUVR3RdW+OaTmKMqweRZjGZom9ARWEjGlSIE
iV6wXxT448VZ0+lrupzEW4yXRmU8tD2Fco2bI138GpEb7eBebEKS56wIZTGQFIi831DscvXL4IOa
OXjbwpes3XIl6W2YxMCHbD3pkF7U7mJKI/pqdM3yuqgLAZ3SR8+ik0f0IYB4gUFlpjiPPL1tF3lR
HoYPaJbpm6L1sCMcsNrbTHAa8J03V6YESjcu3AODhvF55dsb6XubVPkEmvnxz9CjAFgwgVSbBrtO
Vo9ThdRNUxW+7WTj70QIF3gKNIH25ZitjKgrX+K2wrA1QWdH3Dpx1tJd9H3Uf1VAoI9Uk94P2tuN
drnwD2cM1pJfgO3wiy7Jj2jkHEKD7+QuyI1bzwuSrZ911WXnIVqbmhwhqTSvi8p9UZY1gixiyg1Z
SYktcC1WcfjlEAeag+LPPUsG94WoZJqM3uCs3VH6z8gcaCzYLQjVkZ4sBETqN97lnEH1RyfJeW4e
D9rAsJOVtre8zduhcLor0wiqc88hfsobsNG7wjpQ5OU+NV+neB20XXPaGKariINemgnMMurG1hQS
Q45W56LGT01jcVtiJW5j8922cVF27B8IB7ihludmLdxVVtGoKeh+ZA4/WRF1A4V86CJw3EaX8BQw
A0kxXeYKTOckP5SBTh1YJttsi1e8qezNKKS9rYN6O0ZLNFF8KaUHiEiPWCscnqfK+sNoJy8RxRO8
vmo3c9mZEOhPVkUPD2fYtFAP2WobOuSFAjxZd0uWQUKTqoTSaLouORbkEmCQUphWJqDxfhj/Qo1L
KjAprp28FyRxGjEk5qgFYZaTsjYhKJcdxZPiW+So+x7tX4gFYdX0/aYtvZ/5nHwEFf0R/jY6OiP0
k8Z4H0PsfQ5Ngrw139t2sYcbP0Qc/Axt46mQ4FA0R3vbuE7J/erQCjSiBnhXXMdOtGtDvriRHTIV
gtYISaNkjZvtXcvBPnXUM+IdpI86v6a/Jeiw4+hpsx2Ow3XvcS1XwTYGDxzF+KlJZnPcBlNnc2l7
zcY2zedsQCuJ/AfxWbSKa8COLQaK2cVb4uYHLscQ4dz4LqtJME/ax6jhvtRoGCsQB42GC4x4S32j
BY1i4UZvfc8mMdiN1aSJyqJTVP/yO2rk97Okdk+bJw5YyoLWxPoL/9GWIZhx4me51jutjAb2ilr9
mDKrnnaJNBPn1ZWD3+6VFXnmQ1BmAjSNqjrgyVY84d/Pc+wMLsS9ASEa7pSw2BezPbtM6hBzpeO4
JCnGDjgTVqMRz7sxdPDXkjzBOhPEE2w0YWDLXFJsSaMxhITUSRlfAant3NxuVtzR+uhiGBLMNbHg
eHExNW02cMiYmo8mXQRJcaO03oYpOGDmC12jDSQPMUANUkSP6Cgtsb7PYtEGxC4GRNlkItumfTzB
3hI+DkVLxt58zbptt0SZ+QQxDtFYyceCsblJwsCKOSLTh5+N9xJDHaE+Yzzwe0nZyXiVvhgteW9G
MsQt1ifcZjSN8+JaWb2tgdEWrUAroBxAhqiDOR171NlCN/f5jZo21IpNaoWOc90rrhicLuaMruy5
o3VV/fAstOGIiYsqusp8Hc5btHhz/jY5wuGGTtl8TO4g/pK+aUSTBNkXTe5g3WZxSq8OzbPfcVhC
Zt6i0qJ7P1yFvouMgxKgF1Y33PR7KKqiMCembeKb9ZVy01ijHW+T1IaGHEfKxIhgGrI8VB3nqlfl
UvDcBE07ZbdwV7lPNTKd7UOeWXMEu262qJc1DcqlF5UKZcAUHqJEiLOip517NSRZn6erZmqL6Zna
ZUbE1DCQYAZxmV9iJG1h7DOFhvYnpWmuO6hh7PK8cQOSPoZQO5c5/yhs75Z1Pfpoisn2eoiPicv9
2EOvBAUohYY9n9s49MNXBNtdvk8702Yrg8mL9yEzFHdCpemdv4c5DZE73OBW+5b3lr4ffaxv5dpt
kMuZzGCkb2aATK2cAkdwfQxNPptj0ri9z2vfa384Xlvk37q6CNSNZRRTsw6KoaPfawvmrhw8R6Kk
rEtxV5qQOAF82PGgN1HVDuRfG00O+rKiDUHew5Q5AjdNJbvL3sUYNnAxE/yYyLKSgSe4V0K71BXv
CmD7jJ9ZRl4ZvXZusfBQ7U778lfeWGZ4kwei0yCkjDTu90WE7od6crXokUuvGInzqNwwZgenm5X7
34NmbJH3THzA4l5Ir2ftBNdW0uBK0GIQ6Tr4XCE5m3cGG7LwvZKKCD8L+6WuSrSaYxM4T43M8o59
IkupF3I/6Pwknsr1OPhT5yGQVD3X6NU//ut//p//9TH+d/CzuC3SKSjy/8q77BbZW9v873+4//iv
8v/9t7sf/CeF09q0XFdphN1SCc/mf/94v4/ygP+z9T86P7JF16E/97ONBamsKp4amG5Rauw/H0ie
GMi2LSWEK7XWtvfnQOkQzWkQghEthlKtOSEP51PZQSBq3Kv/bCT150ihxDxtj+wrfvvXtalQCCJA
24nE9M8/H8o6/VTK5bRleq57/PpUJKMJYS7xrfqs3hcHvCWr6GewIR5yQ3b1tr8zt+ri80FPfTLb
1a6lbE9YWi1/02+fLIgiNdo1oqCmMw5RqzZZT7t2in9wRLv9fKjlVR3PDsdyBH11W/CA+s+hOOUW
CeV96huTPCiXSh7lP9Q9Pp6GpIsvq7rg5jNsPx/1xANaDgYcy5TCFvbxAyYIZVAU0T6fIue8d/ZY
0Sj1Oufsa2efj+T86/NZjuVJbdpaOEIcv0ojq3PLpKxtVj/oRmIaj74YwbJODSEsXL626wqpj35g
k8wszwoYApPc2lNnaP3305qjgjg3VvEX8/HEdLSkYwklHWlK53g62tGUm6OgLepH4IdsW1JSieDj
m2lSfjELl09/NDUYymEGslPaylme+7dZ2LS5J6IQYSFM4q2czQ9TLHU2e6uNDJI+R26B2a8xnS/W
kVOTQ9JWd2mqaM+2jt6ntqWfFwH8lVE4z7It6MZMF5Po78lpPXw+O07Mfuv3oZbZ89sjVj2HkLll
qF7cCtIiS6GJo3yYu/TaSQiHUnefj3fq0VzbMaXrOfzqzKNfm1k7oefjaSWqC+1t2DnDwxzbLsfg
jiIBCqb13xhPOq4npKKfZx0tySoqNRJWwkhp3ZwZqGMNzr3VWO08Gl6fD3VqYnqmdh1luUoyN/98
laOd8hCLDDUbSNxqiDrySReb++7X5+Msf/LRrEQa65qudJXN6eJoHLsdPKDwPFJpcFPVC6vWjOnu
xFn7pEu6y1o64xev8cQiIhjK9hjXkTAp/nw2FfnNOMPyPaMRWxcslaPeo2TQ7hfv8MT0YBwqX0hg
lP0vO6ih2L8ju+YXN7XtOnPzaWMCe44Xl1zhwKn7/FWe+GSCe6RWml+59Lyj2SH4Dde93UHRgAJ0
QfxQfGf5KqY+48dfvMGTT4ZsSEiH5cRyjr6abhNdKY0HZCnFyyXjtD1P58cMDe7nz3TyU3meYOGg
yk5Z6M9PhRIPHZ3Dp6roptUuQEzn5vMRTk1ALCtCWJZtu9bxcm+7wpEAJZHfZtZ+DlNUHWFQznCn
qR9idcv3BRkjXzzWqfdn4eA2MdQ5LIlHnyrLsF43MS1SBzKmSVfLoAbQRhxAAId9/nwnh1K2ovIl
lSnU0WSXltajDtBHqfzQA9WvErUL+xuHfInPBzr1qSzNXmY6npZM9z8/lcgtL8EvjTm9D546lCYc
2y8/H8ISJ1aL38dY/obfFni7cAVFK5OjNfgnrcRdOPQuSF33ylsgJUQY62T+PleVfyELmvvAmStK
ZJ//FSff6G8PejT5XUWFKwuXPyIhuNSXmyj5PtY+ZbHk4vORTv2if3/c5S/57XGTcOrCGrrgGTd4
bhOgSeYXAbrq81FOP4/HQuhIGzXl0W+s5xwZ+yaazhg6XIxYhxvqSkFlzr5a7P/aoI5Xew4B/3+o
5fv+9kCzrLMhD5gjRT0Fl1C05t3o5TiXR0KYUbXoC5k2zYYkkhoDsoNP3vSTe0uaoKhnHUBPdh3O
SpKtYu5LfC8TWnQXx+v681dy+sX/8+88msv2zGkdYepyZtknQq0qI11n46/PBzn9g/nnIEeTeZzj
0EYfxiIQXAuUGTFV/s9HOLG2ucqzNVu4I4V7fD7B+g1Sw2WZye0CbdE8jua3wVLOk6lGNHNjUGA1
z+owNL+YUifen6uU6SnlaaHt4/3Bn1u/5njHIaWLXqKhSla9yrdhg5r/8yf8aqCjX0hHmwI7JQP1
k4uwqMG6hgGZdul/NszReu03fdK4EcPwktEBvE90pRC4/41BNL9BwbsT6vh0x6lvNrucrzWI8jFS
9o/AREbo4dX5z8Y5um5bhlE6Y2iT9kUDM/UeiwLrnf7i1H/yw/z2MEfbDqWjqg2XqYdXpnHDbV6V
K91/dX06NcFxQCh0y6Zmqh0tXaGMypovznXQvE4X/234a3YfccFu6uHx87d24tfKCeSfQ4k/ly6O
+kmUoIKlz1xfxM1tHEdf/FpPjmBJy8GFY9nm8d02r2cNjYJXJjUFZ96Z7Oznv/EQvw1x9HMpaGHl
2lo+fe/9mJtwqzog7Z+PcerLa1YdbujKUp48WjtxD/llhZQPx3TxakT5W0W/0qqdL4pGJ96WZ0I/
AU/H+fBfKgFSJlijEr7HqMJ8a8EUxvUKMPvzh1leyNGGxSiepmojCA043hsz7SZ56DAKbVwyJ6Nz
oMntGfsYiXzIZz8f7MT1lZgalH7c0G1OUEdfB3uCHbsBBmgb0fumzsbwUPk40v1S2wSOw38B3OFt
/ebLI8BXIx+tb30R6Q74YcUmm7ZPYRqK615SofZ8ZBMA54Z10GHda4A9fPHMJz6jwjKgpZKuiV3g
aOQMYkOb/4VeH9rnOJ7XbVN+8Q1PTMhlGtrLamRrfXyVpazbhMqiG283OIDjBEzZ1DfvOSyj1ecf
8MRypC3L9Gyp+AFbxzcwAys6rgGiF/rGgvJezs5tNoJTBuQ+XlVeY9FDC+lSfz7qiedjVKpiFm2U
pZD058qUZ4jFi9QEEzwWABqetCJkHn7F56Oc+FDaEtwsNbcWJunRUttIDg9mwigupEuFqsiHKPX5
ECd+bFpAQKK6DW8Q6/efDzICR2uk4CDaL3wQQxYm+nQox4CnqL0Z4t+fF38Mtzzxb4fRKLaU6iMO
eT1R93Cn8ZxG2EK2f+OheG32chRypTjaCGeKpigaGIVbYIvJjGjP3H3hBHuRDOr587GsU2+QXwzr
LouW9y+VDVw7vQ4KjsjNhQUGBPnRufuert0VVp3z+Rk/CoF7qjkPVl9dIk5Nj99G9sw/X6bTuo2B
IIzlGBf3YKoza7A2nz/dqXn++xBHM7B3he6tfBmiQo7TAKb0a3TKwRcf7KsnOdrobYrZ4DDYI0U2
/0h8xoun/t/fI6l7OnRxtJSOfbwk9bIzBiNgWymT/GBYt7We95jyvlhbT76w30ZZZstvE7wb8rae
SkYJRg859XMz5Rdp8Ovzr3Lydf02yNECnjc+l7qUQSw4VoB54r1Iun9/r//jdS3b128PklhdU4TL
l4AxuyAn6n3UTg9/4znYJkzpaW5L1tHi4w02R8mlxx/Vv5T/3hf3/9m/f7TaQC6JMqRW5Bfb3ZNu
ya1b1K6fj3FiG6fK+M9nONoJkqliZfB5BujJJIu01o0JAXKygN7ZBOKx9wHPRkn9+ainppmr2YA4
slgOdbo/v47VuhrWP6P6mEushGANE/tF+9Uwpybab8McrzDKb+vMKXmBxfRukcRk+l/Msi+ewzta
X4xwyAyXrj9OTlBRzpUETtVX75+/rK+e4mh1KSJcJ+ZyM67Ve+WFKw7kX0yCk5sA/U3FHGa/8Y6P
VNwecrdcFheq5/6deWH+xK1Ed8k4R7q7oA3Opj1s7HPgLKZeff54p05A9Kc9QedY6H/pZ4keE10a
Ld2JJUUygthcf1eEhc/BYxR/Ubk99So9yo2MZDsOBe8/513YNWOXjAHuRk7itAXxhWdfPM6pKUGz
ha2Up1HU8v8coqumMjZCzV5Ql1fNbK79Cex+331xEjm1bf82jDzePK0Z0WjGMEHo7zB38rrIbMim
nZFEf2OSwwixyI9zKTEcH0e8WfuOU/GBVO09NnZOKitA3/5vtI/0b8PYR0/Uta7d/l/uzmNJbiVL
06/SVntwoIXZdC+AkKkzMklmcgNLKmit8U7zFPNi84FXRSCiEnWrVz1ltani5T3hDvfjR/zn/4cQ
M0EdrEGZbCTXWveNuBAS/PLKs/zsxM7sztZCM8jZdN78al38LG8ALznIpzitdm1tsxWT7QsWLx46
ps80MjWZDsjMoJcyu8EII/Bl4bnspjHEZP3+FZrO1NmSjizMPEQ45rqVN1gwtORj3yS3UB99bgqk
UkoGjTXBeC26zJj4kRfu06VTSN2JDILrRLNldtg9LzLDLPVhdhvR+yzF6EpupB2QL6gIkDh5f5Xn
xkxydxAItBZ1ujuzA5LLY6TrAUxvODHxS63A71YGE8EhdyFMwbtOs3rvmzy/zJjUaJFB+yzSlJv5
iw7UmkYcARWq4T2aBmIJ+jiuUiClC4bOz4hJEYdOtMEVoCs8M6Ra3lC7DAraAFPve9/6CcmUtmBD
WjIyi4myOBysLGwLQn31So93AUMpa+i7nhp0MqArQVdxxQjfQuB6AR0xrY2Ene4pOIJ5v1bvhEz0
GwaEeIkNsgoGHRRbSFzxQUUU66CVUv01y6UwhAYMnhzG8NIINiuYN+xAs8Kl+u+lY0QLi2oJwAb9
rBEJmMuLvJStzhRrj+yZLTHf1fkiFDNLwKtLG35savopR0GoP+ax2saY6pALBCyhfIZtbsG7SOeX
n3Mj65SzVJlm3bzfqZWMlUKnAQHiNnxQe1uFTguuVQ/l1Mi6SbbqqnckBznm9r4bbyqttjuk5uFp
XPjOl+7KhGqgFiXi6OZHGDibURkwuDLmbcoAiYvG6XPvRlgMiy8amvqg05UE1zb9+dGuon8xVsDz
iE5cFzIz0Pl2hPS5Tbc2XVjTdO1OHSt7Sx+UoiGWzrBR4Dc1Nek0rmWnXRET63btxw9h5R2AxSAx
Hi/ExefR+GQPnAH+DTIFZXZDTeCIQlDArVSPrnhtTpMUbnlnCgw24aKa+75CcTFRjHj9vp+7vM6/
7M78eMPMYcBXwzMENeNeRS/SUANbMXj1VmTku1qFfQ2J7r9h1VLBHphUiOT5wzgOkoA+LXB4wbO+
tJFxX6IBOBCBrJosuANEs3vf3oVeMNAUnCw4vgl7No/NmPsQwsyoYdOIDPkOJJXHkFjhX0EdAfVi
7mfrTouDL0rSDs7UcnEAgxOP9kaF5FedLmz6pXN89GvmIVwyKhEkpPwaMdqF1iucDnBrL2zxhWjn
ZMnzGpxUV7A7ShUnipFNu4FO2tFEG2SqLK18iASdiBm6NXHkwlZPQc385hwvTj69pAjwaaFvYBcK
v2/qGgLxl/JT7UQbiBkXPuslL3tsapaGg0nzfEnHlJRDu1yhi5LSFltY0KVXg2rRhDea6uzybD2a
UFGsAo0PAaweMOI6tk7YoD4WVwevjJa6sBePBtASA6YYBaDTzA8kY5vk3uRL9dJEhlAorjsfNnkA
69K/4eFwN39amt38krH4Miio0cZW1K1Et4jXdSH2KwHOp7CXn71GL1bvn42L34tWxQQvoT82b1rR
yBo9qHgormfsZzeYt8U4vr5v4+IGEnJMyBJwi/OcpRTj1G/KaSi5mYDr8ZsIGVia1Qvx79lSeHRp
vEweWwWqO69jGI3XUKyniFW6quCtm1gPD02ctvHCI3/RjiLC+wEaR+N9Pb1NREgGCHNobUGfuXBX
KEg2MrWeN8Xt+/smTUH0yb1lRQbREf7RoiQ87yh7XiaZekcZIBTdalMNWQlXbRt9y3QlvI50xkEb
LWBoeBigUtaZju9SRiAXfsSZ85h+hCxPsTAgvzNwMDJYIbBgtrWQkCduUmQKgzJl6H7s1R2dn2lU
ulUdt5Lghxon4j291eDbEuSl63F5P6beBWrXIjjs2U2UREmuzDRBHavWFcjiRwHVEh8R2tpX1lmL
BgscLbBBIq2z04h/PyVwIS98/bPDLGtEOQrdjQltRjBy+vXjVgkAlRGFVC1T4pLZXVVaulc1cwlj
Ni1m9vFPDM2cXBdZVSxbGAJB4DlqqtwVUGXpeseMVICETWA+awa0Mu9/7svL43uzPu28A+HmKmOh
ulLYchshixCSXOmxN7HVGMH6v2VqXhBMfcELYxVTJcQwedJsmb++QshnwcOdv7q/vtifS5rXBYu8
aZivIp5yEQDUij68qWC0O5TXTT50KHOvePplx4jkcp1zaAGxiqgo+kMCr3DhPf8bi4YyjaNqKued
g7GGAMgzCCqFVvzYab2jddF6aJTH981c8FEMR5C6AuenozmP5ly1N3olMWFZkVCA7N7GYAlSc9mC
Sno8YWTPsNNIvyp51OpwliDWFksELWNY/3h/FZcu/NRMpDMqoaoBtOL0suFYhMrIJyNwYiAyrHSH
KG0/quHoH0AOmg8eQ07Ir6LT90i9DBoGqa/bfCGmOUvqpgNEU4Gonukdy5w5/KGvWmggeZbLUve2
hbRNhE/RdcqJKhsrv/Nqa7ChxxS+vL/6i1fxyOyUJxylVrmSMcsmYjYDPZhPQ/9wLk6Mle+bkSZH
cuZojuzMvKpau0zjToOwppgThqbwUoy3WmbdxW60hjkPXpYYyeBe3nSutpIacR/n5UJZ89IWU3cG
oUFHbQrqTteqplEa1hoRSCU9w5hVXBMHQbPJf+DpSiFZMiHvkH14R0DQL01WnIWTfF9DBFwgY356
606Ny4kXt1XN5xwT6XOtSCp6OemhQXXSsfp0CX566eJQLKbATy6rAq87tZbI7lAlk4ctyuTGMuun
MU+WOofnY1LTkhTUR5khupCWu4k5DgFzedBeliET4bqW3w6SCE2FGmU3HWiYN53Z5RfBz/pbiLnE
gzpU+X2jQ88ShcyVGy6vu9wk1m0RW+nh/SN36WQf/7rZhUo6NfPrgF83dNDH9DUIyvKj71kL8dPF
73q0CbMLpHkaYzImvrab2IAow1KX11ZAGoHo9f3q31iTTlCINwQANkdx+CgLBM2Ax21EA0q/ch1A
ZQCO6t8xY1AD1TmoCkij2enJLLEAqY1jh3woHfpNCu9oaPxt3NR0fo7MTF/w2Pd0QToiCAQSJpoq
2R0aUQPIM3Bn2Y9eUJbKVRfvBGUADYCKLovzspkhSbpcD1ZhB5F/J7bDOg4Df8HPXTwNQGCmF3FK
GmeBWxGiS1MIfgkYO5S2Wu4/Md17E8XEUk2Qygvf6bI1KCGmJEE+g+0HYSgXgiqwImSAbF/yPwtt
9ClUtC/138/h6HCB6ZGtKU2gQD5bmV+MRWKNITobLQRPBkoWtdQU6/fP94VPRDyBL6FhB5xu3pWU
IP8E20bWY/ZjcxXV0GxBqZIvwE6XrMzeopDRFzdJYz5SXz2MWY8zCv/+QoBtEFDQFDTJtWdeIWwS
pNl9s7QHeE1016P1aCzk8RdWwbegMaLg39UzRJebp8LYde5EjvxNMZ5dealDccGBYgAw3EQ6IoP4
PL2egtg1ol+yhjQ8xBHEbi6caYK/cIbPl6HTZ6TIQrUVSOv8USYYLngRI9S0gkMRflO1eOFKni+D
XE7UuR3sFoXH2cM7gKCHbnVAOTIwlLtGENSVOojqOvT6evP+8b1gityV2rtBaVOjMH66YyhP0VRS
aGigPGNp9xpUvTL04+8bOb/0sDhPzkVjelemnHJqpBGDSqwNi9NbKiOcQETNGeijEoGIUEsZZulH
3/+7VWoZm5MDIBdk3MCaPuKRpxaScMxyk6Pgw11jW6WCFIRkRjZDQ1tJqqLpkTiMi4j6C2dD10hi
LOhTAKXMl4rgtJR7Kke8aePwJfbpraeNby18tUtWdHqZFI04gGevXc94mm56WBn6/MENomeIS5cS
mem+n4a/U3CvMUwOnAt3MPMHUehBaayHyH8hbeXHKG9ZL1aa3IzD6yh8f/+AXLCFpzbBJ7Gm8xGB
XA5RPpWSiS80aW40pNbhQ8mQX6J6ghwZ7dMoCOvV+0YvbCKem5dBMTknOKTTEyKnTSWUJaxiQtxB
CqWMEihJLdm/b2WWRpgKJAO4PO4xaS0j0fN9ROOp4H0gz8yMZl8bcM/4VCfQFngErG6HsPz2kBoG
w7gvBXFjIt/zO/Lvf51wK1S/uBa+ZflQBkjezP7nf90G38qsyn7W/3v6a3/+Y6d/6b/u8x/pU13+
+FHfvuXzf/LkL/Lv/93+6q1+O/kf6xRG/uGx+VEOhx9VE9d/sEBM/+S/+of/8ePXv+V5yH/85z/e
0EpPV0FVl8G3+h+//9FEG4FrmpoFf/JMTBZ+/+O7t4S/+fSj9IL8x4W/8+Otqv/zH4KifwBAzV2a
+vUECQqnoPvx2x+ZHwi7LOZOYYsg2dZxa2lW1j5/zfpA0j2xR5CZ0TYGnPaP/4AF+9efSdIHhn5B
qzF9ifthHvcff+zAw28X7LePc5kX41f8dXQP+V0aP8EkBzMp3jLSeXpMc5l6QqK1zIJcwRfYOIOT
HOIVVPeQmDtoTqym9kifrkHWON7GdNpV8floy37/ScfUHPNyA/tC2x9sjaVRnOF3zAKpAe5eFDEb
ppf3HpQpNEo0+N5s6TZYLUW802qOVntmanYpCwMQrJpkzEeb+kOPKFHoNbnTKvoVSgnPaSNcow3d
L8QlszuqT1bBZeOuGXfnUZ+3NL0IUXVjWmDnSBv4ptcDdL0OAo9OsoKcpTfW7++orM483tyiOnvi
1XSU0rjCu0L7Iz3Xfl7CpS5mKxnq53U7jBS/vDLYpgYy12EHi70lVNErYuACNLdxuy6SHA6Auu73
whDk14UwIEEhwCTzlWHYwbS7SFaE/YCEW2+7QitDtBeE0WGMh3pcB1VXCDdtbxVoAKdjVdiinpRg
9wYr/RqaLXQ0g9XeWYkkkLY1TftDjvISctIOyig5KoRkg+qrKD2OrdeWr0k5SpC+uUrA6KILKRQS
1VKQDvdpnBAYJ6VYHJIxtcwrQ6vUZ2/oegCCVRSvhqZJb8tYah/7sIWTLLKEZ08bP5ulFq56NXY3
UTRoHYTBNZoctVSEN1IlKU86wnWpbaoBrSZNL4yHvu863ykKQRuRttAsVICy0byrem34LAhSdhPH
8L3Dqz9CTxmUFhTvSqgeCIuYHJaK7nsSacVXBX0pBN7xaR8jOc25U4VR31V+UhgO1TbvOtWZcF7V
MTw1cFy71rMYZxlqVlJTOoyGCZ+TyndHZ+jGttiZPnuLYJBQt+SHCbpRfjQQ8jZC1cIH21pyRSVV
HstbtQ/rV6hFYV8eofMZIEUVVbRnwsG91ZKxgHE2RyBWEsON2UqcBRmxTJeIvYTx0TJXeu+bIP0l
F8GnPn7o+nDYDQgpXFUDaBkXddlqLY5ZBzYyr3J6Wp48MjUSh3dNVfnMxEJyspZzXY9WKESvcDji
zkti5bXNk2QbWrT70eQMUa5QWPB4FQoZwInSkJEVTZu8fEKYE7hBpgDvcmTViyaNskm70SzhSh0h
nxbFPoSwqKyuAp6vg+AHjb/xkXV4gkmq/ly4RgdvX1I5cQ65LqqNgUO9Epm3HvFPsFRFmlzJUd8I
XwMrSG+tqBBRe4i1YsXwUn0HxQdquWLZyk/tyAyuE8ut+1wV1nhQUs16UUZteA5zVJZ7nBliHGmx
R0bX/BQIQv/kUSrynA6tmOdEYif6EAnjGN7pmz4VxTszj4pPFso0XzxtiL/Tc8r2SmrWd3U6uvdB
jEwC5VVwHRBRQpcRZlX4iMaSf5eogvpmNn104yEZdO/Bb/jFq8rysYmgxQ8sLb71A6HaGX0JybHV
+844dPmuHdNyn0SRsam1sd6ATxEfxVyrOyiZI5FBBI3KrjuKO8NMir3Qttm1bBqQiSLFhGCHNm7Q
P0U7tEh6JxiNSb0TktDYapsVZBDfPQr6jkmHYS2aqeBQBoPYt6zNR7OQLEdHxn3rhnKLZEpn7LSu
kt9Qnc0cufMTRt/1YZ8lAfRoUHqta81DBsHQvHWYKNFObzN3lzUVRaUY5cuVBTPEdVCYPhKDVoYs
EkR1OwNWgr2lJYjFtWUGmWXZr+XMjVGQrZJNkcDtO4a5+Ol9h3vmb6FzYG7PhPaGCHMawzl9Rd2+
QHq6BVamw1avp3CUy+bTRJ2sadpqSBGxCeRXZDDvgubZS0S70NBDhprBe9C5iWpnrNwWwFD6JEXX
vhWuawSzteTGjw4xtKBIGWRsHgpfSSduyhJXZG5dEdJ2xpOrZBJ0RCTSR4RXfAqMfiv6wtpS7muI
G+sKIkL/wUS2tU/MVaL0IFoeY3kRWDflvscvKzugTtHINO0HwHMOfWKuS+kGjTcOeZNVqKxqbQ1d
K8gr5A2VkaTMybfuwjs37zHBe3lqdBa8CGbrmoGB0X4TP+uFo6zGHVd73Y7r0C7/BeKhWao5M0i+
OfvOCQrYRcR3VuASrRNhbwqfBr+9iesl3NzC2jRxFqqkMURi+QSHRPJ3jRos0oNrKEJvJEe2oyf6
dUux0a+C+/wTcn51EHRTyDkfryn61hd1l1Cwc4T7LvPswelXqG1CxGvzesIIb3skTetqhYtQ1sMO
yUTCwm24ff82EdyeHaXj3zF9hKPcmoyRoW6/Y3q0e5KV+DnUPpIQ/3zfyMX9PbYyhVBHVtQqLvpB
+LXaHhExbaOux920TFigN6hRr7yV9luy9rcypf9pOZBMZZNr9c9zoIe38u3//p+vb8dJ0O9/6Y8k
SP1A/ktoT54q03mZICJ/JUHge8hAwEpK0jQN81cSpH8AF2ORQovQ80ypAUHsH0mQ+YFJb7j8QJ6A
EKT+b/2dJGg++zGVC7GtTxUkxlCZpDw9CyBKYi7F4OG88n343bumXjR8gSrTgSR5AxUpmANL2vEm
ro626lLuM+U2J3cOsiiT4amJMo2RjPmdi/thYMewrN2Xe8mOrtqdao9O9gCp+8K1OsuzZBrTQI9V
nV4f4Mr5VDbvXhjlY8G9vvJ26abdSVthiwD9esnS9NqdLIo0EpwG5alpKhXM6el2Es130ZBqP9Vt
vU+u6l23QZtkZ/x2m07KDsd5IzjlMztT+szRmHJrKB5nhb/IHY0gjQnNvLI1fsh1LX1CLTi/V5vO
NWwrQmtkz9yx+ylTIu2LlEH95XeCsE3kkJlVJXfray/vs59GnnpXYw4RxqbP/OCuUaEvFQSkTmHi
qEuVJ9M0N67rjqqtewHlzLSQm3Xpd9KuiyETb6ShPjB90B+S2MpFu2G+clObcbIrm9q6K82GBrZm
tD+aEeFrv3WlK633a9PWKyX4KuRMyftVXu60WJBEVtPEcHEPbvFK5thQfevya4liVY/mta/uPUai
d6ScUgKhpg+jvT8UT6U0Av9FTmRdtzJs/7kl3LVxb96KcWtuaSPkaw8EzRVxaQpzdTipBgcFSptl
1Ew7qDTE31HZ+o+iXplbMRGtG9GA4ktU+P9MMVM/SkqMbnSblIg7ZOATHiMob3mfgmq4sSpomPU6
1LdFJ1ZvSuWLO7lUWqT1WFEvuQih1iYC3pMmgqLCtr81Q7f+KqQi8rACjD0rGM3kL5ZbtttIqkd0
MXQtdKykbbamEgvbMiuDXdBXxsaIsnyba5nxORmgrltZnSmQe/RSuTONQXmQR8vaqqAkPnVi7b4a
2pCvk7L5qBTAuUCqNemd2dXFU2WlnbSKk1L/ZpmJ9bm2pGEvp3Fj0wvjFo4m8UTSD8+NpwRXFYyQ
3+mW5r6TKaha0sNw7+UR9QOpHdAh9SA8VlZZkZhXVud1ntNwbFXUn0Io85O8CDt0jzx5341R88gk
o3xtpP3wlI2x+IaeHPJZQwQbrNIpw2MVZ8W9alShhO7FFLONqjgq/FSza51Ib3oqCFlxradSexXX
sOxEQhpAj6wVqDlZdcLcyRj2HhKLY9G+lmhg3heKbzSOp6SJ6qAlntyR+RBEl1LWr6i/aOgd0p0W
o6ATYEVtqptqgIqcrJsUkHQfNVlHFNTMssVmpFpbCZnnhEaargw/Fa9pmrb3iVqRWFW9AbFqSUh6
1cghciWdVqZbiIlTYBS6194XvtqgKJgllgxwzGvMT4jt6Y+NVbcbjzGWVzWLhE9NbuSfxdoDn1yn
KQLLRY6Ej9Cpk7hsV3+hIVA3e5mE8hWt4PzGmAoGXTgm0P7rdeMYQth/9CAdR9JBlhppxVgvQi+a
1KbWRtFViO29ynK/jG0YiWs31Qify8AtMyemLvQ5V6LwuwSHO2qYruV+zQdUJRoDfdjEzeSPWj8i
EOCzs6TMWbaNw6zflH4ceLsm9rTrnOTtKwUXdUfqNvEXBBGUb4NBVmAOcL7HVPefu3rgRZGjkflC
N0fgzDfqLXVxdAAjdMTEtakExU8pEyGvl7xBF66HzBQ8O5cCPFOthEG595W20LZaafbFKk6TdldA
TX+bq10qkouYyRfYpi1lKzcmkgxVEje+o3pEPo4Yi7BnM73EgGsOEIXKh1qTOcfo0+m1hjpPi9bF
bagF7othpsPPHLylhpRTkhhry3UViCGTOHo0ijL/IZEPkyAawPJS6tBXvRwLvlOiMh7ZUdbDLI/s
XXk7Iuf6UplmvYVbD52WpIu867Awre9CLDA2yhwxuxR1lZjY7ihbn5S0rWK7C5Ch6+hjgfwxrRgB
4hZhjq6Ai8kMgASjdCHsClWrkCnVYed2JIg5dqVkjrsxDdorMJrKdVrJSEPqgzmQCMkF2iIt9Oy0
9EVb1orga06J7oHkOgqYIJNLOiwMlKAElKvCwafqci/6A2qZmYVuJtMJm8B0syuxCtJtlqkdctGZ
McBhj1T3NoKFXIWsvXV3jZCgV9f5dbSxMlH6XtItwAd65lWjUDbqFNU79EFoPsVyzsSImkrWvRIC
ygtGT/2OLpeIYjvOJ7Wq2mn1sTgEWlV9a3w5fPGUeo28JHLyVlAweus3wlbsxw6us+I+Jivfddkw
CUvoiGUVRf5ETCDYZYaImEc/4LEo9eyGcQt51bVhuftFWw1rdb2RA7ieV6E/dtvQGPTndgi0K82P
+u/oklDZGNv6SVFKYVsMClG64MrWnU8BkYYiJ+cqyDt17/ILM+hZTeEnIoT+tQcgmEF0TRQ+Fr3k
PatRma+tURq+p9CQ75D3zG9EvQVS3hqed4XCBR8mw0UhGOylD1FtjFQltPqHVfkUTlPR20hUFu/r
PJceq0H3HkzCG7srSwGXWXS7IlR8sm5Y4KzUhSMgoC0tOqllhUDXjVjZBrLhO8kY6v0abdf0kDZe
ysStiraW2FTBY5IhOZQYce8YI1ccONgYf4/lDh3L0bByCuSptFasXL4qAvSw0IFIMwfCVulHnHuC
bGteiZSeGNWbsAyRpxRraKk8V/W+6WYV7xVPNx5zNUSHGU575kwSt91oRQg9CCNEKA63Bl9xtKQ7
f+hEtjJHLt5poES5FX30PGUEgzcjetfPEQ94g/RY4m5pSku7jEr0GwO41EkY5YgJanXN28fyaG6a
TiifK83MfyZF0T4HlHnqNfVR/c5oxGKlVeGwEXVP/tiVoEHUpph44oWR8DSHXx6hZ/QMkUwYG/Wu
KZtsp9ZJsMW/aA+62ArXsjpE3z2rS79bFFftLO+s6yDny0W9ZNh5DjLqqpbM6jpuNUo+wKM2fVh6
t74OeBCBxPaj6ZfaZqKIAaCUDOaKOnEfOW3AmJox5DouwoqEz4CmrEPrWurdkLvCnWCV5ppDKB1A
CPsoFA311tXV5sVF/OJpSNvoMZSVckPVLn7UYNjyHGqRGhIpRuFe+7063qSxqX0eEhikTNzIo1pT
UKG6We9F09W/ZggY8KRlNYNjiuTrOxMVjBchExp9k3u1awdhlmw6KrToTlrJvZp43UfCCgS+0tyX
KJcXo37D3/Y2npmpg+PRJVhV8M2/CaI7PHup2j4aAFTftKJNH7vAq69UT2ruhraUSwSch/xbHBjy
x0D1dUdPVNTig6xqDr2f6CZah0WMEnHWfK9iKYE0TjEKxxcLqsOWEbzINdzytitTLcurSoYxsKoD
iGiMSr6OWpS+UrNMn9tYk6INj3fzzRCj5EqNEYqNKYenTiOgwwl9SK9dNxVDrpSwEXnq+qR/CvM0
3qWyi6paVzeIeueTtnJXmK/wtkQfvUhUVoZbu+59KRhtuTddlA1siabERpN7K922uRhqdhimIw9O
rshOUsfmWh1LJIulDJW1JLrq4IC4TrgVP82gym4ZbBA24ThpfWdwWXZjnR+g2UESJnNVOBtkxALW
Y4AXUaxA4lUurFc/lOpX2fNHnqZMZTcKNUEhJBCNVYPT3yeZ5F4D3QVfOireEyiWelNYJWo0USkX
XzUjcz9Jeq9+qsQmeCu1TNnqlV88CHVlfSoFVbkZRlE5mNw9YtbQV5+GIBL2SSNHNyFdidsijfwf
MBE1iKoaHTqkv/LIv1VZ+P+zBwsizqQ080794UeZviVfm2/ZaQXi11/7vQIhWx8YzqbIQKmBoTXG
5/6sQKjSB3inIPCkekkLfeq0/t6FFT+ASwAYywQNExgGzECUBf4oQFgfVKaSphatASv41KX9WwWI
2cgJuRo/TKeLb8L2DRp2VuyDfpXiu2+8CK6eOOMoik4klY1N/hU6KCLvK0rWg6XYxcidNRfrqFN9
4yhhV5npEmVqEBQ/GAYG4HSasDcumPwxIH52unWn29SXnfoawjZH3VQ36oZhOSe+XeI+mg9Fz6yq
c0gu5BF0izrjRd1GB2Wn74n0NupG3nmbJcJD+Wx/mc635ImihrLRNDh/usAwLalH+NJjeNOsjRWl
2xtv56NhYK7iVXKrPwR766q7VyhnMvy9UKWeVSno/Z/ann1btdSrum6Ml0xKUbMtg89p4i9AbqV5
9X1iVqCQRP3K5LCCTztdn9QoQgpFyqN7K22SXeEkTm0zsHpAmsT2Fun3f32Zo/MCTABz1PTgU59a
93PKMUEGcyRirlibW3ldvWk70ve7ZpvdWgdk1Tat3TrJLXDPK3R7P/bb5J6W7mZ8DTbh9l8oos12
mHNLJg1gTjcYTpr46k5XP4xdY4yTQFLys3qje9w8xhvzIQd1hkDzq/Zp/FIWtrg0VzoViI83YbLK
uM7E1wrLCVCpU6sRxUzDquDUjRqmkkuzQ+AJDcwufYql8V6qh4X63fkqQX2BFoFDg4Y/pk/tEX8q
k/x0gAhMLh6QO3isatN/PfKdD7/9/OOi2rwUyl5ixSIjoigJPmU+wpJZruQpOlbK1UZ0RsF9nQAZ
CpKRTrcKB/nQC0+a469Rr1+CV15c4JHpGWihrQPATO60QIsGjtgW+RoGBGOzsMILJVdVM81psAV/
B7HF6T7Wso6KoKCRLN6YVybCubto2zrWVm6d+GqpFHqG/Zj289jadIqO2gx5Q02msLCGMO2qv2Hk
abKnbP1d4q3+hbtwcXUU37iWpgT4bHYqUY3wTN/AXrgPdjSf14JTrSSnPfwLBeUlW7OdbJOo8Fg9
5Y29R75tgx9Y1WuE1hobccnd+99t9kb9OphM6eJwDOa4KIKcbmSkJ6ZW6KJvB4bgrqqSUpQiFfmu
5j/btAnzhdmYS+VykFtMxzAIBeXKHLUTmI04WgUGBUV+hGzhlQRAAmXg32QC/UV0pRAMddetFOxq
X17y6OfehSHXXwO1k1dnKPB0uaQmPWpttU9LAsyxrWkHyb0v3CdtQ7Vv220STbcLGpG+jwa07drq
bmnDf825njq4058w666iwpyFfc9PkLdVtDPGO3dYow+69Vffum/Fs5rd59n1uE5Wwcp03v/Y80ma
6WuzfHi40OSZ7uosIimhlet8DzTj1P00+49TL9lw2nX/CSKG0UmRubfz7VI75pfPPl/yn2bnfATl
KJPsWyh1Tmb7G8Y+gD30b1NfWV2BtU3Uz8gVJnt1k+3TdX6XbKKH8VMq7YJg9bHeNgtn/uxd/20b
zAm9qoL2U2Y+X1WrlBoqMsn6rfZCAYUu8Kq1sxfzm3yj7oJNsXToJx97vgF/GZwFEuMQRUXRTLrM
q3yffm+2yZaEcQXyimE4Z+mITc7oPWszZ9WC12dQiO3O/D51hDR8AGZ0G5fofi6cp2mj3rM0c1VZ
p7qm3rKuATcsrif9KiZRbNU2ttlG/Fwt7eMF18j5/WsfZ9fXpLQVpzUri/fJYeq1fQPKctdul4Ox
f3JN/zI1u6Z0NkQonFkanuJnfRPsjF1whaj6Hm1yJ74Ld8VT8rTMdTP9a892VJsQGLBrkFfN/XEh
A/zKJq1LXZFojkXPVCO+CYm/r1wEveuotJwxNh/e/5AXT8yR1Wnfj57TRpazNEyRuQWF5ssIRlc6
enQoXzkek9Or940pF7/ikbVZRFL5TaTBNzk93tJmhGXZtRGBBCnQ76azE78pa+tnuJM3ff8Gamsd
H8QNrSfZNnfdTfDa3Bd7KsVIXiy+hvPk6TcHya5TKWIQgc9wuhFMBw5lAvaOdx4415rC/6oFpJts
qNfY72/Doq3ZNUUoIWjhkvARId2723zjbwK6W1txM5GZLMm+yRdfvqOVza4q9RxJh6EGmcN1VDhq
9FlqHCV7rfIHq9wZihPd0eO1wUQFu3jjrwDS2rotI0SY4hn9NdyDUHm1zrCqSeaWXoiL58+wIHeC
QAf45Oxe64WU+pnovljBwVLvs/hL3D2/v9sX79WRhdl1VgTiOg8LddzaubtBem+dis+1odlF8KyV
H9+3trSe2Tur9JmiR73wIpj1umlu6f3a0fDzfRvTv+PMU/y1onnkVlUuos2a+8Lhuaq2vwW/y9Ho
hfhQI+H648v8ustHnqHOYp1+gfASIQJq1NOwtK2aLvHRkprORadwZGjmFBIpHctO9F4bf0g/G3lc
bLU6Fx2V8YLO7mXJPNCZ81aVjHiIPealhRzxmCN4n+vtwtze5fjgz99Cz/PUCxhpV1ldVPoQnyV3
cbVCRXOHwjsTT0BIstVyhHQpnznaZvVX/ni0zYEVJ3BUF5NL7NZwKSX4wnzt3pNijET9S/ft/a9K
Rn26QBNCiCI2WCCyhS89krs0cByUrLV4iQX4Fyb+nx9TQu9TU0pZN9TmMVWvzK0h3Pf1XjG/mcln
r49BWh4M+kU0sO0osSMoAwNn2OR38a6VbxEANHcU7qJgNcb28NS3X/PRJkJtddvQmXjkvw9Sv9J+
Bi9CRZnioX1UVQK4ZULxy7766ETMLnTYuPUAgcZ0IuKHZO3um023cu30CuXopaDqoqf+y9avqtvR
WYjMomr8kB2beNO5Ewf107QzhlPd1OqrEe8SXd200n7CYi4vdXrhzr7XRA1F0YdMXpzdw8YqhCoJ
rJd81GzR+iiCg33fb53ji6Yk5P+xd2ZLluJYl36XvqeNQUy3wJnP8XmMGyw83AMQAgQakHinfop+
sV541t+Z5ZVW3vVft1laWlpYpOOHA9LW3mt96y9X+FJ9rx7/cejKF/coroZb5EujKP693s0pn/fD
tt8hr/CbS66/9L/7UF+29ZrR0ZlZ+cLOaL7g5ao26VX6w99KVI7D87+/2N+u/X/5eF8Wj8GJxeD0
5UtNewwm9+Rajft/f4WvYMY/qpS/XOLLXu5YqNBNm7zQMznWOdvilTiAaluIz3OF3tSn8aAelgti
3b97OL+5k19boiJcQPWfPhcqmG6c+/9aGgXCvoPj9/vP51r7b7669MvtnFJqRbVe0N/NT6x6W6g6
CZH1W3yHucmnKKtUeK7t/8s58Zuv8msGip3lEjYG155wbuUpRH3BlAWFgRoaq1T37AW3Lc0YBu3f
qnW/e0u+Kr+bJYJ9c8G11zOzQ57WozrqQ8hriuC3vAsibAvfttX+tkr688FKvyzWPfqCcqCfH1ie
DQGMK8iYcDbJTwjLCuy4Gbvj7BA5j4NvduL6+3PX3+5MCdy4yMKEVzb6cv4JQ3ChoAR46b2hMPGQ
T7IsSngRwFf6Zh367kpfzjwlfCCRjeOXMIDADao+N96Uc10sfvDNO/PdhdZX6i/rOWJY4CyqkpdE
IC6g2SPuDM6tu6D67gP9/dP65637sq56zHqBEOlLO/6OyE0fPiTt7TcLz3r3//Vl/L+X+Nosp2wc
4qrmfxRGaxdDbfsrLNn5f28T/PM5+LrODC5TUZkgfFhvh6seWy4mMGmOvKHDqh2GQG4o5sL5Tb7X
8/79CvfnZ/yy4LjjCGWcgyvTg/q51mHrQSj8TbNVu/5dc/7vlzfMO6DXhi47+Wp9CAUiUqY6eVnr
Ph+mAJiz4L7CFREojx5ge19uvr23f/ug/HnN4Esx41QjcL8DvkWzLXc/7PS0ziJWjb5a1n/IdvV4
/HdKzhW8t2aYQjH9VQwOr5Js4nGpM2jmxucEstJigfbhiIKDbJJF/IdkjM89EiNXwGswm0Ys15c9
cl6GfhILVHZks3qbSuh4//3L8HeF0l8v8KWGDpyI0skvX0Ko0kz06jjTNxf4uzrwzwtA9f3P68Yy
e4ySFOgYRs9L4m1m5xriNure2iX9Zon62/r2r9f6svCHESVBWeJaMIZwA/Fz9zB4Xt5odV8N/QlS
l5uolzkJnsL4OxSyB+DP13UFvXjodjAdg/sgBrvqnz9qr9jAJ+kh4oL6YbvVgOP6uV9Zht3VSfgb
MInjryGtJXSjvYp/wi4Eb/6C5OlXM4EPH2ufPir8G6PgakiiYkLuW19gsiGeSKCiBzsq421k2fgB
KPlLe+vEE48LWDarkxShpsi5wwS0iIAPu/Gpb+AnltDCYnMPJCpvrgg5jQ2n7yNsbyKvw3h+qMfe
7CK6+H7OUs8ZkA3VoOjjGDHsK1Z1TT4wHb0krA1/w8ip+k3Hp25v4VedN1MJtuymBY1oODZBUD8u
dYnfMzbLQ5POocC3bjXJQl+EKPPpOF/CigRXcCGOFTjxMf25BMnQ5U4LmWgmXdFfu44yT4EIuuEC
KJllhYRiimU9Mq0L67vmDDREtXM6f2o2xISJk9fMaLDmKhjEe9z0snD6ykW8WyKQqRVWlFSZp4P5
2gJkQhExC7VvoVxrk81s/OlmoVq8QPcB0SmghPFh4KG9p+EgVYHxXH81uzNtM8BE3fcA+nk3V2BA
e1nDvXbcEKRDPVUkae+qinLoq0TgnJYK01gINGx3cOTsHUHxnB94baddAx5QmYs4Hu9qrprrEPrU
9AYUbRvnTqf4UxnG6sMLtAcUhSVvCP6dUINbPLUQ09LbGoqlFkETLR6OwY1+O37IcepUSAy6Fi13
bpppZpfWcd13xA4EDMEDfDFZ65hwv0R9eYpC099BVx6rPYMStsk0C4YicgzEtU40zLdI6W1uGO3H
NCNtR36G0GllfYLHLHGcpBCxz16DWf8utROeegSjFDJoHNjrCA8+IlizfwlOy+MQjOkuMGOPJYXi
dBvUyb22yCLLSBOlTywOBFSpJVlO1WCjE+v6Rm54L/qjWmjpZwITXpgXGH9xTESPUTL7Xd5Lrfvc
VMa7jUXcneYxDPHUAA33yPmy3E+txiPPazd5detqxtc3RHsM7+SezoY4CAFscACHkX01gJjmFpbq
5RzK2LvBGwXef0sjrOxTnd6rrpquO9BN5GjFtgP+DlkA0tcwuFkrvW2Qzux1WgZyFddj86IjGxy9
GohuiAFHwAoqpfKlNTa3WNNzvwuGfcBJCgtA5czbCTg3ZFQRfYndGWOkiFhva0O4JOolaIqo1di9
0jommQ5cuSeEY95iwmgrfIWWNkeYQAaG1Zo91oGmqmI2Ao/tQpjcBG16H2hX3KfTbAtLtL4g8USe
VcgHDLLHnj/G44jogBlY2I9Ke8nF12CygSWWGJsR0gwd3v10uqo6DBUFmdl5EpEtypi1bSag9H1V
i4DwlbXY2Hnc7ToStjegg5evcxeTbZuYeDfTcTx0cymO3mKDXDPf7MXkePCztoDUZBA0pUgyqXt/
w4YQElPYYEDObVOs3bKDjLSPUc8KNzikMccLYz32akJ40fMhQeJu1TZ6EziSXtJqDD9av0weauRw
4hmuOz1nIe0wA/OTjj/wOIEYOfbsG8Wb8AQ0fv0eIE23gNpybgpnNMGrRRtBZ1CJiIuplvFqFhCV
yyGxl9bXSQV7V18dkq4hj2nj+jswySN4QzwOQGMgx+pI6irYJO4UJoVKGGJFajQH3niypVi1Hrmp
EK4tPrrWP01yGjcqFu+AGxYBAlzApbpEDhKXXfpWQSQ8WpiP9HRFEZGcRvPjYtlVp7cjZCRphZMT
GOzJsnHSGB4gBuvZYrOoDn47IYKJeLIGFFVTLpHcKSKsdaMz4GZIcR+2P+ZqPAYEfENQY1mVfjgM
p088SF787iArB69NgNdQnZm3CrDzefKeYhyeEoje3RqqKI8y6N43bp8c63G+Tnu+WQjG3ArE8iW5
xeN7ZlXwzMV0hFDlIGt5QPDhGXveTlYReMn1LZ8hoIdfQ7Exp3V1w8MrDz4oJ6m3JPlBGufSgU8T
iasJjvPa1NuK02sWzA+ifIbBBNrr5oc3PyMFA/QCt+ic1yiioB+Ue9t8rEFgkYPM5/opnG3uu11e
81fme8AqttsGkt7Sv5LRdRyfdHeIoLqH7QXw+iqj4y8GeD9QCE9qUNHGMU4xhDAyVRF5w3K0i9J6
M4xjUaaQzDMkVUTVb97yrJNgRfhBqfNyKjHRkvoOsXNhAXe8t1FUvcOvXm+7GF36adovAoYqp4LB
qiwmRKojw5XVq5SVQOx+I6EVhXRH9kBdpmpT+eU71fA6oIl8ThfnVyL5VePTJzQRmg2M5htoPABI
muEDyakL0qngcYO1uMqSpHVvTNxMhRfNgMM1GE5Rljy6PL6dcHTzmik3YC9o5m4ASjt3YFCWKT+F
oNTN/XAbNg86DHZJSrdt0N3xmhRqgVJcVCfVd/lIwY4A0V1GAdQ4S30d+NUmKWFLqFeWLznbOdli
N0WAUNQf4Y0vYr8/9GW8K3t74E74HhoXim8keaI/mAWTtyVNtx1me+2BtNGu1gszw4EmvA/R1Dur
zSHi/Lc3dbduKA6ABji4K8FeIdoyH3lJ9+3ExitW9e+W2nZHaVL4FQ+PMyP3qP0OSJfqCqcbxcti
F29D5voHNmwwDRBQ9zMW7k0j0htAQfat6Lch1fhY3DWb0VHFUuF0gWoycVRYcMTx7cN08nZIWHdP
y1KSpzmuT1EzneLBZJbLbTBEx8r3lgLuArH1qCQZ9W3yaDtd/7IS225vvCZPZ+9jahr0Q33sc30M
ggNKFqeYdBPnS0hqVH01PmvFg5PDhhZbCE70/Tgmj2UjyBbYdYI4CL8GNwp9VFgX8j5ukUQ2i27v
a9UcBwsc4NA3LIepDBaUMMQWEsU5KylMPKQ8Ip5vzuKxhtvAY7lh8q1T3V7x9BxLvhYuWKGIA1yi
1hxfbljC7W1teGNK6WzdIHl3IeE/J+AMn4ldkShiHmgGXL55c0EGucLHqVGaJAs7urTdAOTDNy4C
YrNaxuSM4Fj+K1jNeInbBzfBatArP716VQ3XRz5wN76VYH7c1KutT6wGPyCFnV1dD2oHXiT8f0nZ
LVsDM98uWe2B1ONofIDxipg0ruXbNIFevTOrqbAxbQ9znWQH48EsAzSjzsBLW/Z68KI3Kx04FUpP
50Y19sw+nYuVmNxbtOkIyhBqYdBLV5sjIIs1umVDeoaxAv+CIH3nVvgzodwS99uva2jVgSgpuPLZ
YQgENEKzKf3XOeT4zwpol6O7Gi6RrJPs5tWECT6c3rPOj7YDQZgclFNBhmDY+jVYDZypO7rdqV5t
nWo1eLrwM/aFmeLpsXXn8bX+NIRGn+ZQz6+nfTXCMRrB5vSGeBSRZNLzvGPb0mSndIl5c99bvoV2
ubo1oL7snUayjcEXpuDAWZJHP+7knV6Nq6jAvX23mlnjT18rfL0AySTdYmsQLa2CzWz1ws6rK1bD
ESO20eqVrVfXrL/6Z0vHRk0Gd6J54NyN3qVcIBEC3mYbIrtMHmBbS2OwHitQbofKexpcJ/qYPhXw
OAuvavjArT40YqQvKnHa87LK5mt0H+7nEbcYWVDdsnOock4918G5UtDbN1qMN2LV4Luobn/6qy4/
WhX6YP5MbwzIEZbB5wA4I4psKPpXbb9KnekgVr2/8yn9T1HNxSDVwBEgG6pee0bSVzxdGPNDzg/k
RunuCOVIu5Kdsh0GapLf1XGPPurqPBCrBwGZNMMFp/cRFfOIv+kKuVz6OT6hMQjDggdXyrxaGpCd
AHfD/Ol0iD5dD+AxeVsxB2gXhsRNauwyuk4KbNGVc+1QmCZqIDkf29VIgcQoeCrG1V4Rg9yIegyW
Cwgx6V0quDjPVphHVg/hSX/aNLpPy0a4ujd0k7CjXB0dU93E7a4cAvcN7QX/ZD4dIPAqrcvUagzB
DgiPyDSq5qVZjSNUBiOOMIS1oCbBWDLG8H86rZ2rTYPAhzvAubnaQ/0X5kDI+zC7wKIygk+Hoas7
KsC5A3HEMtTfjo6P6zH5Cz+2/1GudpdEVP3PinpxMRIYsXODQ0ou0bJDkcGjM4y+CMJVbgv7TCUX
/egoeGrM6q6B/A+7yOq4oR6yc+EUgg+OrI4c8WnOGSIzhDgJ6egtkZVzhrwoOTjOEgYILWr9QiA4
tiDRkJxdOZBjayKM9lQ0duhgreYg3RqAslbD0DjY8nq2U/Vrmie58+aueXZWixGFLWmzrLajeTUg
hasVKZqC8rlXPk7h1FUpBDBoUOSOa9Wxcyz9aIc23FpB1GOzOp1gIa4uwep+6lYflDGLOI2f5ii2
+qRGmGRgloJ3KoxqDLA//VTOgskjjNbzi8TBAm7vsTxPSqHXbCfiv+BE2u2GLupvokFzFGk+gDuR
ZI/pmM7nLvTqE/Kz2p9JPPDNIPtkk8zDvEUKFrtzkIK9F9jKGswoVs0tLrupm1n81sso3hUfX0WT
IBusc8SjGxr/vl/gOc48p/FqFLU+yhmQnECXSskKoALRCwgg2A6RZTmltj9jSg0X2ujE1S+3kvNW
p2RAy3fugFcycReDkBhUNCtBgnqr4I3XmWu460HRI9id8C15FGGLiX7DFplzPN/zpgJj6ThI45wg
gm1OLkAAphhIDzf4TNjqbdfjEiBGrW6iog+r6Bm+/w6SX0wr0p3n25KcanDZqm0Lz5s9xKBVXQN6
qX/BwzaAWC38+iEWVgIRFZKeA+e5uHDuQ/X+QJPSILhAOoO6pE4w3hvGkt8htvsbQw04oEjlQ9a3
Nol/rGfNvUyWFDSVoF4dqh3uQwqgUxgf46p0njo3aaqNdcoEECyZTAlO+vBiHXvNGxjnSteOZ4Yq
J0WCOGtOi0wjmsUYtl4jmAqae6YJIE3JglM+CMEoIWNxUhP174TVWDISwvtrtt9T4qNbq1DpVcg+
gy4+bQZ9g5rS3oQpm3+DAp/8WDqA8GYckR+HRjXnvkGlNbR6uZIVgUUj0MHNFLr8EfUT2VZ14+5g
xwYjrUbn6ZD22PzHxoRXi7P4YBMtvJ7hAO0UKng9YhlEYofNEBBCb6c44GGuDJhZGVhEgKTh7fhh
ptbZp1WkD3CCxc8DXPAvU+nOOBD61fACN/x07PweQfQo1uOrBjLhH5Gn2h+datoTrJVl1vlJsiMe
geGy4wgSyWkwwo0uBVpB+ClTd+f3dNybkmD5hMthi+ANfoRBUzzi4u6OtjhCIYUilBew4vWOjUji
BHirBYRroQFeEQoK10k3eDJ7A0u+BE8Oo/4F/gM8NA2K+d6vgtellOkZQv5fzez6V8YOM0rxAe8a
2ARthj9LLhov8wcYsvNDR8DOEiPmsdmI92EH1kW9dbFPZZNnfRRZQXKFgFg4EpNKHsisy2uaTOwH
wRr5PiiFnwh3aHorcTj+0VPVH0EblB+89JdfgyIzulupsLlCiGP9n82rEWoYg78CnEhAoE51w68e
Hg/mPp0AmvEpASibC+5Te3Q20wYja1gPvx96/HMD9l8u+FVMREzE4NX6vCD8rkGhdnqPom5Dh833
KrsvvqF/vdqX0ZuvSRyWaf/HbBNO6TrBNJOCg/aAejVDZbUp93rj5elTv7AL2leQov+nI6Z//S2+
NJ2XTpkAOsf1t9AFgU1qnXtCIQB7KfQ+I4TJLteZv9z/Yfdhf/Tc/7+58H9gmLVOBv+NubD5qf73
//qrsfAf/8s/jIXE/Z8BeP3uijciBFmaGN78A21EVn4R4CZQCaL/h/EOnp1/OAsd/3/GZI38ToFc
RYhruqr7/8tZ6MF36AMJhD8EVhrQ0PA/cRZ+mf3AWIi8LFjrkM+RkDW++J/nFQFROEUZF4e22iDf
nGdB//aXG3Lzx0z1r46hf1H3gYSeJBgJwioBC/1X2RQVQTSiWdJCcAT4xU7ug5UqdPxOKp76//zm
RxHyPf96oa9qI/BxHCD/CMnE4Df9gfdJ9+A1FuS/tLTsWIUe9v0W2/Uj0SLZKDn71yXha7oJGZMH
VMDjg2PL6FEGRGBT9lOBExrvUXZKg71jQHt1rRDSoc9atKr3slwWcKnVbFLIuGr9SlAfPhjHk2yf
uGXzVvfrSRNgzA4NHWOcc+V1gKS1RJULDNGOeZM9BkQgJHQ47gItEEENjFRLdNRsk0DeWVXx+4R+
9/UUIoIOnZbOdhg7hvUd913sc05isYcHC23DHT4uLB/ciAGOb2eGRB6nIpilVg8XlLktDS7W4pgF
FyR1gIIJMKrV1HkGOMncYETWnXEkDtvcpYAwYmbQyJ9Qbw8/KOKgjh7aJ0FuiU0fhrHu3qnfmB8L
silzAJCacRt1BvWJN6XNgyynXu6sU9sL9ayzAfhiKICVqVB0lW47bUvPekle6zUqeBlQy2zmDsiH
Q8h8EAwkUkhwVCLY4mH7jvWwoZx4PzSlwGeMPuZSV3hv5mcrZPWzR4WJswTBgRuaQ/8sWzOjqC/5
sZyIPAyI5f7ltzHk4Gk5zz8I4sPyJVDoVqBkugNSlN1NTTzvgAWCKGcU9z3yUneYnyTHGROIZRO3
+MvDQrqfspTkWUq0RAvM7fC990iwGooWLM2XAGycfKo6gqwsD4dLm3J9jJBBundVB2YPMEToCOmE
ggHQ6jRv4cW8RZ3CAAFKAy5zX+LR2WjcuSOCOJLLki7TC5NLcu9wqc8DWQAetjOojArxcscmmbqH
iPUB2vANfl6FSIYHAuQG5gKYW59X46yfTXPnDLmdp+AHGvf+EcgP06Mh16LtFVajZrmMWXg3RL27
Rwxg9T60BD8ByAYL9WKvCdsiT3p6mUxT4rvg1H9ER368BQvBO4guoQqQFRWKTViPIZQgApJvdCeC
wnrU0CxKLL7Clvv0Z+rV7NDWtb4LMdO7mmwg9t48ssdGLP2VU0V014F9diK6AT/IAVkqcYD/cAB3
IDlTSbwHVwLIHsAMxJnyauozwRfU3svEfZv1n4Vg1CbP4dDMBzYJZz+tBWMICwKUPwBsZ4G1Y5g7
XtncV7R00enHmO9xQrbRc7qWoE6Xohp1/AF/NwGE48a1bnsCCm5MCqdCJYu5KNnOAxgzMeXhhTcz
v4yB6h4Rt7VcLU3Y7vq1KNZreWzXQtnjY7oRQzccorWCbstxuan7Rd/Quv2BKexLWrPMwOOU0RqF
73Lwxv6WLu4l6OS4b+NGob0xaP8uMa08za2qX8eyS/sMuz05WBPEV30Xo87/LPkb9K1O3edBABDS
EmCNsMaQRSD80d+HY4D4A3AwcEUvVkQXYTNbDs5yRG7xuyZpzmAwf9NA9d7wpRwWnCUDdzpqgf4N
OqCee1c3KWBNhrbTfZ8Eo7r0XWh9hMMGfYsWLIUKSKc2gLC51MgXVVOIyNZGuvbKoODGPGVoiiCs
vNckrvV9i1p4yJuhNQblLjrTM7z5gIGivv6lQU3IS+6yU8iVeq3Q7bnu3B4AB+sI55cbd/h5GOb6
puhJHbCCCc+/o6IMsZRbNz578A2BjKWkiPKxr/pbp4czGDSfyG6hznZJ1mAZfxgW1wfbNgCIuHUq
B31U3IMPOSJ/eAfANcCrqgtBi2vm6Z4lWoKr6VU0zlhH3KfWd+TepA7m21GUDDKT0YJVQCvrnTB/
0RrUnBr9KypY8N7agJ4xikWmEggVwUMf9PMVmf1yg4KxeZEhhv74PsMgj8G+KEhj68NggLh1vdkB
ubYOlSzcvjIP4ChXpxVJsI/F0sHFM6bjs52tffGddHisVdVckjF1QR/2lwPwHdUu6jvEqbBWAlCo
VLWdG95e9cqr73GwMB+xBd0XwdsmeV+4GH85bldv+xLdB8/znUNsaHXA942Mr7KM9FU4k3A7pXF4
w5Me/kLFnfTAxhjbU1gn48Uz3Hv2wzl86uu07DNiq3EEncsL3VvdJw7foWFKd+0Q+M965Xphtuec
xgWS8Y2LMNxls4RljGWgHeqTMYLhHRrnxe65Ttll0qyjm75fukdm1WJzD2OQukCrQe5M6jtPPZhD
a3BDX916sTeBQuo5YdYAzYs5ZlLijrRJgZYAQ0u25/y1bEr2q24n9Az6zgVoGjEQ/QU9X6xoXURD
GEl0FNy5CR4SBinzk4BhGFtA7U7A0s2f4Zbt2L31DqkPLrHsiaQ8KBK1wlK4Nz1Inng37YzBzFqX
sNsSLK+bgJT9NSRu9AFhmfKt5IsH4Io1ITpHjdg0iy9fgrpuzp7s12V6jniuqKMu8Nwr/uIOQXcB
Dk+d8ORRwLMgrch7fChIx6cJtOVqFP5r47f6JZkDBxmA9YQREbclWhwQKpC95SDjgn+emHvupg7B
SDUpBTauxjAMGDGyzDDKxlG3L+vpV+kFbM4g0jAgNHdlsFVm8nM0UMVV2AFetTVSEbYJ0Mbdl1Vg
zmNf22bjtKCkXWGSpbrcnRKLvnIUNgXI1pUqHOgfACRUcXozEdX+bgITnj1YWU86nCHfsS4dr5Nh
CQU6+Vy+SN2EoCAFqLGzUhn2HLsdsEj1FPPtjOHRLunsfClBw3pUM+c3kokKq3wE4iDQd/GpwgC9
AChdVFmspXwYbKymreYhe/M6zTaWRTzNuLvQm24J09+46SpPp8VctDVDYcfR4G54YnmMRKLvEIQ1
Fx2LyG/4QeHx533QgKI4AuA+1GtK1kgtiQskWra3UY14yU1ZmQTVIgH5GdmdGE4hbUQFH7Sv5/tZ
ASIj6BLeN53XANFYxbTbatzhtW1jxT6qMSF0fImdr0cjCbtrhZEOVExznWajSK1ELwvbjbaR92E6
Uuui5iJ9FwhqrHI9VtUTiq8KE5qwgfHFReY1Fn+e3MZthTuCtt4kcg+Q7g9GSvsTdwT49HlyLi3a
Nm0mk5B/NGwGbE0ZxK9v/UCxMK86K44l85IqR4u0vQ3RfPsl+WLf59GON9bW8NpMU4xSwzGSyIIB
kYmjqVLhTwCm+LDpaukoJICC531gNERsdAjWEWYbYylRUtlY9PkI+corYdbdl63p9jzVJXop6Rxd
u2j1nk1Cq7e2VBHGOW2KtWci9BfvZ/mMCByic58l028mWudhCBme/3AgcH/NToRB3aTHzcSEPbnY
d9E/x999TKYGz+voB3zMo4E3N6lM4VsM4OYs0CRbHhQKBqSodKlLN8Fsq1srIzSBGmy6D94cY+Gw
FWxTCMdRAtkRthFPpaKoQYGjJliPmuF2QXk85CVK4PuK1OmuRA8dP5KGlQtltjQ/wTfjUWH07F6q
qgJCA3C4HUO3bz2A6OaZTZhMZERierqJwSGV+YKYaig63BLcQQib1AVmdHSbsKZBLaIHjMiywbqk
ysVclwz8Rbc2uaV1BJo7xjVXSx2zZx1Rec/SWPwsScMv4H81O1Kb8SdzO/UAb1t5JBTQQBQtGDQ2
cQgAEmYV9sk0AglxQMTdY75Idn3awWWnDQaBW75ov95AUlJuhELJnbnWQ5PRUQ7mgFy641MyK/zw
AN27ec1sxsFGokXu4y9B5IS+LVQO9S1VoI4GsZTPde2IF12Xw00yamfbRuP4ShX2bPAb6U2PPGQg
N+IGUNKlQ8cd4K/xgpOVugJ10PaZrdsQigenBVEXWM1D6c/iwGPXgQZByVtL3JhtQjOY12iKcTCu
p2g+dm606I0PwQwYfx6H7IJZwd49NqIxPSSzdzGmxaCLmrheH550lMW6Aowbx5XxJVjq8eKTiQOE
D7m2j9gNA37d2Klw3ydt+bMKG7KbIXDCSoIx50PoIDMgrwFZCbNQNy5mNYG6woEuwikMQ+kpiztW
NgVW0uSajzDh7kEi+D3Gi3uLqT8CTNxU61sQVpeDbDvvbeYef4eShX+AtthAABGg9+9Net8EHrz7
YzMWxnB6rHgnrjERSdDG4nKny9E/IeU6Pvul7MAorNiuhsbt2m+V3Y7VuFxPCSc7pB5Um8ninU05
epkNRVPWcIn9f5p9xIVEUbhLQAk70aYsazxxqOtGr43utejIPsADuAHbUF00H9w9GIl8HwwSWANo
37CCkKC7oRwtTYhfibn300Y+L5j0vUdVOd5i1E0vTurpOwG9zoRVg2F+bmdklA6qsgUqUe9QsQ7n
Bb5QEMrdMar2aayGezRS/R1oZfO5hqQhQz3kQU0U+7sQO/umHKZp64GWanCIHt2NmQgkIjycoy2G
XgJKKaT/PMS2Rx++Coc9Xebh4kELvMdJi5xFQoafHADSo0Yo7y6ZNFGbQMTeqrhge8Ow+ERAFj4j
DL29gs6mP2gccbAc4uk4pb7FXC6WaKlzCv0lTdwiRafmB2jAdocQFv+aLIu/o2Wg3xTu9LWnMNcq
EBqqzCrzDPexl8orgkk+pDHgh5LYGnAzDWznBcpyyBjCaXhyXCiOkKLh30Q4DEELY+rjMJj+Vkne
g3SLKXNRjt7E15xmssNwHKDQeQZIuhg8DXoQJo8P8+zaI8fThxn/rJMiXlRyRUzsbiSfyz0t9byh
pRDPiI8a19hgqh9ZKtszTPcGUFcNal3kte/tJPpChCx+Zm2Fd8Gk99zeSZCNm7wDWvPNV4PttxHk
LLoIAq+qV65fd9a0R57oAk72kIlorrYlj/VOez0igFUDmnLN9Pwk8PBAmMuGGSkrE4svyzg0h3Yy
BJ6coTTANrcTOXKH1pcZWmxUqgk0mBGkAYXToIWWJZi9JljYEwx4RsS/fBhhE74NO2Q7FC7SXQ12
/wD99nbBIVYQihWYCMnZcQJc+j7wIYyIbYUcdsFJ+Shx3oiheJ16P6vJyvHtxyGEAAOK3ev/Q92Z
LbetJFv7Vc4L8ATm4ZYAR0mWNdmybxjyBBAjMQ9P/3+l3b1NlXCI9u6r/6I7HOHYTlYhKysrc+Va
C+MQvBjaALmrraGbwV3E1wZE/MGE8I+RucUQ3sLYXW6TwYJy2g4G9brMHFAXVuvecoMvjrCQoBDu
qWU8UA4yT/rjaYjLX12thZ/NQ4BwU+qUK8s5JIstqMLhe9nntGxLpzo8aGq1WJ8SCkvHrLsr1KN+
mGsOvIPv2xBEUY23HEsxFBCwb4uPNFPSQxGEqOI9O5typ6EIkd2K4fF2FWW+IJT4D4rlohj+ZvJD
MirB6RfGMBwtRGIYUO39ficYMxYIWal7fXXaWPeXi5/vpyIkaxL03SI1K+E3hXv54cQgPtzWfnMj
ODNel0iA8+eXaL6b05GMSkXdKlbHY+mwRMo547rcBVdMnWyZo/Cj3bj28w8mKlP6VTc23uGOete2
u1G1zMt21r75YG7NlI3nz+Za9098D5s5lcMh9SFk3TAzfJMcFpsGziDew/5C+Wr4OROc49OTdg0C
d/VXj2GWY2DOV6RRj9HutHpRspHxJyDnO4h21urVX75igyTkpyTevxob/yeD/PthgrcbaUszXJRC
ySF0NtKEF2S8TvzIL7f5dbg9bcwZ4or3o9rCFvcubyDNNFUhgnA+XFX1bawAiWWBNHA+6X7mnx5S
iKcan7MQcRbmyGNeFQbfnYTfFuXVqe6hrdWc1b22jTysMBV38LubcVtvD1tH65D1AGPLuaAR8aqX
Alu3dzQ3x4e5oRpVakRY2tvl21InbQDKoCYdy492FpPJ7jrei+nEdjVC3rCkyDfbNtPEGNml9Utt
M3soc6DDrD+8HtfBVkX6CHjP1WlbXAMdgWaw8WAxS9eCJYI3blehZdJdHVbW6jVI/FH/7P872Q8h
L3oWC99JH0Iw9z8/fv7P/iX7Sb553iEDtyX+098dMuQm0HeHMcNiYFoEs393yIz/dYAJo2xsM+Vh
vv7V3x0y5X9ti8a2y6F5ZebEn/7dIdP0/xUlS6FfC3GlimP9Fx0ykxEvkhnI4FR8FCClcNyzoce4
ao5FGjiF51rfChdsHjnE2cZMdMhkJjETJj3afDSwHGTRXe7CtyasGIrhEypjHhW0XZx0e9or/qEf
AKJGq84ufjB+Qv8q3pyOwd2Mbemu+JdtF0kmFFMAY0uHwADRVJYUATxt038Eo02RpbuHQuxn7Olf
raX+iwkD/Yli1vayYem8C7s2WyumY3EHzZCu4TEdgYCGbumppD12Tpvr9rIB6cKQDZhSPLWD6OhU
J0SfVCfbMVS0OqGrUIPGnPl6EgYAaqO3K5EHfcn6097NBSJ6AwMQV3zl9dvsKn0SU92nFw12H8Gz
ISavqdruLq9S5mN8ta4KYljVNMFZyAwfSc5omdlaaKo1EBCEYDuBBi/Ie8WoBu8hL2fIwgg+9xSc
aD/6odlt8r5g/qT2a1fxBAx25idJ435//SQV0iHeMfw0Qc97fmJqGiJlFR9KT7szGQwoPPRF/HSb
+AxAr+l0VPkSILO9T1bJkzGjuzzlViq0vIjBaBQyTekoBU2rkuualG7g16aj1sCQU8SGP7PEGTOW
tESKWblmplnlGXfdi7YK9q6XX9t8734F55HffJ4bdZUv639t6t8Ls6ScDkyjEqOzWHhQTT0ffjWb
gmcbJFOfCu/xkK+PG2upesWPwbf34hd0KFPSuF4HD+6PmbVPfl4NVlcbSTvLeZUJOwuIzI6YLTAx
vPx79nhqVhlNoMizfOW5fuk3ee2FX501Aix72Fxnpjsnz5r627bMd5dDPsdZIOHr9kegqQ/OXveD
fXn7Lb05eoeHdu9Fo8fSX6K75Ob4eWblUyHl3Lr4+7OVR8hdUxpm0E3Zu8/Wy3BzXFEThAa5u24e
2xtru5ilqRBR6ixH+euzA8tAats1QFBJaVGpqUWtpIRJyG1X4Wh5Wel+iOvQLwtnFYSgATV3LYoV
l5c6udIzs9KtUFv0LlqFmFYan5zoQxU/Gc1Mwjtx8QhsGIPUXH7IQEnxmakz1ADSkEFxfW/DhXM8
flow9XUkTv2TtfxtSM4s825RaF3HWYUR7urgDvQ08rtkMTemPXksDJpKusb/K7p0oUVh2boLhuYQ
K7K8snnom1+dDerF+okezOUVTTrFmSkpFjBqSSMbiSRPQGoqIDVCQEvZzjGtTd8t6Ltp5D46QmpS
lItPRtnlIpBbN9WqvD5sYoY5rvRtsFeY7fJsig7cL/DcuPpMgBUreOf2NHxNttNWyMHenjRgz2iZ
GhpE1Ythteg+uNWvk8JUBTMYh8NTRjP78o7+H0sV6abK0BSKcW8NjseqaTs6rl61GlZg9zbOLtgc
duJwIy21cf3G6z7PPXomjwBUypqrQCLLffXWKJOsxwYUe+Ed6DW1OhM6DGQv7I959DizPHFe3+3n
mSVpPzsUCUbeesJj6l1n0ThaFs887bx2o1Ai9wZlJlLLAQR4FkTqqMk5/M99l1aCZVVOTFpXXo6e
VF7RpEqeouH58rLkW1g2Ih54Z/E4a60Tgrpj5Smnj4vFc2p//e/+fWH/7N+3mGKjcmURBQm8qvEV
CZ0Zv5M94HUFKBiSAZOAv6OxrROjiBjFaLw4/1CUH04p2beLLs8MJ93k1/htRqatHfITQN1GQzQ5
038y2Pops077E+Xpy/slh0BWI4QCyLpQqiBsSOWSNgzTjsEnJMiCdpe7UKgSoCCVQGxq05lzDMgT
i+I+BKQNw7oOxY7w+bOvE6M4BDqbvQNY4GseAxXf6Dktj97olR+6a8DZ3hxplIwxNF9XyONS1SG1
5NkqhYlDcwpz/RC0nKNy1/zKHtVrMjEv32R+vD2tj7CbQSQzenq2yte19R+wmk14jM7l8vcvkGJG
n5i9UqpW7WVkf7a5tw7MmIBw/3z5U06awSPhTiPO8oe3m5s6saWMiyOf0u1v+8QqVwxhU+2LEOHO
4ZK9bO1d+H3d1zNz0r6GNK9AZ7CvGXF2ZXjhs1CW5cWwE3llQg9wnUMjPcdwJled/vqeZ3al3XQU
psEGB7tA68Z8eSOu04PPdC8V0qWxpuPlq7vLa53cWaGhoYM5skHFvt3ZyCjLLnMihKzqbmd3jD3r
MegyfefUMxmWzMX41+rQTaW2wPnA3ltTlPGtsjc5IfYDqtxrdYs25K7xmZpeH2dpcSaCsa4rDrVL
qAcgnZWuGL12TXXsFEAT9EGdJGfAYiaKvZI5nt9iwkt01URdh0KFbspiqFaY2T0C481r3lPfnhT/
uK+vaPbx7HKuqABvjr7CKO1sqVD89veGmWPQbbbTsaWLRqtAT3UBPLN/JVzxplzBzz9bE5FrwK8f
TFd/25EunHqoSv2EhJCXXff+Ytn8hEqdKY9P1jpmVfbjZU+cCqCEapdATY4F9vWte+SLcqHYIcCP
JM/XYcnaYApIzeNMKjDlGOdmpEWp4FCDUuO9SLHuEywQYKwM68vlpUzbMCkIKgLPLEvXtsE4tDYk
B55a6Hd6uWDCZbG6bELmHX79OGSkf9uQ7hsnOIFeKpUSJ4g+2rv22dgjR7UCSeZ8Is/x0LTaHDfm
nYHr/0hWtCZX+i5c9atkNX/aJl3l/NdIH889UZJv0bvyat/aHDbNZvHhe72qdkzAefNUnpP7a2rQ
zQMtVIAdvHWVatBOuaaxv8Xh4O7QKq12IQqNM54y6ZBUsQzTJWlEqOatlQ40mGbUBi+1UHtQApj0
tSiDvlstZxKVd9UUEUlEvezflqTrLYth/qlHGC/C3WLdPh/vi3t4Ef3TtVWtjafjHdOEfu7Zq/xa
AC4qoCEeUU3buh/nlAymd/b3L5F21m3QihuVtvI62D5aC2gqaLLLniu3sf7y3LPVSveAzQSuqTa0
gBmeXNuFcVu1h3080PA+tUzCHQLl8aC6nytmP7uWzgvqr5d/weSHRcIa/mVVtxQ5cOcQ1QRhx2vA
TforKzx+KQAWHdRihu54ci+Z2HGoS3FJGJL/QP1TMZbacBi7o4okavgIwusfXN/ogXER2ZRbORBv
fXSwet3pIClCJvUmCAemUptdWL6c1MPMbTe1GLYKS2wc8z5SuAE9g9wccwCeedJW+YHmADC6y5/l
XeNBHAPEmixNNWnAoAbzdjFjEEcJJ4EH1NCe/Npw2j0DnMkGSE+zbvIufBnaylxWKHpSyBCwKPBF
M79BOJ98twIAEO9FG+E1WcmjGuvR6g/8BucrMAiU71S/2BjdMkK/YpNCmg9hzw0Coeqy+ny4n9sC
bca8/DQq6uhgHV3y6XLtbPpr6+WGufWVQtvAj1ewRuyp8D0EG3BiD2CiaIJqylJNlsoamARlgdkK
p9jyd9vBTUgSpQLUdyQfzlVgkckxRCz7zt7Zt8lj6MUra+88ZbvR156o+kIK9BUEjwdRLWxNWbWk
4rq3Z47SZGaMGhqezpQZ16rk50nMOG4K6xwRskzWw+p4pTLN6Fz38Bt/12AOnxd8m4oSZyZfvfXs
QbeorNBE5BnsP3PXTfjDzgyv6+fIRadX5mo6qj0KWyyPpDKBZTHgEYMBpTFx3Jqf+63rpTso7KDF
FAocc4/8qXXxXDQo9JA78lnfnjIndnlM2Xh4EFjrRfjFZdTONBp/5iCJUrDsOWdm5Nf3qKsnM04w
Yy7h2UWkL38KNtGHbDVs57osMyt6fSaffSknL+vIjYFmn8wfB4tdGxdLwIlz99b7s0ALl89k0+aF
oUR+UmhqaSaZRjoc7ZKPN4+Zn26U2+Qe3MkaAqk/D4bCmsO7gvvDduVLKortDG4brAlm9Mo7rkRd
NX+M9nNqfO93T8yyqBRJXqnJX1O7s90bhkR0m0uKCMMpWyJoBhdX9/WYzQI83u/fW0PiijkzVHdd
l6Mc1VDUhOJarGidvgyr0EOK67anUjKsGUfUACHZnrn/C7gzF9Be5zvfuuXbHyF24+xHWBW0ejTp
G6/gRzgvC6a21iOxNVyXiPg+CQGybj2uREtylgZ6bqelNK+sdd2wbGwP/bgMLHdZJU9j9OmPD55Y
oSNa9/x7jimtEPiCquUNtRJlD1XWOt28st4+/wNBJDK5t6bkBUXQVGjhovHMyIH4a20wqjm6M7F/
etd+r0dKSXv3YGZpVbfAEbLPjmLBrwPtBFqCcyJI7+9eAf0A+0HpG7I2Q0S0M9foEfVNUbQWkbj1
g3EJLrtljIhCRX0Vfq6+q3ttbaydtfspv53FW4moK/sltS0KMUwZwU4gfbUDEwRdkKXCOIMJqaev
TxATLSM/9SA783VPeUSYZ1hqa7qrtMtngpvYRNk8kq44Dg5I7Vec3bO1D6e8URgQo+IFNanWZhAp
fR1PzGuC6tarL5dd9H0uCRsttMykE4yb0214ayymsla5Kl80HK9CsKNZMRerp3zm3IJ0x4Xm4dBZ
KRyBx8aATwqG2gYVttReXV7IZDQ5syPnCHGgusOpYCVZES3qpTqU+tUwNMNWjeDSGjMl9p2TUq5y
C6rYkdfktoKBiXmU0l2T7fTL0VTb6ybSulWMjkK9dAa3h2VJqxgcHdo4m/nMMgD09cSe/2DJxztF
z3PoQtn6Xb6kjnlTeIIWu/GtZ/gWvfkMcuZLvBYFzxwLCtY6aNMFt0tKKzwaPLNH3b1OZtKNiSe0
8ClSdp4mYHflw6sHta4yRMjRXdcIba3bXUboO23TjXmTPLir488aTVDIX9AUcH330c05SFAzbmY8
Yuocn/8O6Z3EXHu8aBg44Bwf7oJtuq+/Jf7xvtuM8BkwzrekdL1p7xlVrB5o+poz+zDxuGYfgDIx
Y8ErSpWzu9jK+hamxc4rfcXL79Wr4425gXvzP5AUmDzGv03JGR5cLUnQpJiCgvSJais0oNbD5e2c
NCF6diT+Csg5KSpmWt7lzPXTkGpKDxpqDzK8yxamj/CZCekOq5l1QiRN5N8wP44fDMSkUcBYVV/z
jbuqV+lHBs95YWl+CcHBLKBiotUAwg6fRSXUpJwrS2HAtK0GuXlAM+zB/S4KePq3jD6DujG+H8iF
CipoylXxbWbRwgulcA/TlUmD2UWHGYzK2whc5XmaaG5GGLg+7QBfQ/8vsoT2k7GdL1dPBZ031qSv
aEHe3R8WtDVE4lcfV0Jg0MjWgnUnukohLV3/Sm4cZSY4T/gOVnlRifNAqVw6iZXaRGmbJi1EcF+Z
HB6NmYrIxEkHG4mgD+Udk6tM6pxUWT1CvMmXg8LxWgiF9fvFRts6M8Uq4X/vPpVFzqYCbnIMXVoG
etztiZpA6wW5uokXP4YFU6/Vrl38uuwTk9tF9DRBfIPecaRzoAWdsjg2leh5FctF+3URbi8bmOj/
4OpnFqRELnDsqHdynK7ba3t7XWwgoL1LdyaqfPbu5M9Ym9w3sLL0/flK76iexOColYxULoTWWK54
ROIrdfCs286nXnAXruyduoO8caYPPOkVjoJLmAJYLJ/nTKnLFhkwOpXqnXv4kp8em34XZh/d4mPf
XelHezmzTuFm7/zjzKC0qyNFtbgNmSEV+tD5XoSOxQZix9lu80Slgq08sySlbS4DZ20diVbhuvWH
F5j0//W4CLfmvv8PRJEmXRKXB4YtYD+yqHBhQ2NaaBgMzR9DQgxmWndm9+ZMSGsK+1OB2h3R/3AD
pe5++Jk/xZ590/nDtfoS0+ONv122OOkfYARAJVDjtGWZ5hOcrU2UiESbS89rgYP5abxAB7LWkita
C6Vvmbl65zDEe99Ux8VcfXNywWf2xe87y8cK8zTCyMYxL5/btfarJvqPn8tty8siX+petApu597c
Eykg+Feg8bRIwUXIn7HrYkQjIBDyyhh6kKb6ntdBuayKxawm3sRRODckfUx1dK0DjIm8FGs7WAdd
rDJiX88ElnegTx69b5Yj7WBdWobTZGbrRccl04BAh7+735VV5gvhLHNjPRSJVz1rz+kPUcpIZru/
k9vJhcPvsHkwvo5bnX3BIFBKV0tbXFb9wojKMgmeISC57KVTaaSlcg2AAQI/CGHYWzdxK5spAEGy
blCFPnFfx9ew5/vh6h+uhyY2uBmuOWD/killCK0yGDsmAlP/cLrvqi+9Y8wcdHm6Rjx8LNEq/7cV
6YEbpk2X23CneNG1tc9gzEAOKNu6KWWnxrcjTxDjUUP3mm9CqNq6PzCgfjUvSDn58XjxooOLWg8T
Fm8Xe+qY9VsYLDZt9OUIP3webg72+vLXm4oxusuQCsVdRF9s6UqoYa+vdfg5yEwYmmN6SrwAov3s
W0f8WPnqwTkY3FWYmNZeARJnnniq7dA6ptixb9Gf8JE8X42vwG9aAFyvc3FkMlemTGlCdUm50pXR
9EZ4GGploTeec2PsbcbWtwWgSLdamjf2BimK2+Que2quwpk3nTaVSpzbFR/1bJ0x88ijnbjU7faH
jXIHwfQKsQU6sijbiz+hMGz4+ib4eLwO70U6I0rCos0+B/gSH+79hv/eAClHQ9vdQZWH4G3UCEsF
mWe4PyKUPBcqox3hXKN2ylfPly25UdyMSpRUZJ5ueXDWulbsDfFkiJ1g9hqe22EpckOqbmah8KT6
OdkF4yr7ESJ5bu2OO33vlH77S/dE8Pnzbjeg0DOHkkL5YrC72Bgw64LtZXJ+aTOVf/ksTm0i9TyY
BjWawCgxvfWdE7VKd0h4JRg1IwIRM9fb1G7tD5ZlzKGGX/scsnuc25KKO1qJuonqknuGO3jIah9p
t1X1ZDCUkN06u9PKeFb87rb+1a/ErCyyi3P7ObdYKZRb8Oa1ZcRiy0h/LuLsSxufnnR7Tkd4Koc5
X6cURF3D6cYRCSjvdNjB1rZ0Tg+XP9qcAfH3Zwce4ACfLWMjLUqwyJF5dft42cLkTgkhWBesLTMH
0k7FcCdU7UBqqwFSpa7bCbmi/BsqR4P/31mSNusEI1PgjKLAgDjGIV8sx/al/kexQox70SoSY19y
Lahstb6p+fqwQ7UIsiCO1eWrHkDC5cVMlhLO7UgursIufDRNIiBcNtnOWBU3tbI8/Gj32nfdy/1w
f/CC21ld2El/OFud9LWiXK/LU4E/RDsS5o27TL6I8bEWbhtfW9s/y6e5u3XSP84sSl+tqEnLzJTY
28fKVjM/wFa91uEev7ydc1YkP4eoEgp8UZiB9clfQPfNGMey/m/XIn7F2WmC3DkojgZWUlglkZ9c
IsyDFvdcIU98hHfR72zLpMuxb2uIyEoRaTf2M9xbO2Sw9+2qZOAxu5m7ied2TrobI8OMwl60a5BC
hAj0lP0y8+FTaiOk/U8+keFCDE9LisbQ281DviBrG1HGqLMvxw7plub+lH7/72xIh+pQHOHiKrja
62KBVsPpWzso6z4fZkojU9kLhSVbE4qcUMNJewaJuRmeEs6ubX/r4wXjJdqSadUNonSrlBLrP1iU
Q9VMgARhKZXudkFt2hQtG3dSPqbdXWRf2epMx3ACg+nCpvi3DVf6OAZPFzs3OaWLB3WN3DppsLJK
bo0vzg/76fhk3IrHhboKnrOb8sbeiZmoYW/67dr5MBejJh3y7KdI37CDUclUBp2ur6pvj+UBkQOr
5nGYqk+X93WyDHS+aHEOz46zW0FIBoe6KJkwQrwSEuqLailolAUCSd/NF8knHedsbVIwbE+OXtch
Jzs+lpsQwZ2iJ1JFft98Hw5zrcPJWH9mTIqJfTIw1ODQIVOtGJ7Wh7wu/JkdFL/3XaQ6MyEFxAAO
4JD7RNTD8wzMT7JeeKiyQH9yCw+9d7qZm+yagKq/dVQpNg45moDFgkVFu/aarij0AbCS7d2VsUxA
5PiQBK8HH0mq2SfL/2HaBEPLW9R49+KNENOLFh0VNvshX3414NsXPuN8QUMFfLD5FO0fAn+uDTZ9
Gn4blT7iGLcH3Ral5sRyP3X54srSkPpA9WgmyEy9tEHN/L046UvyrwZH+g8CIQ8NJY/RZt1da9s5
6Mz0AfhtRvp8LTwNLdThIutBUM88CbWtYHU42tdHdDASBV64yy46vX+uAhyNKiUTj2/PeJajbqTX
GLRgMoUZdHmK09WhMbz/zowUtCLVHMLQ5UZoq/pX2mvGMu2yG5YzQ74w+YKHg+Pv9UgxK9eqsMo0
ArV2pz4LaAUsRPdM9Kzbq9ND/KR+bq+Onr4pdt2uBXSxba4DnvGH++hrNXNnTHZBzn+KFMzCWq1A
wIrLlgatBs0NvEG+wD7pq+TuT2ktRNXLIlUU/CMqNRPJ2KIrj4XdcO7zPPrOxN0mi9Tt5W84eQTO
TEhHrWrTYehbcQe20XMdU24aYKg5FrDQ5UAZLdfXYmWNLtyM3emNPDMsnb26LPuoVngFRjtEVNAT
D65H77AMmDcI/LmXrVjFu5B9Zkw6gcj2kojrGAuUZqcEyd4+zqFiJp/vNqwn4PAMMECuVATpUOKN
NZ3TkLnwOzFx89xsglUMHs26BpW2Ce6gQAo2Ffrenv5TsLZd/RMc0GsRlgFgKiMQ4Lw9+L0OBZFI
nTw7UlYRJQIjDGHdO61QTlsm4a/LvjP5nBM133+bk86l2x2PSdlRgIG4glxC8IKFa8sHSQb87j+7
kMSXkr8kFUugXmJ2iuro2xUaqJbReSAvNEsdOMFN0+iwF0DDG8xBOKdOBvgmndERZqhsWWc8tOoh
0vpOvPGz9Wmw71oUZevuuLLLnxq9CWUxbpTZ9Gzqrji3KnlRMp5c2p6sr1qBJILONrgX8fuBdCld
VrrX+WgwB1/gyL2F/Hju4niFK7/b3rNFS2k3XOt9CP5F4NgE7NddL26PW0HkI+b9mAxCstHrr+J9
6CuMszNckq/VlfqUfgw/nO6r224791KbrBrboGjpucHR9G6oGSazJDYOLlUxqIO+l7vTGhEzBdmL
Zez1dzaDugJr+tnuYJOfuUYnkx+GKnXg1jx6mGp762waUrVFHNMrqn0nXVm/bGhnQuqa7ZWAW2jP
5cvwUD0IRq/LB2vq/j63KzmB1gEQHU/0iKyxuI0HWKx7yz+E7uNlM1NR8dyM9LFHWlFw9NLMjJpi
HY/lynHXly1MvjbOTMh0Rj1kBZ1qG6+4yNLvn+OXw0bfihtTg2z3sXqsN3MkRpO9onObUhA8dkFa
dgVvqeSaqLRxbzXndf7i4Osfxg/q3XGXtstgpz1nq+yGJu7zj9NmDkcw+QVhLGDYGVCbKs/bdBGk
mlWO5+hwsZdl5SM696S0c42+yS94ZkZKEKyqpACO3IcXZtAIVvFLpCczOJkphJVoJP69FPEbzh6M
am+p9liynUO5jB4Rm14J5Z2Dn10teH+YG3Og8az5sDfOXtvTuwgoWNFh9qIH/dZ0C724mwwOb1VY
mK0y9bTx01D9+aCgmDD+bUVKDuL6pKeVyiYW0Ekh9YFoya9/VKRhRFuDXo4RBF2XllLCoXlY5Gbn
BX16nS+QQkj6O8dx/MsHbnLHzsxIa1Fau6pJ2BhGScP7Uem/qtXpZxYMM+d6wgxOTQNbzJO5YBXf
fpgRCjvUM3VAkl3v1eGVmpoPCMDOtLEnbmAbkSc6oMReWj1SfGqOaRAudPbs34PSfyUWcwVOsSfS
nXduRn4taQZyOaHLYlrS+ir4nKlwnCPVeVzMPB4md+33ekxp11zk2KMOQQLPNu/746OCHPPcpNWc
CSkja9ShUOkeUyOItot8xxgIDKDqzL04kaOwYWK6DtCjhSLf269fxQCcQxUj4yJZH0b7s9k1NXTY
5jq2DpWnj8dvl716+gv9Nih5dRSoI4qEGDQ7t709KmqyQgmp8I46979ilNXusr3pXfxtT7r3g6o4
VIfQYBfjbR48WI2yTJS5EaspI8wrMPQJy4HO2MDbXVTHVIm0FCNwZq+SsvetA6OSyp9XbWFP+G1F
Wgr6XQUzkVipS+PGHHkRwJgeNdHe1deBMfNQn3oQvLEmJS7H3k0zrcNakK7iD+B9rxj5W9dbFDqh
Iu8gi2g3w7aYOVcTtyBMCjiiq9JWAczwdifDGDUI9YTVUFeve6O+LrU5TMbUxzo3IW1jbzInc4xc
8Cd1cZPFT203PHbJzLeaXAdzfQzR2sAxZAoFI1yY2VE5gMi2iyujMreaMscXMpWQCY40qnmKwftQ
noqPc1cZ6wMxyLqByPITs1uvhNXBY74LwM/Mgx6m8oc3FqWvc6jBIWRCkg5h8mvDU3cWwPp8L0o2
xvdxRSZ9625QdobV8vIpnhoqeGNZ+mhwDsYntcFy8KI+A/fq/eQjvNlrkcFUG20V0QSEzzz0qu8M
5h8/Rlt0esF9zCJfhCH5hjnfdOlY6KejUZtHvKdaBYuVVn9Lj15M3dhdnbb000D6jF/D3teu4Xvz
tZlbdPJQnluXrtFFWpCjtmxDuANS8BLDTex6lV9e0WHzTE9/Au0zs/VzH13ue5l9U+RDj81uzxCW
thIEPCbFAdvT9yUVayBGHwLgit12rtQzhX0TNNSg4knr0JmWb6eIVoOLhCDMfOOTGfQ/Wnu4H+rT
XaO1X5ReWyN0sA7ccX3SbWTV5gpqwp3ffesz85K7u9qxruKsRzWh+D4edl2zqtFSbYeZtHzSpc7M
SL4dmGnuhEXQe0HNa1T92Kswr9UQxULU2lvVzPecDH9n1iQHRpOmswIjgZG0NJd5fpVHG8QnZ8rJ
c0uS/PQ0WovQyeLeQwzHN+oDylUNIo0/Q8XdFGaxvhwdJoPt7yXJHmpTFj8YIxuI/tzX7tDeDvpc
e2HKBFOcjIWQ9kPwICVjdaTl4TEXyVj/DREED37bzeVFTH2XcwvS+290mlO7GLCgI6mRlk/58HAw
X/6BDUYwmCJ2qGzKXdLYSaOkVLCBdAnPimSJ8jliZflMUvlus6iyaA5Mb1zlbJdMClPUemAh1Dhg
4uHUfzeqOXzVe5IbLJgKKzDEgJnmSOl30pglhCQEhl5dNr9GOPH7rbbTq2XzTN+OUf0/rq9IBqXv
bxsI0pcqDp2NxbI7oc/p/DEbACbo5vI4EiSh7wY/7fAYmqjs9MiNKz6K9f7YMcc41yl/52aSFfHt
zkoAzrFNjcTJek8BZd4ubrsRvQZ7JqJNGxEixbga9CHi78+MhHXpAOZnKW10PbrfGxPl+SSe8bL3
bYfXpfy2IoVnM0fjiFPTcxmedoLut34d6StB1P0DrgbJmBSk41PbHcZahE3jp23exPb3aO4eEJH3
zXWDCUZ+EFwmwoDNkD4NupJmlMUFJ7PsrZ/A6mIfKiL92kjzo77sonHYLXpFhawHXPsfBgbJtPTB
0kXUKUcEb5D7U5ZRgtqzbizD3vwnZiiJK5BBUo13pLunPOToI1p17yVquVWOyA8XafY5MoqZx8uU
/xF+mHGioAHZv7ScUHC2BgfsFNW1aqPn++CMMw+Vd7kBOwZXiJjuBzOoysjuxqnDPGj5WOVovwRp
cZ2ik1I76OgaxczNMGEKrgsB9KD8CIhG2rWjm6VhitSRFy6g26lRD87r9KkKk025yGZsva+4wusi
SgGC71aIk0vXUB4NA7LQKEUl1/rSXKprFV0a+G5XjCejB+ibG7qjHw4Por3HDMImqP8DBY6J70ep
lXEjprYm5v+t2O4qzWLFEVRfdXN1pMk2zqx00gZYLhhswCUhsPI2RgFtdMeF8JG4ca5cG552p/lY
WOPq8sma+niwu1BfA4IgEKZvzfRD79qJgZnuNCz7+MsiR6f2Xg1/XjYztZpzM5KPxG7ZDdbAZ6uh
lraUr7q5b+I/5u7FN86NSFndWARVfdDx+S5HPqv+VDYvelDMhPWZlcgw7THs0rStCUXpolvZ6V2q
wpqdP1zerokM5XwlupQ/xBkl8uBIZl/UAXLpx2OnPajGopzxsfdPdLFjGnM7QE94ostlgDgN0l6x
KKwO++HXgMZT4sfFklL73eKueGQqaa3/Kas5B5cIiyKJAjjaZFj7rcPpjBGdTIAAnnaKHkpjXLpF
+lV1+pmlTVxWb8xIO0gahAyY8Gs9TJdW+HNhxFuzGyH4LJa1+4JK5kwh7/3bV1qYlIIZfeXm0MRx
YMlbX8qPww0UMRVUAskHNOyW6WO2gqWhnUOhTfrj2X5KARF1wCJPEN7zUrNdnsIPLnnTob677I/i
5EhX/5vdlK7+5oRGXD1ixC529kgTtBT0bvtj9C1BP7lIIi+r5uDoU/kTRsHpUo6n+C+zKEVOazWN
hlFBbR5cFXv64feHLZ651j4jDnJ5iSLQvV/i39bkR1qWWEVzOIoI1TL7GzwCpl062ouuNMvanKuT
TJ7v30uTqf3HBpxbmio8qT8tbs31cJM/1VfJVb93N/onKjNf4s+XVzftJb9XJzlnawV6SZWk9xaJ
s8yan2Xz7dD98RjQ6wn4bURyxdGulDoBFekhQ+2H4Qd6EKi5hN7lpUz7ItwVgJUY9pUzgMKtENI1
sAKaZy+oO5o10iGbOSTd9I79NiO5fH7iyuwhXvHSmjJdvG4620+j9eW1TDvdbyPiR5w9RDQFKeNQ
RKmm0pexMi7z9rF2Or8Jr6zgy2Vbkzc9OYugBnCRLZQiohm5edkG7Js1oJx8SKpPGXBqRz16dhLO
OPjrVMq703RmTPI3m4Z0YS+4WLLrolqW3CTbeJVuklsaubf5Y4Xu3WZZ+cUu95nKuEddFwqhudLg
5CdEAsuia0gaLPM6JJF1QHKaFXeMp6bDc2f87Lvt5V2dPMlnNiSfzxfmccyLkXfXWOyUHpRQ7868
Vv+PzYQGX9EReHgnZxEeTCfpFzbnyrKSe53K1WKVp3mdX+daeKiftCAYvrq50y77VBu+ObBgPUUV
+is7JGW7aNMUFgAPPS1a16/ToEfouT0t9r2Z19ddsaAVmbp1ue3Tk3bNzbwI/dxw7b1rHPKZ0YvJ
3YKJmFaeBYGEzF015G6oGTm7FZHVBOG9k85cVNO38JkFcQrOTlSZZ2VYKqTm9fOQLNtH0XVwvVf8
0HGnrAOmAwP/sLrsBO/ROyLygdzivtIhnbSlYDEaeX1iWZxjU0zTlb6Y+kw331PDHz5SZvjVXXe3
0cr90syyQk4mOmempRDi6C20mx0nLYF6G8zURv3mAFv6nFwV16qHXO/NcGV/TAJEJmebDZMhRSCl
qAloCsNcbze708rALTqWXazsW2eD1sT2eHPcHzfhiwMlTbRqrsrNHC524lRD1o66nmEL9jM5Zy1Q
yy6iGH6oAxTAamJuq4X2sQiMmdA84aqCRYXAQTXSfMeqeAgTE4qSeCDPj57s5PTUuMmMs06Z0GnH
Qq8JPfc7zFfaUiW03WLgjR6jZPKz+eNRDzjZzw1Iry7tqGcMY1dslcHYb/81SF7SbCbvnfocJO1s
FKPWxjuGbRUNaAat+8FrjtpyUW9ttGiS6MfMAZvwNOfcirSSID0q1dFiJdUq26X32ouYqvseirZS
d52DCDp8gBvGv2x1bmkiEzmLJadjqmknWxjNf4SnXWbDq9fMlILek0SIb8RYPOgt2J1gTX5rZAyz
5EA5YfAEDPK4zdbNi1DcUyho5Js2XabP2m14r3vFOgf+18+pP02u8cy88NGzNQZmoh+gvhg8rUFB
NcqX7umHMucjE2kOJ0k8MkE4gkCQ3nz051I1t/DBssyZgf9/nF3Xktw4lv0iRIAE7St9usrK8qoX
hkpSEfQgQYuv35OzM9GlVK4ydh671S0kyQvgmmMGcmjVXd7SGlJaM5x9IOZ841r+l3rZRQLy25IX
2U6a6Xbqqnb13aTY1BI2qWxXQuHNeJrC5gGqkNRzQbkClA2G4Z55I17Pb+1vq18cjJYuiJVrWJ31
bgNgXvtSZs6NyLm1xkXgVBZXad3Wq09tO4SwT8hudbCvxQbkXi1Id8KKA8SA32OjKJzBYAPBrdbe
09Xw1qL2h5u8xWtb++sqF89hV6bOCBOrX8y7HImhyd6p8dLPNxAPV8oGBMQ/D3MR6Lbd0F4YWOY/
CC8Wn6Hjt3gU10Y/WAc2N9CX0WAled4LXzYUaeZULA5f/SFCFwrG1HHrWxvzUFQeXKijLGL/xQGM
+xdJPc5gOKZcPNgoDSmqkSHLMOCzruMC5uiNGvRGuP1JOsBB9XWdc7R8ebB11ge6pniBU1Tcy1e2
+V/dQumXp7zzIHdNALCAo3aSC48mn/+FQOTFDzgH0pcf4GbUHNM2R3XelLU3omzyGpEe2ok9/P3c
/xce6o/tCwDl+QOiOLtE/jvaurRS4FFnXwR63Gzsx37v+COwBRz+48umg4hbuWfbZdttyLsKa9hN
Q/cvvuVkd3WPf/khl9ceJDFdVyFDcGzqD8Wjct7+/qjXMle4jaKYRkMOqetlRt4jfDANQzY1RXPI
oiYCTXLYyDh7XnYiVD4NFjTSF8/99m/36P/TpPz6s/2z8sXn1EEdrmDggpcMjWPRQVDn1s64ugL6
2gzOO8hQLqXgc/jf2hmpcLdBKqR9ZvMtx1h27VBBBgVjz7NwIOZGv4dkquApxIWCVin0qFfzCRdd
mMs7SIL7BQUSOx+DLoVK6zRsxjY0ZB2R6V4n1HOKKunk82jziHUq6gx2HHSRrGvmmeoo0l/LkuO2
/ECrdNdamlePT878rZutRw5yAjRQArc/8rH01ua+KV/XfkQL4VENP/4eHtef71zeArR8Hv/+/nyz
pSmcPIi/szTeWdxpjPL72zj6ax8KriYmgGIGTmjn8jUuEPybdeSQZCxCo++CzrxxSF5bAWpbDBou
sO5EO/H3B6GVNnZDO64+mKdRKpuH2b1Vl1y7x6Dld3amcK5AiDM3a9cBYHy/bH6WVut1UNxp4TvZ
3WgH/ElTwTkIyTd0Rc9qkpAg//1ZFBG1mjOkbOeMUQv61Gsi9eqAmgszgNMaFAl8J0J6q9q7lg18
XfYiFioXvNLUxLKd/jRiK2nLs2PfqIiuroEiGpJUyDlQTfz+aKndl+VMz2tAQ9WGKOLwRpsbicD1
NUxEgQmuP4Slf1+j0gdzzRas0XZ3lnG/5Ae9vzF8vbqEA8Q6rFzO2LCL5LOqpCUx7Vr9HCWDsH5y
gEyAtfz73rzW6nAwB6Uwi4fowx+efi6GN5NpoHKA7FFQCLCntGTygI5+6ZuQnakSNWQJbxVF13YS
ACBoeDDtrAh78fomIcdG2Xh96Bt5NZjv+Xqrj3yOpMvr9+sSF5FmzELHFsASKWEdeHBt0msAtpW0
36YrOwqm/5D9rbP81qIXoTcMszP0A77ZCmeSfBJ+a69eDjh2rt2bRhMX8v3v3+9akNjQJ0NebcEU
7jLJWGuHNFpzPpLEk75808QL097+vsTVb/VliYsXmRrGv4FOgn3W9Z0ab+Eyrp15aEjC6AczRIi7
nZ/xS0rmLE1PqhQhWHukEsAhCs929zcOhasptQ0eJhDXDqiYl6vknTbnZYexjAyBW+88uC1zeB0C
zhqAFMe99aaD8NVg+LLiRW5iw9hDy1ZEIOffJ1N67vLpQgohXzuvWE5sfvr7d7r6Gr8sd7GniK43
nQOjK1/ZHw39pS0wk+xDeePiuNpqAPeI4d5gEBozLpZZDYNlYsBT6bGxpb7xUn6fNsAnQ8b6TBZm
W7Py0sgGQjr9aG5ipK/N80Ct/Gf5i2h0SAeu3LmdcnZNOLM721+T10EWCeS455tSfOfi9PIQ+bra
xX5Onbm1CoGHlSG/P/dG6QvfnB081AY94chBAEHo/85+To/UgCVSdtP0/U94ME6pLz/hku0D6Wzs
/AZxa3owegUAPkNrtN3zpHq/xUS82u/4utbFlWONBTNUi8c14mkvAgWSpdcE5963DAjcdECHAKG3
97rotnLHtWPGgUItlHfhDgp0zu+nQD0qLQftHd2O2vHcQXkKlm1/3yHXDssz9Rt9Ztj4/VFV0zJr
+tFEIsrMX414bfW7armxPa7t+a9LXITnyFw5uGpdYcXYPzdWuVtKOGU66jSUw7dx0DdIG28seW3f
f13yIkZtsbpkXhEgGnln5MjyJ9t5m29hg2+sckmMRdO2FqSiqy9Aq+yVGcxp5Xc12NX/zZX25Xku
855UY6Q2W6TAssbQr3hq0sc+2/w9Eq4G2z+RcIl0XiXR1JLjM+E4+cjS+nW1b50d14IN4D8THnYG
GjnGxekvNeh1NecUR0w8SqsXTYP2hpqDvz/INfAN8s9/lrk4jqfVBZioxzLpIYMy6b5/Oje1rUAG
derxXbq73dG+9vJwz8ACEKBDCHRf7FQ6mnPDBAIOybFPqw9HiP9io35d4fwLvmQEYmLcMDoEG01f
2/6ZjCA3Gsnf39ytp7jIOrSyzMTMEAKp/CjknSFu/P1/snkwkUGr8CxpA68r45JS3TUmWS0dC0Bj
e2sfx+/qx/ppvqlA+gVcUwNgQvrMK16UD08C9ryE8HhGXw9J4o23+eeTnn8I5JDgHXCOxYsQ0Yy8
Z/WM/kIrPjGAATH5Fpriz8MBHorAdIMGBj9d67IaGlBAuGztlA/xvR0dIJHp2EGpdzCdkd7/97Od
9c8AVTp72KFmuQi+GXAOO0W3BDYLtZ8DOdnSG+Plaw8D4VSoQwPlgH7MxetSOE+tptLRtSKzt2aW
X6H+KgiIgcUtwYZrXwbVMFDQztmL7xLhT/uCT4DVwjFdfCu1nRwf//6yrmRLeFs23jZIhsDxXnIh
YA7gKnn+MM1+2LNAJSLRtpp/Ro838U3piz+zJayGpBa8cQcs28tvYzWiTBcGRGb5AsHkSCUldK7t
WMEN/na+cCVZ+X21i0NimXuwD51JQewCGEpvgHAwWsf+5DWJc8SagdqipxqtgwcDnpvq0FejBO5d
aKJg4Iap28URBf8qnVRS+ZBUW9lr7exIvZNt8//fuwgL2LUgLYIp5uXQizVsFO7M8JC09+rp1Zpu
gGyuPMdvC1ykfJozo28G0JDfZnWgmc+6DbN0bVOQm6LLV6Ljt5XOf/7lUF9HUzbGYOBR3tjbsAGp
L2Qn4wcNwOKMbrHq/rx9dSyGpgk7k/7B0Ph9sdHIa8n6ivqd+CHGBBAXb3VuJF761UWMM/8DJxFE
Js/v9ssT6Z2zwqHRwrv7HPawZQlS00sPEBsN6zu0+NEHnxIHekYRT9oeRqLeeSe4UJ3Ib5YJN37K
5Z1sKabMTC3KlzbdNAwurW0ZTG309/PkarD888CXRPplyjpk1viEbl0EvQb8FQUPVXPBpvj4+0p/
al0C0oBx1H/e7SW9ipuN7vaFCXP7aMk94wE4/SM5Lm/58m9YDH2EkP4W0JgojcAmAVKfvtW1DyG1
s1l88Pefcz7zf68Df/81F2k9t4k58FJTfmWmUO2eMTgiXrls65nvXXKL+XXjY7oXGf2SNRCqo0r5
ZYpChXReu5rBIp0bXxMQ7b+v9AeO2rU5vmbdU5jVmU8ZgUiU3lFP8eVQ1d3g12xgXiXkU+/kiWTV
wWL64hk1DBENcznNtb0fKy3pUnGoOoB3evm4pNVm1fUn14XBCS9cD3zPuFL1AQSF5yVbkobzb51R
Cq83nV1rDHrElzoBAe4gBA+anmHSsboepzTIheUBOBOnOv3Q2/4tRWvX5zp4yS4lgRqmMaCd0qKW
iEe9T3VfaWXE1ilWVEVS9Y+2paowK/oG1pc0qtP5cdHck7QgTd2uzbYdzTfNOdcxE2K4Ac8E5BQ9
mOz6kM8oc0QBRWk2V/YBOhj0SExjI9kMw8Iav5Qa7WstyZYMNfEyxU+0ZlvGS/wJ0JCjpofnkdta
z/uMl8K3ukL4dVOHRuNEXddsLdZsSa7Pvr5MRyhE7IDifB8GVQSt7nyMDTnJXHsooa/uLeP4bLDi
21AWm5EOUcfbHfSC7hradL7o0QNZ3YdRd9Kwb9NNTfO9Iib3e06Eb8zTsyannzXXfw6M/By5eEhd
eVr0dp83BCTCniazmyXaoKLVVtMLjADv9dbUvUZp911p1V7HUxKYFCS63NHucBttgY17Ha0Usz1Z
2rAEmdsABkhvNFfvltudCi76sKS1Betu+SSWJlYEEG+uzzSu2+l+FeCuavbwpgBTTVPLYwWsFYz5
uRvz2KnUnUOH0pOQhBFMPMIfF2pSzDyZE1Q14Sc4+ku96hFQY88wea09VPxdWJXtT0qdX8DuHUwD
1rKZRRdP093dyjXpqbI/FrPctHIeMO+ywxVeA2GTTndTOW3cOUvAfH2CV2tkkf6BiiEyumlP0vIA
E/B4mNRTzijSdXOO296AmFfTFz7PXMfDqCGWjao8TCJ6j+fWAyYrIYZRDhCRy31edxFsaIMUR2dS
t+pRiOWEidwrzbJENLD8toYKyNJcvhe2c4SXx24UbJvNY9RMSu1T4RLfztbHcur2VBu2plHvO91G
CTGVz3wpMwyJTPwb+GJQLr1i0JEGcRHh/3uRsrwzqjWYqmbTOPMTXxY3Wtw88xr4OXhDmf5suX2q
9N4JB1PugTf55i560BTr/Zgb765IH22z8RgXMI+cxshI6++N4fy0BLe9vHceJmXflQsyZaY1S1gb
fRbbRaG8ZTDjriz2NYO/V+Pmudfw/IRPGtFR3gGGtdFM+yhVduwJwYihHmLHUB9GWXxMA6biytqN
hVy9rNZfpWjuCnOE6d8SZazYSzPLvYyZb5KTH5O0f6q6+2ZD5WLBJ/BSukZTm5/S0dxN3Cgh29/H
hNPQ7orEcsQ+cxrDG1043hkk6VX12MMvyKuwtT2nqwBBKNXPylj2hju/Tw2x/cmcfhIHlyqc4SFm
p+RGVq3rs053PTezdoNlwW5xWSNdTYGrZx9rUcSr4cKWUz30GQ4jOlnMS93uocysX4V04aEh+p8F
wnlts03fYP6qzZDLhxVarm9Kt96MJlLZtdhk7tOsWa1fDcSAi0t9ZFbja5VxkoInbteGea5FMOSI
4IcUcEU9CVm5FmjzWcCB0l4CRWwIgIyHJn9X6XzspOWbehuVvRXqiCxNdkezWrzWseOuWJKODb7E
S+thaj3gP2+nUJo2NtMYKidh+vPKxUtJUEV0kKVY3I2WGmBX49Il39YZKpHAATw07Lvtlmh49/C9
MfSkxKdoeP9cKkhHlEcqjR9QPdtkgHR3LbAtGZ6xc3GhtsNm6oqDkQJDljXFNxd3etEdbdfccDk8
6QPU8Bc9rAYn4UPxUOSQNBZip8EP2LKrWGc4A4bRkyl5rpo6ysEubWUpvdp+Io4MRjCFtOVQAkDb
d7OH1oaHgIsyB0pAkzA8RcFKX4fAGNxtvfIA53W0pnYs8vHA5ftY1puir6OqhL0BL33V7OWsYqJp
29QGr4SzTQscmFNBKYNa/myZYcaeWvq90JsHG9bulr1uOX+vmYzbAvJug9zVjAPpOMZUNkGpARol
hbdA06sSNVyDhEe0B6jMb8wSBqKEBjaUUM6WG7NmBK61AB47i7CsXU9zjo3RAf6QRlPG0C75LnCd
Yya/saUOhYXQqb4bVhGM9vPkNp7QfqKqCZdsCIocopTtO+teIb5zb/U/IWQeAc4FJiYsZ0YbsAoS
lu6utEgwNGjrDzl41VbcZDnQ3b+sLAtbOPiWogtqQwazNtReYf/I6ZtuDiEtLQ+gAI/Q+4KSZM23
gC+GozFHqc7v+nrvutCG1Hdthwmgyw0/S5Hu4VJR/E0wqBlN8ZRbXlmIO01WnsPpXhrLBpUfnGGa
hBQfPeZFDq12NXqevXy2ZhgDpcDjUV+IIqqaKmC4nurlWa7Fp3Cak7ZGgxWVuRlkHL3sMfcIOSwj
vCGbJloE7nxnyYPWfeTFEQ2cwLa4ZyFcnPJFnz6XHtkfPlBvl8fefVcE6qhkW067c+KBu8TXG813
3M6nLtx4nXfRFd7iAlHdHfi4d3NMD/C2HB1zT6dAo9sBu+UNko6RvSTjmOjydaGn3OVJqdOkWO3P
RoJwpqHIzbtj0ethb7465a9xtgJuxz3Fmu9q0veVbceO/iab2QMWGVAq7a2eq8QZy96z2a8Ufwvl
DJ647xqozynOI2o53mTjXHLaoBshLAOlTkBETPt5pGFZ5D4D3CxtP5b8vk4fefqE9KHCby7hjdeu
HyU7VNrgdfajoR1X0/SImD2SrkkOM2s5YibjwM4aynGsNwJevhHEGwz9PLSKQoOmHpX3Rv2Ujlup
N3Gveh8yANAa2uV2GzbUjEuhXpRoAghWoHjTJs8Z9k7JonoNy7b0HfpYTN9FnhgDi/i87aDfqt+7
jMRdS70lF1FTveLMyDt2Oi+bss9Jwu9UYoMO+mMqdM/KZWBzMyRacaiLesexcXA7+1r/WeQlvtGT
nd2TcfYKucTL+WvpsIU1Ld8wZq+znibrx9JDmtEgcZm/pkuzpdhPM2lfVJNvFmfwYGoU2DagKCU/
OXUygh5r018prgakTH7n8sAhy4aOdWi7qZcLM1SzG9u8jvUU+Wdb+Ws7QqW6TCSOJ3c2/LG8H+ip
KF9rtXOWJaTsl9t91uOyNaaoKzattXVaAv3cRIgX3j+Z4ocxh1lDcdKGNYlZHqaT8HgfQ+Q7aHBB
EFANNZy3wtG9eTyo/Nl0N60ZKPRF8cx8+XSW+8IVfj9HdfuJHxxDXCEZ0u+9y98hGall0LB2EsUe
S1v6Pd5cKXElhWTwySISIr6x5aVQEBNOAVd6WC0aFMOQaJrw3MZKejhZIzr3ddV7Rq6d7Ka5S4UT
SK3YZgJ/tdX7azcmGtESWqNZsGjHzsx3sJDYzuQ9bR+W8n0URqwPg1dQDmUB2HNZGfSD4XjduVWQ
VXmIc21EjEu7D8AhDkwi4kqA7m07gQUBruxR6Q9u81Hy4yhrD/mj7wjUnGsVLsUBJstxbj3pzrei
eDDcbwT12Aq7A7pwb3Zf56Lx0JP0huFHphlx4UJ3tnjteQa/id2UbQxwVRhnuI+reCnxYbW59ycJ
bwbpwqC2DvuijYxqjkkKcBRBuleWQdcir8f+oqseKFpuRlY8VL305NDEBgAMay98pzGxavfgTL9I
k4aLBMYrrYMhK7apyUI4eu+MZQykrofjOb5QS6BonevBg8RTIgto7k2Vr+V7mTl+yr+3juab1UNq
IN9omO/ApmpWuQdw/mYchgB6J3GJt6ODklcQC2hvdjdQ/Xs+V7U3NFOw0D7kThmvYxqyIuZD81iK
Cnmp+9w5II/oNE5RkSnT2pvM2S3ty1BkOFdRV3eQ0R7v9WIOzTkLjVH4mXKDujIP09hDzbaIzGIJ
coiTZCta5Fl14rUWW9WdNu5r2Xp9/i9Y1kYjOb4J1Q6yAR0CF0CvdZ6SuPFquDgUVbC4qc810CV1
8WbiAqVlGqX1GEpUC/VKw7FGZxSDOlhZJJlDomXAEZOexPmTADG6QtOY5kWoLBa7ygr6ZYpLow2m
KYch9RiI5dgzhuT2jvdLNMpXoXXHyXjr8RRLi2CTxDd0MHktLV4r0zOmPDYQRo3O3t0VjSI0GSCc
PjnqzVTrboA+vOkucZ8uoUvvh2lBFdX5teRvZk89uwOgVBs3HX5Rk9a4d3ay0CKjgHw30vZVz4JO
Vb7ShTdjiOauXZDZC7jL+WHVD53ZHnBrJqhGAMBJA9PGBbDWR0hyJ5LeO5OOEnhvZ0CF1TwwGsgh
MOc4LPf9bCaQhoBT21uq13uVyiNFgki1NwJn2CL7tc7P0ANG2rHtOzdYrP2YKlQmA/4itXc66GL0
9seAIxh21AHHK0PjlHc/HPPXROewLaqYozCapwM81nHafmTW0XScZGx+og93JzXTH3UcH8ToNi4z
YosI+LuYIlpL8CunKjFV+yhUh7+/M6Ka07saPqSek/JTMfQRgRtM2jpbppETs7PjbNQhtd2Dktox
y9WPupp3UELCEWAhA9HmxHSzR2qRXwRo3tGdAs1of4wZQK5jMcP4kyB+h8HwwIy8Fz3d1KmKLLMI
03bc1Uv2raom7tVdFkPqcls5lccHGqi6jpu6S+qiTNDFQNaN0qwVZSJy82eHa1k16Y4A2um04727
wkOAp/juHe7CgrLNos3P9lCBstpZgSHMraGGI67VpJJIcDsjsLIxKiYRnTsKdgFv+la+qMq41zH4
QtQhBV71HJGxvueaBgDbmCyWyLxpzXy3m947Heg81+x29gTlMbc61Kn9iuE5zKgc8moU2Ap2KqGR
6PJXQtAskPyXm2nl3jVLwH3h9OTj8MTZ05PtqFf3GO4fAfJKsWqzwBrDgjVHmj1nhZ1wYZwfCo/c
0g7ZtPWYDuXJtItNqcuXahl6vzNQ2QxGy8OU2ne1ozVQz85i2Fd/U8pAYTSUj3bFOsih9i3eXB7S
TN03ZGo9KRn3jLFs/IkuVQBHsUQQ6QYaStLKnFzPqlHbEo29s2yNwYLftGcw5DQntMn2vEFVOFfp
W2ebx1S1m8aon/NClFs2TKdhYu8rce5n1p7KUbbhall2MLpuUvUN2l/WaZjL3MtnloW6sMa4c8z6
oI9UC+ys7yDlNaXhSGkWQa7k2dZHFOrmEyjDsFfU76x22K62+CBEbOXCto4l7ioL4dtbUBGva9s3
SPVa99XjnGGM2WuvZOUv1KzvZ2f9wXJ6TyyIjlaOLg8dQJGB0PpnLhrEMPIRr1PIp027TSwXPbSc
tL+4nXUBaUtg8vvhAOGQKcZUCRPDvKpcZCfqNE7nDpzLu1BDkejRFsqSyEKCIW/QTTBI4c+u3Xqc
Kz2ghb1EwP6+lMb4DC+DwFmgip5lje2Z+fJrmGz808w+m24dg6XKJPSM0Z8qJxmiHuHK4yt3TtJm
05bl7hTLZQXzRnL3zhla2sA0vMnjeZhhagph/wfhgh4XNu2qj6FZuuZBstR8HZuOPC0tk58tJHk8
0TuAYwh7Oamhd4OyFWZUCXsN5SDXB6OpWdjNhkp622ruoEPU+xYlJvC+FjuVld5+N1OjjJQo5lOj
cCMAZZLvyhyieS06I++ZyuWnXeUawb7o2u90Tj9GRjuPT+vQAI5lsxiEmA7sTrOaXwZL0e9TU1C0
HEzyk7qcP2F75BG1RR6MBQoAo5VOwJ1aBfoqRNDJAYVO51gxk5AG8hfeM+SfpbGdas0BIbYikTE2
ZYorsEexbbIKPoxCgTRirUMC7VstZqmAsGlqsE1qFhX6lzlmtRqtNyy1tGhcaxd/apYxtmYWEb2z
97zs0deo0ypoMtOK66E4C7ihqyI1WYOv2Rh5wNMJrDPqFkkKHt8mN40T3DKGU5UPgxXi1s/n70TP
+s9OM4pD0YtsQYKoSlRHYqjM/nmCpHZ5tMa53lm5WmJ3hfNq15p2Ygs4FwxNyqNGMxpPn232hpMO
enulUcdZPqCtW2BeO2U8D+Fw3fs6dCDuDYN3p7VHM0lXZo/5Vj6Fi0jzn8Ke2/vW1cgW3KRGeBU2
VWzlgkUOxS0Oth4Yc05O+m2hahURuqCWN8SyKbo6RWpiWSFZZ5RGI8031lmsY22IFulZLaGJq7JQ
tKjyhlyDjJDoeMAYei1k1ufvlJXWC7ok/TMUXy0JIYwe/4/ujLoRlatM74AYGJJstDj14V3W3+Vj
IZCR8Oqu7tPyG8gXGSjWQHR/s9dOBIUDWUhql8WhAqd4guG8Oxa1h3R1YYFTOgR5Ty+mXEsYzcEq
ILMG8H9hrM17uvSIsbSZ3PbBBmk7ixxkpM6mxCYUAXNarQ+7UhQSs3xjpD5EVlzm80oRdJJgueaN
ldQUqpmC7VF0sa0NPIVf9T02/rim4ewAsjzZGT3wzhkP5minH61O8tGbpAZ0IpNd1EBidDMZWXFM
m1YLDbc3QiNz7WQFktGD0wt6Tn0xlz4SSYrO1DKFRamjqUJH3CN2Rw9Sr8nRqVOGe8uakN8BNzZl
4hWJ8bqTioBQIbr0VceswDPheL6M+QMUp6XXInLDNoPYfZfljafhCoPuPatslBCgtd/JaZHgQtkk
rEjd7kpj0hLd4lakscJKUgzA44ysqNjZNH3ofATXReGysntJE5JS55t0x2yrj62JM8c2d5Z0LM+1
lH1YaOGi/wEFowLTlUBONvLUuYDIP/bI07joBCWUZT9hzE4xNhxQDi4jbn7kEJE128bWHSzMZ2dV
HtEGXZOpmyDIhVtaJuNC0i1ZRnu7APB/5KzmoVpV/SOvaRqP3J138zq7+8lusztNoKmWjraZe7DD
nR6zWRDQe0sjnKYKmxpOIkj8s1c1nANHc0y/SvvuI+11mDtnU7+v9HmO2pmln1qeFadRlO4vy3FU
ovppPeb2IO8UfDKAfq3nwptm6cQ0Xd24gGpwpAoD7ljoxUNZdi0c7XF0ef0MyIfpQR3a2PV9Zd5V
rqzurZVqseMSzfDbPMsiyQ3k/YMFCr6ZjYduhMv7CF4e9GqKNc46NKsqs5sCOlnlnTSK9g2o+ezV
ogCueinEZU/WSiDhC+HFvQLOI6y0poucskTdVTDe3NVrRuKKcPVsEJ7GYnJgWIYTJRxwWOWeM2Jg
AqojQMq4jO5HNWgbbcKJ3rEuRv7Jt8yRi0THYs6PVo6qAjLM672Gt/e9xVb8hqknVMjhkhq4iP8A
clrtJjVEelzWcgxhFEEHn862+SCZhhYvqEFH2mWpP3LKt0DclfcGHFfgtVI74jVPkR2li7L8FW0W
8G4xxBLtNB+X1n6sFgjPYnw6ay8mT5XyTN6v1nbGhsxPRUqtBAOGro3WPKPkbjWrMt+KhuoeGuLT
Z6EMt0UnL08pGnIV+5XNWbtZMnSVvCJ16+OiO8iUMqMl/gqv88BpNO1TKwuOBoAo6OpJqxefkz06
L1zY+r2cGnT7x/7cjyXM8c+Z2b0O/Xc01s3BcH01sSkmWVGGIOjNe67Q0uBkMcsEyfKMHiI0szHl
yLVpN4MHdJhL51zMsGX8FLMCxoNNQHxUtpzhI4TwohzkSVsp58FAI+kBXeppS9qVHHHxtn5etcN3
Ig0XQiLE/ewG1/I0BmzUwEYUKrJlZiIMrUt6IO+3OpoJga6RDIXiPKRQptGNDSdQsaQLjkK/L8fl
RY2Ftl+dtXhQajZ/ziaakErqQORpZRq0mpC7wZUsGPjCg/8h7cq248ax5K/UqXf2ECRAgnO6+4FL
rkqtqcV+4ZG1cN93fP0EVdXlFMVJTnkefWT7CuAFcJe4EUKLMhRo4xwlbd1z5DILkWhExqpRWLjx
ZdVDwQDndZW1IeQkYqlPbNQUNdMd3GRd5HJ55Rm9ZgJvGt96XoPeT++iYCDUWl8pbpQfqw7FUJP1
YIVPeEEd1Zeqe5Z6qKE0erkpfQ6u81p4q0JuEKG2XYbuB6s6bqtRWpiyoMNV3BDdQU08dGK5BG6h
FtpgJkqvIg8f1J3g/ZCN8aFrRaHQ8NwEFbvSvFZ9UguWh1bWpOUFCHI7C51dFPkg0ey/xsT10Eem
irKXwMJwy0AADO3ijVKTg69Ft7He36dSfywSDTFAouJm59VKzrM7xG4rIMN8q/FAD5EiGzJy49UY
uLC1oNjmhYaKpOq9GF4POJ3U3dWSjIWHaGcqknQrFRqI1sr2RutbatOK5IhhEsQUSrdtBGvXSc6f
iNGDP79Dch6UqWFrTSB2XoJ0t6OISiVD3IBJ49HzqveK629tbdQWeFrXfpeGVhtkV+ikag5kSCwR
AbOg98KO3Bo5u0ANLYWHZ7Kyr2NEmkbzMr76ZueFr7GUHQ3RHLQ6fc75MJgxCaiZBfS+CdT3nPXM
DJXwO6hZSkutNFzajZI6YOxdyVXkbd22QELWRmuwRLyC0x6qdprv+CG5i4vBIaqOu6fhjhEywxEI
SFai7Dszb6pjWoTXPMk2SkaJSarsKmXqtQg9zQ6IK5yGYAtqZAKERz8y7u7YQDw0DvFsZH303hcM
nMex9D0GhYeVqd4FyhDgG8jjbN37TDNTl78OFcS9GhB90vJO9eE/Suhj8qLXj7lnbBofLP++CzQJ
DYpX9LkvC9AZYP3ohLiudCw6FcUBSXlmEX1ivhablfBvKfpETmfgVW29mqwMkW/KttvSKjCASOGJ
SVpv3YOYeaACxfeAvRsRM1ZG7zsFqj6aJumrgqP1DGy9Z1aSt/NjOpiy5x/jqH5LkxoqYcxFMybG
IZa7cgWyzU1C3R8lqZ94LP0oxTBKaRs3Os2AgGlk4Hskxm1kiw+u3OA0trKd9qM0aiQk2y8E9FED
oW7c1EUUFID9r2/EpVHpiVPHrYsQK7oH25VwDOoBNaewq0HDuya4uA4I6ru99KOn3n2EhmdXIuny
qY+anu6lG5x+eGeKikUbB9dqOnxLqHSBVwmV1aL70dXBQxtzABcC5Uc0tI+kMxSzzodn36fXshbj
r3neXS7JulmQukRXwjDsivubllc7kKcpNuo3aOcKZiFa2iYdUuokiiu0vORdKZdrZPiXrt8/Z2X/
UiO3d3ydxk7joe7u5cig1dY1edJcuTGmTSPZf4VXaehqE9nM1PyujFLUzMEnZPo6kgwOaCxKFteh
wleUVj8G0B8kKJuEqrF1g8pq3GjHuOeoGbHzgRyEHwVgT+9QQOX5YPOwOagZWEogttEmKHZSEX4v
2mIbqV6CilaCiqYbrZjb2blUrJtSWQdFsvGNb7GHogApk5tQKlJkqd+EpDlelu/7snbAk7CVquox
RGpeqcOaFvUjGzgiVjhIloykA1V87zFdsr0Bl/F4PUa8WSnUvaa+8V11H2O9u5QHzeJeekgSxfGI
RlAhET1cGphMFDyRUlz3JQ5k1Tue3+SmFo115ly60lLtXpT+Y9h4sc0q8PMSJy10M6n4W5Ty0jYi
aQV5DgMFYfYc5UF6EeIRdWX2LWEPevVcRx2qjsr1wPrYajEBRbCtkY7bKSkf3L6wgCI25aI1S9Rj
s6oMbKBwH3hTd+s8LB8jARskRZ2qVl67pHtxXXapa0Ng1417G+fldxlVSFMqXdRbXQqW6k52POZC
bk0W0VYR6pMkodEbF3sf4B6wsuugiIyJaqnx8KOSYyfMg1u9aZkJPRPIJyXdVk27N4JxXrNpXHhS
F+Ny0t81H3hwX0cxodEBVALdsMnocCmy5I5X3FuVokBHo1IqG4nOBVjT30MEUUA8uE9IUvYtsiRI
XGWNbSCntXRfvCkla/BfB881HnFCoLVVgx4GQTr8uLoPXdSnWN0oEO0DckiL3Q59MwgUEp6tXaRL
5qD2B9D+QupNQs0x67zLUK2Ai3Er1QQW5jLPvR1keFFAEtdVBAKpXl9HnVfCY1xhx75rOIOh7BO0
FHHRMWARwEyoMHEMA5k53FWeM9F4ttCDhyREnoORatTGvQBNQtpUq4AO916JQDAX1F1xtXqLdDD0
xR1p7dxD9xT5WbRuUgyeGQNiUbwfb8pA7kqUEGzsKup14UCsIeavde398AY1tprG2EZ1KqHPVpK9
1grXgqLvEtD/g4P0fwfWgY73M4Qyo3Eo9UaB/NJG4W5kRsDlHNixpZooaa3brW9B8MMp7M42dmQP
5Vn1wtvF++4pO4rvuSVtvdpKF0mpzuP91A9c9QmyM4tL4dVaLltaeTvo6Jo0A9AMmFkH80uWmOfB
hTMo8JFIHgBStL4h3zjZA0T9EnIvYHwTo0VL6VFlCzDwWdjmiYEJ8jbrqZLzBuDQDA3FRmq2Q15v
Mzl3eoTq59cyCyg8MTWB5wtJqN1AgbsdW2QieUJ5zoYm4QIqesnKFPpdpU2IiGjcMcyKKVsDaLG+
uzm/lBFl+cU1OaivUHjCWMOUjo3oaaPmlS4wDNdfVGvJUdfVVtksqXkp45acszMu9tTXclKlbg87
xh1fQzAbTYtXYgZOdC/f4TnqN4BpAN+aOm1hKqsYei/VJr9fQrjOOuHJakcfOvktYhSIEqPgmKtg
4aEPqn0qjIXBirmvZsjcADnvSFY5hUsXErK3HEKRllc8ZBijdEEZyIIF15g5ueArB6M2hh6oSj8w
2yfrcI1Mz0LEz4AoQzIGaQGp3/A62C4q1b8C1AUtiAzFNYz4oAY88XYJJbPcazB8RQASUNB4hNYy
sDFiYU0fEzoTF1HZOASA2WVw5+uTj+P3qFG7OFiWctO9+9ctUFSv48WICRirLU3+VO67lZ/a9XrJ
O2fc4pPlyTAMJsBS0qZYYRcTlF8VMJH8/WOGuXWoXIzzxApoUD47Hii9B+9jxHbYtaDE8Q4j+bq8
WRrHm10IpE1U1Ca5jPmUz2ZUhACtx8epQre7cYfiO9cBbzp/Y5AlI+PPT5xPL0gLnRvMreEJ30qZ
qW68Nzj5ttoO29JCX9lZEv2dudrHqf+/ljW5PCiXWqYUmO3qfUDg+nuZYExY56b6t5U7VTDgnBia
uKDny6CX80dDJeQtaww6/H09DVgAAQDkqDn4DD6w6iebR/Hc6gmSKmuIHiHfnaa+6S4Jvs1u14mN
ySqqgfhxU8ALtDoAGOmgq40Ta0f373N3jGuBYBkFLRI4LiZ2qDFILjDMGGAswVHaV+EK5XlUaUm9
Ou9yM3fqJ0OT88kJGjSuD0OJjuIDVW0takGgSJzzZmam/j8vaDIAQdXOz4EFBZfBVqeO8EEZgxfq
kO+Vq+wFlbnBoYpJNwgvTOMuxIDL0vv0wWb95Q482dLJUIRO5UAP/AATLnVH0A4CvrDCmM8O3Qjy
lBWFsmvVkq1yoBYPIpfxmyCLNr1I9ix9YJ2dRflL6sr+Gyqj6KEK9ZqhH72uhrSx0dpAQsKAvvES
Uh8S3La4I0i5kVRpWImaQ4AXFcbEMvCT9VDG/gGt1fiJRgrdoGTUAw3UsNsQSpJAjfVI6v1SOibg
GbEiqSs2cabx+zzRshXQu5hOaSSoMfNK36qJCq0x0MzvM55nyBzQew2qLF+R0O/GrmFjpSyCDDAB
665UoNfZgtPpEVJQuQl8VHVI+0xeN3pYbvKSkUOq+bU9AF6AMQNqOFpeCkdW+o6ZlVcBm9My5gAF
T1ekLNyDSBVp58tpt6u8uLAbRVMX3HOGXuaT33z41cmhTgJRuTHXcCPeRZfdJVD+WyZbGIpS12B5
248ivGzLswV3nQsCMFMJfmq8K0zjk4g69Xmt9RwkEWBvwKwIsxXjISqOcmeskmSBCWg8yl/98qet
yfuV054Hxkj54sfBjgODk5C7TsvXKV3STprfTMgKE/RBIPY53UyFlnKIzs7ICgjMyw7Qwk0AZXN2
qa6F1Wz5Krli1wsHf3Z5GsNYl2JwyNNNtpIADDFEKeKpGvxAKUaZgTq7ke7ojlqF5W5LFFR+9Lfp
wyiJOI6aNxfI3YXlmoqJPy6M7SvjNfNls09+m8lmNw2Qc7WuDFBIzLeZM87StSu664FyMrv7Uaab
QKgRgJg7th4wWBitAETbqeCzwnjYpvhxfnPm9wYRmQbiO8an866uJ1VNVCAsa2uMI5XRvtCNXVwS
x10ioZu95rWfliaBRVXKTMQlrnkpRvavfC9AK4RGlHl+PbNWQOFnYFJMQ+g8eUyUJK2NMGB4TES5
4h3ZxUS2wcG+MDc5GyWdmJm8JTlDYwBSdjidhruqcYkpUb8w1TqTu2Gm5udKJo9FoPu0wvQMsoBm
1BfM+tsupdi5UGwL5mIeRwGOG6A41Jdvz+/h/OLA4MbHIwNOo88hIPUKX1UG7GGXuyim9ibTFo7k
7DUA0DN6oTomgsGa9NkEKz1NT2IsDgqZR/SDpNgKIM45aoOGDwq65xcxNIuSBTqyebPIPSB4pmMy
Ypq+1QlAdTTH2aNrY1M89Mf4Lt9Qk5u6w6+q61EKlC98xjmH1E5MThwyZ9TjRTu+HgGKZY0aX4RJ
+A0Vt835jzZ3kEe9QAwMI8IAUcLnHfV5U/iDBO6ZqtTNUroyKLiTjB9pvpABzznHqZ3JZcpCpRZt
gPxAR0DB6JPoFxYy/5FOVjLxjQqzQkMoRvezMI6MVgmyRG2bO95xnPoHkNqESsIvEEyoSEvBtqcB
BwBSkM/bh+xU421qDMCzRRclJhuoUTvnv9CsJ5yYGL/gSRxRN03B8wjryglAwjXw6299ezxv4yMq
n74up+uYuFvMiMuHVh03T7Yazcx27jZA+iYhzQZHg6U6yVXzY2n35u6qU6uT65DxzFP67ONcjZyp
/6kzLSXAs8npqZ3JnejFmGkoMJ8Bnv1xQB3AB7t9FIgcvG+K6X+8pef3c97bwblGUO0BAc7kVEFT
t9MGBm9XYyDcYoz3RAt30lycp+kcEnhgBB9nxT97RRkXXi1lCRDT3JdM0ujXuWw8yLl2LIgXYo5i
iRF81g05KC4Y7j+IgUwOcKG4qZ/pePEbJVt7+SEhqq2GL7+wbydGJmcYpCeFWwOTbUW1cCIl2oaG
v8DDPLtxJyYm1ZAhqoayGGlG45YA/1bYEfBIDeZ2mLfSfGb+/xY0OsrJ4ZUbvcirMW7t8/AmQkmd
d0skWB9X9Jeze7KiiSsYoLEEjhCPYgn4aGGBoe3IEbMCjFqCx4wDGYyb0H3VmjE4BXjmMNj1bbqr
9+o6vcR0HprSEAAw7KVUZDZzBuzpL5eZ3FyJD3GUANA6C334/CKkFrXiVW9GVoXxPFu7UoDntUYa
uexa2RTEGTZLqfOs0+IEMgJyYYgsTi+YzA24aJG7S5hTKICdyNWDkS48bbNPqMF0jtcTL4E8WaYM
aEQbjLx8mOEzg/CpUYDRqG6CpXRrfjE/7Uzu6J60Wg+4yii7+0aDpybCt8x+nPfXpbVMNiwTNCpE
Bl9qCqituqlZdJjZcS9c/dt5Q3M3JFiGgNdEFAea94nTsqDIeEAR1g/pHVdfy/T2/P8/t1mn///k
o/gA82qNhP/fx3AgChhrowK8Xe6d/5+ZyTeRkCr07kjdByaWrVSnVy2BOE9JFvKG2fcZs0LokhHD
AOvZ5EExWii5IBHCtz/oV51Dn1eR4+0MS/8OnWIItYONbNOG9vnFzTnDqdHJlQ+EuAjBUIrIA1Eh
GoH1Jiz4peoX8G/Wv583Nv/Bfq5wcvUPeM4EV8EbkaGL7mffIYqKuZYluZ9ZK2A+0MauhQ4Wz8/3
cZXmCShXcSF43pWgexEc/GAhcp/1bALZYhQrCJX5xETQ6wZo/uESRpxveCTvoTywPr9XcwRrqn5i
Y3pMcUpH3C7c7gDQzit1vI2+ynYjrX63Wme7egOEjUMvwg0GSK6TVX0DnqEF159tzZz+EpOoKqQ5
mAnGX4Kug1vJMNsLjOhZ8ZVvG1b6jvG0h2zl7+XNElH4/GH4ufoptVeWe12SD9hhyAtcdIjiNqoN
tRfLsCjIm/mLeOjXw0Zand/0cU+nz+zJco3JaUiAw8tKYGOtxBNOisJnl2xqAKhAM+YkRr7mwCKf
tzjH86WCzVv5oBtEq22yw7WeyE1TIRyqHGS6fFdfeftxoQIzh/vIwriu5al276BvakESeyk8n/Xk
n+an/KsFA0BS6xDyaYM2gnzNgdVLS5zd1RMbk10FA4aWQAQbL/RGW4OJZN89RPtRdCw6uBth5c/x
7XChbXyHLmEPZrOCk92dFhN6EveJzz5yHvJEVuxCbHzbuxA7zMha/X2wYgv36ezlc7LWSejZ5E2W
DwkMyoVxlYAqRykBxNYXJVTGPfviqaDGBdWzhq7ztFjKjJoAcamjdnDV2t4mtdsfxr2+Bk3w2680
SRH2ECiJod5MpoeiiVzCJMjRWklYmjWmqrTk6fwhmHXCEwuTd8HNZZcD3YxHKAMEvY1ri0bkeN4G
GXf+y46dGJl8maqkLsCwuMr6VfGgWMOh3TNHM4G1XI0c8OpCHWtpTePPT7KCLqz7TieI5BrMhikD
TvKwRMe+ZGL0xRMTfsTAuqSM8RXNzEEctWopOpj15pM9m0RYRS3GkT98GODBUlNO6pu6NiCMmQUP
C19n/MRfv46KzjXoMnTUWj6vhfhdDwje+HUE4Wvm+5i18/tgmxYJsbKyIWtD0vw9IgjJBuBOvgpV
UhzbVqOHNmRLuivjus79NpN1h7ESeZj/gEMizgeBrgW0mj20e1otvPLzG6yPDPdo1EBhZrLsIun0
LhivCyFUs6flGqRb3AzkdHV+g+dX9NPQJJpws07O4hiGNAw81q07wrRXaRdgnHmJw3RpTZMXLaWa
aOMOL5os3NdCJhd5n688sGWdX9G4NV++EVpg6BihrAmZis9bhwZjoYIsDUm+QmzEYabObuqgNNtB
BYvAQsD3gdM4Y20ajzQiKKiujlXpHV+rdrDDUBZz3Cswrazcy7+vjYYe2M+1Ta9c12uhVxpwpPv0
FSxUQbNEIDn/MI46qVzH1mlTpduO8aRGXIfA7gY89061du12xy4LG3Ncu2SlX4tfuA8BAsQAO6r6
wEhNspuuTcEGxrGBdXWIw6c8X+wfzj2JpxYmYUaH4SxfBNoYSTUPOUSPxdq7HhU2PXspaprzvVNT
kweryXgaQUwJtb8W5AyS6Ld5I/0YkuGSlfkVl5fKArPhMHA9EOYZC/jg/vzs7FITKSTLQ2GFFwTI
/fcUwbBru6vhCbcjqGBBm7JGdLgUuc3dylzGLB40hwBdmd7KYY1h2LrzICCJkRbbc4FelsoBs3Kg
3oHAEgQYQZfis2RXgIarl4IdgHa+qTT9L5RfTn+PyX2sR32TAIaClE4Ehtn4EUgI4p2fg5G0EXfn
75W56+vU1uRKdqVKliMfN6XbujbPnwWgzlX5C8y36qmVyX0MpgOhFQRFQ7xjVoAyz7CEPJuLDk4t
TO7HGGQaRaji24mWQwzEza7dUl64gxf2aloD732Z5UBCIrIXyjMG+jau0mIMMfqVqPpkLdrE/flA
8iETcH9X5GDpugmU3CmG1/Mffra7dGplcqpTsHENPeZeLfWqb9aKpTgE2QI1yS644Ff8SX0oFxGI
c+8yGJA1IlPCZHl6LeYxYaDWw00iqH5VJu4N49Gq7yVHA6Dl/PpmPxbYxammckBhp0ULtyGgsHbH
EKDFGHCjjVgeU5MN67yZ0a+mLyWklv4yM/HsvJDVMIrgE6AzqfUXDIfr0VPY7ogKfrf2R71Ui5nf
QYNyBRo7CB0n5zXoWZcAv4cqYDUC7TF/wNKsAT9ZuJG7aKFIN7+4n8Ymiys8TwCpNd7D23o7EiCX
jr5bFnubfZ45+WlncngH2Xc7beyagQHwuXsY2cYNq1tpL/7tCETx7F+JpjAPAbQdaHLH9/nzA6NU
jLauFwuLRJVF6+9acwzC0NJTAxPO0eq8i4y79MVFFEMHmz6n6KlOPpnLND824gGNrT5YSfQeXMur
eHgtfO8Q+7VVs8o+b3C2mMapLBvIlJlmaJMHJCBJRVTQHVj+ReOAokr1nfY6tnG6t4U1AmvCBwx6
4ugTK3XGQou/Nmzx1myWWOTnDiFKu5ArGNsV8rQgkYF5RQo0YKhbzNoEvX8tc+9KwWje+QXP+emp
mUmym9UxLhaMzlqYQHmR28zywDRUhC9tNfJWxiCnKcE49n7e6NLaxhfpJB8VJIOISoNNLsCP1L8E
wbOsH3/FBKWIScDf9wUjJodK4etFD5hkCyoEEpmKim42+PLOm5m5U+AsBKRL4FfH5MrEQXko5Ep2
M7ydGbcYppBd+YEHkBfFCNh5SzN7BkuI6gBLUjH7P3HMPKEtkwIsSOflMW/8h6znFxorH86bmV0Q
QZYJAQMdveTJA+oNrPVoBc5tI/NAtg+yYtADt+qaKd3CguYtMRVB6pheTMEmNbC0WV7ibNdZsNXL
bh8SH/S23rpg4UJUOBcVU3ylv2xNVoXoAyEr5q5RnQ4VO3s2nsY2qISBEgxWKy/5A6j4HN/5hY4j
zHJghSALCxTW5BHQcldoLdCwVkeZAe7dJPkWpFJnpVC3zBe2czwzk6vyk63JQ8BwF2pGB4kLtxqp
g5NbEBxtz/vGeRNkqvUADHDSSiE4WXTvmXbHMH08///PujiUYpiG5wXEE5OvlKZxVAEHJyxUdTZ+
DCqrXnUqr1hAS8x7w4kd5fP1MyhaBs4/6BWMmp8S2hSeIzlcQnpmxiaGYS/rdWC3ocMW7qS5xxq5
+s8FTi7bCmPGvkg+DAPAPTyA2dDyDh4Y3tCeN/kqdEDAubTacTVfHAO9QmVUI2FQ2/u8WllKU4A4
oEYC6fbCYqtqzW2xVl7SS2blGMU4/w1nXmw6niZtBPxTMp1e4K4xDAAij8kEO2pg7eugOklBZz6k
95UOIIK7dAXPReOfTE5uRmR6ShQb4Tg7GR7BnJvcalZ+5d/Vu8YebDCnkv9DOD57FhAoQE8dYxqY
5vq8q2FDSVaUWCeISaymxqBacnN+J2dPA4a3EIErCPCmT0vVVTJ671D4AfWWSWMFJKLZWh6W6n3j
C/XFPU7MTNxjyApVjcDNjYGgxxoMswLc0AH4Tpm6Iu6S+Mn8rv1c02TX9AY0gLGCNXWqHq+0Woe2
QlX+ysYZ0MwAogDKJ1M4coa6Yq1LOjYO0o+Fy+yquhmrwec/z+zzdWJlXOpJDBMYqZLEYYlAsW12
bVgjzZRstb+pwbN53tK4KV++0Iml0VFOLKG9W2m1B1dLpHpleJcMhLqgVu1KyERox6Az7DJanzc5
tzjAQMGxQ5ACQqD2s0mwHMg+azgeEyNZKeUzDaFHQN/jxFvYxTknPzU02UUWMrmQyhoiU/Qb6R5Y
BkLp4OX8Yub2jxAIf2kE+TOWNFlMB+XyNMCt+8ELG4O6kSYgMDGi5FoK48dgnGROue5Q9HDPW55f
3U/Lk4cGHGwGODRxtuQ2Bk/fm0juDG/pTM2+Kqfrm3wsCRcgwihYqVf8hkH3CSOQpmTF742tWuxB
AYepuRTZzN0apzYn381oiyJTx++mJ0UEYuawNRVZfy6M9MA1sLJ4jbQQw43/4/QUnFqcnAIJuhYg
LIBL+tIh645afXf+W81vo0IwdSdDWA0R6Wc38b049r0SwZo6oqoksFIo3hbSJ3YXggYYRNGl2PHk
OncRecv7GKqcLljcMlCwnf9FZp3m5PeYXMg1trUH+ypi1STflt1TFLUrHa2e81ZmthNQK5RCCGIt
/cvIbp+CHSgfNcraMAH/Csjy1IXAY+bY4XGE5hQSI/QNpseuBFedircFgD5X20DsFzILF4YAx5C/
SyJoqZZ8hVGR86v6GMOZeAmMYhZ5bBBSVZ80D0IuiC4VmLsHvbXjPYMPJf6m74H9Ds0AOuggxTX7
EYniILM1lV3/Fi9yJszuLGTfVAMRkAIOgM9+pGq+F/Vg27GYVjeXYO7mIOoTS8/2zA3NMAaNYvso
io6O0mcrpPEVyIkje0q0JxWMnuDhMhVy2QrPOr+ls4YQgsi6QnTyZfApSA1wztW4XXRwxJb+pZdW
dk02mb7wapNxX758OgOCCngP0PqZPtsqTwJXjH6fgwQ475mdkshqyWORlHtfuo5AeMRF6BjS6/kF
TokHAMaDxMo4eT32VdmXowDi2Jh14IFECa280K/wPFjVmn5jm8HBcDnEjZML4rDdqKiF8eV1seo2
5er87zDZ5C+/wuhTJ088qbg8NHlaWaq47Py7Rn0MyqsKgl/nzZBJdP7FzuQSjUqiSLLwqw9kf/dA
7HAlWdF+JFnQ7NaJrlVnHBXTZHMJG6IsLXH8+ckSgy7ymaDY5Xgrr3tIVmfQMLIMJ1trNphDR5TN
be10eLJiZ9hD2gi1yxCQrmXJwukl8WUXJje9q2bAfybYbXIXPbQ2KLMdAqpjO9qBnvjbiEEGneo6
A3/vrXKhuXa3/H7O7wamF5EpISSZXo6eVtYeDcBhpoN1M9CPheyoIPIJ+uvzX3wKu/5jrWNLTkEw
NxaOPm+7AtxmnI+eFW75TtnR23Y1OM1l5EiXgVU74RVYd2tHWUW5SZEILzZAp9nZn78A6hucAQCJ
vuTnX0AfeFsWQVFZch4cvEh7hgdueZzdk65fr4zoLQdhm/NoiO49j/mONQNoyOR6IRKbPEZ//Bbj
k6CgIohq4GQboAmYRiKDRBh45uwIpEHuewKmgIRVZtG+ZsVlMLyf3/kPyp6T+2xq8uO+O3H4NBN9
C77u8uOsQeoJcEx6VV6CRdrO/nj2/uul/2/vDRy88eBlafXvf+LPL0CFlYHn15M//vsQvJRZBYXF
f47/7K+/9vkf/fsqf0vv6vLtrT4859O/+ekf4v//0779XD9/+oOT1kE93DRv5XD7VjVx/WEEv+n4
N/+vP/zt7eN/OQ75279+f35NgtQOqhrBff37nz/avv7rd7yfY4n+v04t/Pnjy+cE//I2yH5bl8/p
69tvr9lvlyCCfZv592/PVf2v3yVV/QckqIFiVlBeQjFQxqvZvf3xI/4PhvYaJKTRMx+nFVP8V/74
b/7BGY4OGPRk9N7GfPL33yrIF40/0/6BNgG0fg0UTFGuMtAM+c8v+umj/fyIv6VNcp0FaV396/dJ
TA22FgLsHGDCqPdryLsmgUPqs4Cnvfbd9/YaaAOBgTD9SEIKFtjEeDjZpD9tn9qanAfYQlsP3QU+
RkuYp51cgTHoJrOm0r4D6mZBkuNmUNeFDNQwUUxgpXEVgNxQh2zIeatTcIymKJgWQmPl44HXAYn+
fBlIA0h6lTZ5BwtmvMqvq3Vao+Q2rCpcQYCtLoEf/5BBPj2EMGhAeNxAPXEEePPJqzMkMc0Q7Qe4
UgxInwUe9t6RRM7rdWu4+V7tWnEVjZzQ4KLDTJgcdDVI6zNQ5BCMWgHGKGd0o4qUfQcfTXFIqzb0
NlGLiSQ0SqQdCUK9McEn3j9KIL/eQE4RqmvRoN9zFkYjB2cUviY99C+qwC0zS0oZ5kLaOOsrO/Ml
ozE1aQAar4eypL4eGWaIWZRyC2J8iYAEmCoRNBOaNugUswUN9yqM60Y1CUDP3zJICGLaPZW1J9B5
6yn0l0A3P4AA3xG1B/2COtfzRzWLpAdpUMNvTS9jSBw7dtOVZccfiOxBK7KMcwC7woH6NxVYQzWz
0yEs4keDPFL5uPq2kroGPC60akGyg1/kSvNTea8aEOoqJTQJRCMgeyIwVAPUd2SgM5hwkRpmhYeH
gla68A91XZIBg54Zhf5QHmmbqGseMs8voc+k9PGjFMvJpaSkCcUEWwv4o17roGmUW1++Lw0wUBfQ
/pVWYMcGplBI4A7VUvAGF03nHjKZlzgwaVA4FdgKn/whkm5IkmgvomgrZSuB0emyy3T8jnhWQoif
lGl92foEAFLRDckaCCpxGUDPtCrS2oYclriIGDg2Lb/M06NmuPWxqLLequOwDTHOAW5kEzcCJqh0
OcIwZBm1h1CAaKbXFCguqUUNBTDeJJkDgpXhqNJGeWnAj39DPNpDixYtGyUp03Vb5OIOduvYUVxI
odlyCeE3LDpEsjeIIKC2SrM+vSW01g8a6dLYqaWYYqK/hoTAGkovRecMPbayBmiQg6YzTP29VHv5
Q8VKqjmFLGKMspVu+xiGVfQm+hCvfZkmILeuOr86+ChjvkO9pc2drIaKmx4ULypNi0fq03BN0YI8
QMNxFJcL9GjPZP0hKg1QbGYZ5NcSMIZufa8PnzKSdTcxizB/HUjtwcOZci+LsjEu+qAIj0kzgGQW
hJntwe/r/hIU2Dm4vUuorfBcqsBqxwL2hky7tNVchbSMpyM1RE/SjAwZMlpZEr/j36BWKDSQ3K/9
IXVp6fQ9pEluAhqCC58KKIAQ0vovHQg1XVxpwsfEaujqz31XVNc19CO+R1kClv3KG4xoU3Lwateh
lFwbtFeOcIEcqCi18J8iMDNfgye3e9RA71mYmBtKjxFGsO8EIFw/oPEpX6ARCGFNiMYNOyPnorJ7
YUi9RUWqbZMwp98StxUgz0ZnFQPUFL5p6Uo1DHYv9eW6rXXIKomeZ6kNHbbUxV/JxWAXQ5cdQh2S
UG6rJXtZHqBU7kPGhHU6SFUlmneO3ATxc+42UgIAAzhUy6w2HgEAhEJZ42ZIezGBBBwKKLLtJver
a0PBOcrj1FuXacjW3CPKRRuGdE8lWl8qsSY8yHqo0PTjg3FdUuI+xSD1B4dMXmwqDx0RllSNU9NR
ji6SNZSXRs2CXQTBlNaCpHoOjdUMUiJABLxKHtQguy4tn3qtzO49pP+ZGUV5tjcCLr0bvgJ5LbwO
DFoxXX9Z90MNTbbOdy/zQQWni6KW0prWbnOMgEtZUz/qX5shYLsURDHHNNO6taKTDIKBslaveo8q
15mmFxu9MUDIpYf5hR8M4kZNwR+sG7pkKkWR32X4zPuo+R/2ziRJciTJsnfpPYIwQ7DVWdVMbTY3
d9+AfMQMgUAEEADnqhv0xfppZGR3ViyquqhXTVS5iEXa4Go6iDDz//xfNT6YNoXDGBnnh7Kec2zh
otCDWN63ti2flPChsweqeRWczz+G1VEvNApmW/vTemlasqmDpfU2cW7Dn2HVjkfb5NmjbsVEuyRF
8JqbuniZAk/eR4WNAV1bMId+BXA2LYJ9HBZAIogQzk5VHdfhxjpFcWxXDTI1H4aZvkOXnLwik5cm
ydShJpP8wytQCnNSyx/Dvs5f27SF5eKYXg+8IQRQFemlyZNvo/J7X9uBYj6bwC4Fgix3p03JqNZ+
dtLwS+66TE0X5ZFM33cqPbXxsAZbTitNwFQvnZNQvQSdETIMohd1zhMJ54c8as2wH7IUbHer+/RT
gy7RbhgqtcAjaz1Akb3lzJEG5KT3yyqDzwKyx1WLwEDHKAmeIJl8zIptMi/jZUyEvQTDUvy2ywRm
iflo/Tw3dRBtg6UHR3u7FCNIo8Hyu4zK7PNKKXpF3ISrQoI5ubWuDs2LTu10riQ8hq6a24+1cZ0K
bAEH2dbMnZCM5kij2ZXDkCFdT6L9KkNLhnCf5fE1mrLx1JBNoXbGREN01EFVDmfplbgWF6uZ0BaO
CJ07l2zIcJMEpfpPeoO/jfh4slk1ifkf2jd729HfhjdTUbVirsXvifToOEuJJv9adck/Bjf/3RT8
2RTwlP7fNgWvY/P3loCf/qslCNM/kpuNCYX+Hx0BJelfLUGU/BFTKN9CGiMmbKAN/k9X4Cd/kP1B
hh628oTxaUwB/c+ugC6D0GGWEzAuEYZ48+D+P3QFJJywzcmMj11iIkeiv5XMqcXcQtLXvKsyf6Oh
MgbwAeP6q6Pe1/9Uagr/vvyS3Hoglkdp1295n/Bh/n2Fng6D6Qtbq31vksdSJ76CNMCF0Qlyzkdo
dYdIZjcvs5jzhDR7R8spbTfD6CwTccBDHtVceSCCxDEZWdXZ1EOWgAXsEmLT0FysaD8vY67repvd
8gyQXXIYY+1uWuulNsi1Gj1oa+Xgzk++CfLoHSyH19TbbpknSJ2p6XMST0WWa5kCaGnWCgF2DWQP
sYBQQ/Po1Lm2bz5Z4bBh65ESwnpLAZoxXcKvkBgz/eL3lRBPDSPUJ8DM5b31CUzGWZOE1P1VV/MM
+1nwnae9386kKzxhocrqzSTN+N6UMwtUWNQJaA64vjcsbfX3U9n3zzcq+q+hGIdul03SCzapKpx6
67p6Fru8MyRtJ7VY1kNR1cOPTlc1NU6J1ZKcQu3qTdBy2aVeR/Hp28x7AqHpFMcsb93vPSsME6Cr
Qr3RbBA6kwOFsulgf6y+ij7xl5fUKihOPyOCd4qtG3XBs1STvM9NEamDdtrKP1bI9p/mZU2nz/HM
NgzHHcYiRvKES2OFcfH7tD6LnJt0bPKvfQOOsku7kUlY3bJnGDBIhR7sFVVEQnVZffNHdoJ5xibq
wULyUhAcr3oBa4uacNs5GeJQ13KFb/pxSsVucqgksP1mwtv4SUlaKDYPf30r9ELKPfRtU20l8/N+
u7Rrl3ykgzMuuyDNJ5Y5o2W+n1fbJ5vO8qJt5zRp9klY6OM4afNdTc54H5iVhObE+GW1o36olr1j
BannjVIKHBat42ZMWx86fKOG6TWMS88cM1GTlkB0nfiRlW44U6M4qUN6N2AFlB89+rs0qbv40EIl
SLZBbyroteDuqt00D6u/jfIFqEoca1pn7jWYvHJNGhLcFwKmNiIPBb3UkARIDkPPmG2diqjemjZu
m53Dbh5RCGTpRds1UK6/BXfiE1NtB4e0vlE1Ce9ioeHUuTZ2j0PggqQO8VGUWxkmBjRJKrzwpNbI
mn2HA2jZ1XXG7yxXowwfXseDQZuSAL9JIx7FNg5T3isNnU2KJDqSdB6581JtnWGoP3gj+eOhD81c
nirXbfW2NElkdqlkigBWzkJSi6ccKISckrbel3HMeWTGcpA7TQj9jyJcSQsQQR9/UWvWAEdTXfbL
JAFMtRHuTM+S1uDaXTzn6birkTcwzWW+YTnBzq2DM4DmcDfmoDO2eo4GwA6Z57xDQqrSg+fMlE+D
bZfqkMnp9lgi0/nbGloGLbNXzW9dKY2/be3sNHv4eMG4MfQF17bzDKOOLC7UYek0PNo0Y90U/F0e
1IfW1Um/922cR1s/rND0Vr+D3GJDml3ekSCJTowZOJ94udiLcnsZvA5uDHzINbGCHUprUoAKCIDD
OgS8AltNxBqdnME6y24Z69sv1pbo/DSoTXvqdCqpsErIRft59ICrG3gk3c7mRLNv84Hw3L10RMOY
vFi7fA9Shpa65OyWpFXzSd1bLgaWAYqyKbcaibLexToGGFAlbjfti2Iwb7MDUngPIK/FCIOQ5Byq
KIvFfTXdOCRY7bqUBi4yP1dQRd11TXJE8rVYsH60sNEdztrQI8+qmPOXqQbr27dkwRBLH2dMLGwd
sxKpdJi+V81EgCjhPXzc8zCCdpCIkLmIqIvRXtLGBOE+cqXvHZapcdV7k5rOHIyC+fQ5TJjEP06L
7MpdGjruBPNvboeTcCCY4QtdIRA0ZRt1O7HQtH4dxlGU95DOw/Jnk/djdJgjP8ofBp++mVFyRyu4
KRnjCb2ZRt+tn6QjB//Rs4XwL3FACPjZads8fYirYWQIsPBpJF7SremUjG+ID266GXyntWmTbAIA
iuKUkvhRX3zL1s2WZTLOra4HQZHVDiBSYgGb8ECVAQuJs7LxLmoQ4nX14+p9SbKw2ZphdH+u7McX
4C/itDr7dZUDXBPl2IARHF1e1KFQ320j62FfOq59zPw+hLHcqBdF9/eYLXEEQU2v3YP0E/dnkYYw
5Vvrs8M2uG4A8nScce50alD13To4VfgaB9PwKYhK0+94igrQOZDEhmM5lM3eIXGTDbg5dqMtIuOy
Ps1htFTAtddlPgSVhsQ7EUDYP0MRToJ9WqRztlOpGvEF156iDsG8CUFzGsCKbluS5kiXlF2hT1nS
TMDlSPOGgqBKp91MRV+PMNLLujnWQCs5+rq1RHmdnObFghkLdukiIbnnvpijxxlz0HxUpWhf6in2
k5cwMNwgxSLybz7Zu8N+auaKkNUpjCFndvUYGuZ0xB1t+kJ1t5thzmj9N20obXmctHVCUIpD/EH/
0thrxNishAZYyPYBf0v6fS0Tp6Fdm73+OckgT+0jKh21gSVTE2YIrhBDILNZUJhzVxfnCPiTA1FA
wjdcR9lBKlh5nZ1NM9d0wM0Q2Gzfq9AtPhJ8EvjDm7A14aZ20n58t9z1/bcpB7oGmXYeFnP0S4K1
D1BFw9tdDE+Gsz75h3/iv9uB/5Eyycer/B82BLL7+T//rSu//Wsj8L9/7q9WIKIVoGDHIYk8gCco
QHj4qxWI4z8EYdkJPnzEYix/fOmfAkHyB6I1q5FJwrZA4IroXwQCL/iDrwVkfyF+JRTy/6VWACH8
bwJuwL9CC4BUjRLBrCP8m0YgzDR0a+DXO+belINNHjDlJfUiLvvxzH4wi/e2LJcvPiXzQ16ndxgH
iWubPFKxo2H9INbNXidRNndRUJkfXj0swN3jeT/00uyDbmjgdikiFwamQJvIN9lWBwDBipgTsefG
yh06AL64FThoj0My6ZexTW7ItbgkLbD3YvM8kP19xnGXfEtsjoOXUnxbum109Lilt13cNQeGwzk1
WAOWDTjizrTUJSWW4PsbKjDcZJG/XBlvmC1lDRdfi4J6FW2cbL1mil7BFGGYTcfoFASNODotySvb
OIu6t7ywybdMdZpg4dxWX4VpuJDTWn/kMoZX0vepxwdxEeH3oUxZMp0pWg99lmVwv80IwY15i9y0
LNydGNeU5zDN8++rDyQimE38ow1sVWxM5GgM8lnzkGgxATmJlncmlyzJqqqCbd+YQX+XlQanTcRX
8hnGHM5K0w/qdco7sbUj0HJwhiPrVQlDGf9m0f1eR6KcyRkNxRWYnBtsOhkBxwxiUxFKZhXDDy9Q
mIHyYf2k8kU9cxW1t7J9PdpsZCKY+vnDmozyHOfecNVl0J37jhBeir1QuRvAJuUjgvNy5UCOmFR7
GJBzTExBuJTbOOdOLP2w36a6T4788ckOUKe7SYvEXMu1x6E86+ToNZApmZWnxKM6sHsXY87gEkHA
mITbMPVZ+4x5hV5i/u3Po3J70tTG8MRqg7qslQd0fWamVcechUb3EVVsHB4HrykOi26bLc+1t3fj
YdglRZ3vCHRn0YdieJu7A+F5A8nW4Il1wcNpcu+YtKs6NIkEFJ1kHnqKb9TvbqknVhfaAjJAYIO7
xo7t2fWa5Z7QzOg0VGX1QfhGeayBPx9rP22fnchzzoU71/sGlqXcGDuLYaPcdLwyYxbXwJ8k1126
hh86ikCGKmwUGbLNVjf5/AiQlKnoEoVveesnEOknAlnKzF7LbBp3pm/U2R9CKKv0QfKQ3HwuhTY5
TjkvVce0EcUjo96QLrtSzTdEmRgadjD8Xq1WH4GosysgVg3CPFIzw1u/2hvwhm+zX9MBCLrmvWj9
7o0JZbqnoQjuavxJF4KC04syQr8ngV2fvRkNB5NPfTd4YTGqwzBX3RIeBOO1XRf6zdEVfYnwIhtK
Uc9hRZfwpGSbZLwzN3S3QPhmJfZuZOyBOVl1x2yiu1g74HEqs2AL2pyPW1Xgoalv3ycHcdRskOSb
PJcCj31UfYNYW+QESEXq1QVVdqj9+SY9Tem9mACpa2oyvmxvj0OkaAh170mgR1UffKlF3e10Y5Ar
0rj4IILHHqwRzTEHWXqkc+MbRebxMxXfKKuhedENBV1eKwoN64IZvf0w0aClsxubGHokTF95Nxrz
Y6YrOUiZ2WPnpxyjasjrnTVOnx7yAE2oTFM93sq+qDkkyzifdGH6NxBg88lKT3xI2c5vZskFw2Av
tndUe/aQdlV6VzAook8pVw7em79Q2RTHaXEbdkfADF/zvi0ey6Ir0XvdLHh1F1ui3WSpYuK6uu8L
aeXnUsXY1TgEPrzGrX54waxOFQ3MV6cw0demDIdolxkquxo28K4NA4eltVElT04ko8sCKebzXDfN
o5vI9FkIJzuWxVI92TniefS96lvdtuIossac//GMshn2UrcRz2iV3yocl8HQnrfx/DGIKnzWad3Z
gyuFVI91quN+b0VD5KlmsvSQ++GYbvNkyR6zuLfPMYDCc71aftmfr0c42OJD0p+zoZ6W81uYNRSF
vHzFh0XAeLQWoDkNwPA5hKRzcgRvqHoMQEzbJXyvVcosooa2fJfMYfieVH5/aZoSoBhTaXUxsihe
bIN6ItZevTLii5IN7qMeCsHiD9vQTtljOK3FR6htSseiVPHhpuvw2brt2B7/fGPnDNMlOvjSXfI6
4K/BwteBMC7dk1tlLP4l47KiO/HwMG9F/Z7p4PC5lqUhpnLIf9Yx/55YBtqDZS4heeRMEzfaDzQH
hnTDd2KrxXHpqSk2LbEN32Q1dhddeOG7i53XI7HfZ0fEti13ZI0ldGN7PX+3KoE4GcYI1q7LUZ3n
+fwmbSX2sl75P8OhF/ynmN9EM/Fb/vE5qqn++VQrwIsu98YrwmoWM9qvFN14Mjl3OYirCxzZ+c3q
TDBmzHiG+1YX/M0QgvFyEmwyQd+uAwkWM+3q6l6ZpXK2LOvO+kRGBFhvCJXoyW7gN5upaznmhpWJ
ly9vgf9mnecfre9gmA/HwL/3UhkeEwRdEOGS62Z2puBDqHHcxgV10e3sZj1rmImXC0rwquUUsIAc
jM565cGtr7Q1Zc/pFIwPcUSWoykCyIlT0ZhDS+rL11Xl4yV2155chyABZN1ndfLsdCkPThUef17U
ryTKeQ6WYgeA3DsNqv0cu9b5VCLkHHIvTpNNyURNnZs1Sc5D4JSPY+XKmNo+MF90F6MOTJmOXnlS
MwkcsepOaJ/J+FKWqB37zunGZwKt/LNyJXzr2eoXlJf2xZFB+oucK/sdtTL4Cb18fcL2W3wxw+K+
5hNvyoYX46OEt3cqkG1PtvDdaqviKvue8emKNmnpBncMmZJ3Ttu83y0MVrl3s8A/T1FePfQ1Gcv0
TF70bts1f00TUd23mUkfQo7Wr1b5N2QYiMDNXEzesR3H5pOOW+AcGcs027zIs2PruBWggJ713rAf
G7Uts9ZeARUmj12Vz+9e1dM88ewmG+kmyb3vtCurj/WYTkyHVOEf2szTF88O9nGZI5csBr41G/3+
0+SO3KadPzvndK4M4TKcMjsfxPdWpl30NuoBZHTkgpBbo3W9kEW5Xoop0Ida9yGzcIqYdh76QwzY
kLfQmBEIj9LSTtuKvZkLAEP30yhVBOtvZAZBtYE3IjEKD0M1ZM/huCbnfIKNWXFw4zgLgmVjmtn/
HS6p+hmHc38FIyoOyQj8ioYSKcrEDgue1dB2zW50Ss1bO49SJqZdA2hVNMHnGO+W3nHTJj9FrKHl
aQOAdtPXrrymfRVf4xa+ceM0/RNVTPKMD1pdLImwryPDaX8zulN/viFGPvxqre+jpLGwrvCrC96+
sXAOtRTjl7lYGHF01RCjBAJtBuBKvfAmZSxeitr11SGIlHNlTNLGm9LT+ntG23q/NF6ynZQj986I
kA1u1PnSsBMvDipfVfB9UWK4+Ch227yHnONo5vnwT+vzrBwOxdWd76ehrr87rsNtoOCrpHksX3qK
o59BzROvplt0BOHVJ6qf9CELkMSnZajPSnFSyV56GyNkctThQOxy37b0Ksw2nlSct3aDVIs0PlLH
hTamsO6Qb+N228xruCtFX71WXTfc9Yvf7/wSGngQ5Lgters0J+XjY1+j1u5waJiTqjXWTuGVdxK5
fRu5nvOkIxjgThFFlxvCebv2NnhsG+5ljt7ywGRVnP1cN6d6hUKqhQx22dx6d2vbu1/4IPlHIV1z
sTnzjdJ03knI5jtv9/y5NxI8sTe1Z9ty/dl56V4m6im5QVXXxyLMzEtVTM6zZQ/0E1eH2rsLZaFM
+uJNYwfbxUM+PA0R/m1p7PqSZbA6/HL2t0Ku8riUCvZAS+hHZsR07/sN8eIDk4OkCuqHoJf+0V/D
/A3Dgws0e3CuvH9ygo3ixP6Ect+x01gG5pxlTf5YpUjcUW2dE/x6QGq1g9kpa81DZFFgVmZnP9Uw
+Px1TnwY7PKBM84/ZGjTW5VPybXUnv7tdv76y6mW+tw7jOiVxeLI6Pscc05sVDiHG3oi/aMPlvyb
CPOGz2mVvKyzXU+R26EjZYA2z0vmzPc9csY5BqiJe4HP9fO0pmV/zP2g+O1xANQHCUTta6Mx72Cg
SMqn2tW8+SocHLeAOaf4XtWipAitmnHXgYlZN0FvudydKCl30JhZuTFr8VhDPn2F3x6/1FlVt9zl
YThfls4JTvM8hy8pxoSvcDxntQmHuD95TZ6+OVNnfzgSYjEWJGQUN59iol5K9cTAqW6YFaoe5Tww
IXjKFSRns4bYpycSQcTK4ioaQnZqfPjZ27SawvkwoL0hP0iOWUZTfZyBB28nsW9S5WGtH9P6iTvJ
6H3RNmW98coFeSgcVP/mSTlfJxX5F81ee842YNF99wKcFruhknQaCx3oYwVO4pkGuLpy9yXyRS2z
k8MRz/v7xTbzlqXj9tWYDlPL0rrlkWtQQVXukqNh/vtZ+MuabbylDB5khviyYQndZ68xG5mexZVz
nYvRHMZJjAyiQwfBHfGB9CRHNmfrRP2p4jCJdksagHnK3do5W+EWv2PyIn/7tQjqbRCk2SXJUv+J
Ysi9RFGnT7JR0Zn4cPdr4sv8YQJ+ejJjpw8eLO0Fj80tRzkwY/h1ZLxyGXpliRQl3Oc+oyCAh6s9
sRsal4FAPXT94xzYGWyti8DEpCT75gtZn7PFTD9nQBItUsOMB6pfUlovTzrBzfGQjT8o9xLO3zQP
ILkDI632Tr+KL7YxWFYglBdXYVePbRmZ22Mz+P5BB+S0kPTrJdO21ohsO9lM5peJx+SOJzkdj+SL
TRTE+WyeW9vTGoci5JJNhuJqsqzcJRDc77y0d0+siWH2xGjR3ud+L7/48I1/u40RD50Y/XOPWfxJ
GU7cqfNILPF1Z8Qu8nL/onqm/RuVTQX+L3WblSZyPoBskuAhVv3eN2sLT7TUY7np6CU/4yRKCEQY
Su+hrEbNTTZh+jkOsqDP65Ckzh6WrDMIHBbxRxQGnur+LefCxRm6BPJhCk33gkChDCpR1LWbGYvO
MRw7+cGmbH5cxqK8iVFm4+Reu4XVUyM18KqC7XaveGkqTS62U9zDZ0h36dinX905Lh6tp+2ppU9/
s76M3lJuB8cvnld3OaTONL47GCrolqXb/Mh15J8Dar2fpe1wmdxUwseQP/peeFH5aKwfHOOgrI/R
0JevGP3i98xzh4eB4fApDEHNjm2TC2JtqvC4+PQpm7qRk+YmT0FruKFBVkyyT2MRLs8T9evViIjt
F6FLILdt2Cb39HSw0YdF35eFl5/cxq8eohI5TzXxeCSFKsE/q+y0rxTTbRZpzTU0ZXm2ukQOqpr5
gPUu5foapouxwMgDq6tPqMzqMjujAnZb+/GrqtzuG0XeehfWLUmoo2UtgYS7Q70s/nZsRXDXRko9
Rk5lD6QszPPGQUt/D7KpuQ9Ja95Xue/tpafXKzkx5pw7Uu0VOVxcdKQuTIzurmMR64+2auJTL8Ps
2TVjsqtjpZiXLD+pmIqzYl3+pVv99RAUYGqsPzYnzyvFZ6eH7o4C2t88NcuT8ho21vzCPbMDbt65
N+2+GHv1aehNfayaxlLyDflKsgjB+7/xJqf5ZgZBdw/afjoAkGzuO+uJq7VS/4S4vp6y2A9fBw8E
dzZz8mP0lRgzKznvA1frw0L7+BRrLzr2ekw/tQlmXY5I57guHhBvLU33KqEP76X10+dlFfkTIwr2
JIlhOCWeOx6qUkAFk51XHTtnjPbtbItfQTRDeJpNdyBxUbzgjaVRUG6omB+Cjl3HJfo6qDXljk+7
S7NM/iljuPRE5yJ3w20gNWmdoCJwyrreMN7Fy5IxvdD1DypwkolbMTxKNx0eG99h/wGx1A134821
R5iIPDTNklU0jmHxqYfp/RJEQ/pelnO8s1MafmrZ1OJ+IMfge9nx8os+Sx68OsM8J5caPGU67Smv
qr0PN32fxKO9W9bcnnF18Rl3A7lz59DcJeviPtM7dMutz51/4BQezibQzafIaZ1TlPZmj9mt+uzo
PvhZqJKuusy8lxal8vaZrJ6V9sW1CtmPydJoPCDZBh++Sc1PCT/ukHl5cQ25lLMtKErnxem0YqCk
6pQa16vficMujrEcEaMr1RZXAFvp65j55cufo/7/kvLx/9veQ5DE6X+89yCHb2X77/SMv37mn2qG
+EOgRSAYJL6PGSnFofRPNSP8gwQnAo5IXYlYlrwhjP5SM6I/EA6iBDtUEqQsf/+rr8n7I2JrgF/p
IT6QpRmJ/4qvySOBAi/Rv5jzAwSTEMsopTgZlnhrbl//lw0ZrMM9tRCu+LARCefZUHAk5nPZvmKD
UB86datvVaKT34xpCHMopvg4T79iNR9iKbydkYj7w5hn2ymvmOtM6didwSDebPzoFc8sGTFnlrM/
XH3jUfXPgTP9YMiaPc9jODmsExbmboly9cx4jKNn9bNNy6ful+dl5oPhUfbL68bkQZaDc2+x3L+G
GmVgM2otv2HAod5FVeyvGW3cl6xIa2zkUfda1qiQWwV3685Hk3BYYnQnmkWy4Dkxk+lC9OFymdtZ
fQlat776RVA9TnVk3ozgoNyE5RyY/aAajtpE5ocpj7unNvPrO7Ty6aWQCq8ma/93cZEV13SY8tfS
VPG9mIP8GWfD/KPIbfYjt4F8o6boaYFEzPgPufU0eqW8W4a4Yt0ry6aLXKbxGjmMnuG5y/HZmcvp
SNBL32yCpSZ4wkkEvGUBif6Aau9u87EAvUwo6AnRgq3aJuyal2rVwUaKSR7iaOS6q8aG07Svv6bt
WuDsCoH5hIN5Fbi66NjLYd8GvX+f5Il5W2+pYQml7qn3w/VQ1hQx2Ff8/cQBeURNmLZNpeyh9XPx
fXI9/WqKyXzTaSp3+ZoMb2QLhrhyndp5rVjx7DdC4eFd8KhzrsiUHQM5Rvld39X2ZR0b/CRu6b4P
fRtckMr6/YpqdyjHtSbzws3CHQqb+KjGYNy1MkouSV4Vb0Fp4kuX6/Ug25qpEUd5vEuLSHxZkzgE
dZy590qI8WSzsrzkfLL28zqmL7kT2L3x3PUd3hbVp0KnK7aO8JuLk6WYxXvP37hCTk/axOkxbJby
fWkd57yOMfYvf9Z3mqHNqXEKNuyrmcuHj/S8b6o4f5Rs0t1PcZNvG9y5Bxga+f2CqoInVoS7rjfu
KY2Hce+NKf6jbMnLUxfa+ookHaJ7kZ2mubU20epTokzx2J7wC3f7Ug/MRBdR0WjN/GA3TPXTGBHm
P8TxQ9va/IuyY3zvyD8vycY5qmai5ih6/WLwzmzcRjXhxsy1E2662VmuVjPXPlfQ3aX/ssY68J+n
pMDh8BKHwYTLzRK0JloGk7h0iw/RIQ0wQJ4xx92GvhIp8ld96+fdTjNzNiZ8p/SC2YCEf9SlKp5x
2DE3DRK+pc/NmdaLIbSOgq3byVpt8s5FHmCgOu8K0H6XafKH/Z8Dbcrr4bNbj/0+TGcm4RRXDzYJ
mIjiUfo10+E+d1PSH6nbuk3P1P0uYtx7TPpm+tnwiUGFGaYT83OXkZUsHgLfjgceMEeK14gzjIDq
KU9RH9xy4WFKnz+Hj2C+RxVB+rgNpaVi9qpridb1518qM8bg4cQ0eJjYllhXkKWbcdYY7wbrfiK9
NmCl3s8e125d8k2lu/QlxLeJaUCGBJ1Vq2RKxe7JgxMu+rGtcrkHvFPgbyzZz9kEWCJ3lSnjJ5BR
EY39UCeb0OREYsxzW792/Ro/qcUUR0ydAnPYVE9vbjCGB1zt/RfbMu/N/ZWrOjDVfkGCfMqUDR4W
R4hpL6JC3cnGj4OtD332KMI1ue+loxlk4Y8J0+51GVf3mmkyJRut5Jnt9Q6vRRlgFq1ck58XtBDJ
a4Zjf17Xqtm1Vov7Qfna23hTUD+bOFi+J6xaledIV+4uSubpNRzC+luWaX0qQFG86DJy9mPoLHcI
L6wZoI2ovcP0K2CPatGfxgh30SociTHUOMEVT2qxy7KhvevD9U/9kV2pouZYY29iG3qAY7gGxrva
YegoiyF/YaLfBht6aO88OFNcbETFKKGvp4ZFx7Y8VEuvXqJp5PGv9fTohRKVnIT89qnr++iJhnPh
V96cqSKS4sxmmb3EttBvNhwNmxqMSRjd4AfSwygeMYX4n7O2x3FXDPP3xVlw3bQq/7FEFb2GM/G2
vykmexSOHmW2nh8jHfH+UCLuOEEdFpzNbF/lkrkfYx/fXvJVb53ENfe9dthBsF7V/i/uzmxJbiPb
sr/SP4BrABzjawQQ85BzMvkCY5JMzJM75q+/K1hV3VJKLdq1fuu3UlEiIgIO+PGz917nZ54b/rqx
CrVJ3XY+FNT6O3+o/V3GuNGgqK353Rj0fCf8zt0tTZrd4Y5tzkbnFGEdZfHTuHjtStaFDHtORytT
IbKy2+r7hbztmrXKC8bVTMTcxjjKxGNWY1Fpp0hLs/046GYgzMjYEwrNHx0rd2/5CW8j+rHYkwuT
oZBZu9Ex8n6BoVztqlHdJhI3RcDm4R6kVBN2M3vhbZeIs9XOFWf/8c2bBaPyms4IvIlmN7IkU1HS
xoFrXtBNKBxic/3sX2xO76FmTDUVRTRc41aVYVYai9i4vmx+2NhzC1R5pxMr+nDaUZSetm261jqW
S+Nvo6iU43qmJRSqznY2E0aEbcSP9rT4HKdVaplMToapvgLdzLuicvA718t41QzSWlU1gQEjd6Ot
vdbvr7RKs+3oa/O3NHX8daez4RFqITcoZLE1e0SPOXHTizmP+dGssdsVXrW8Jro0dohV2Vaavnbx
DFmGZltnd2Zed/dxwWMgdSMJMX0YO2QKfKJVMR3wXiqcWspxHlXWMl+jGPplj9OAc++U1ep1qZMh
7Bovwn9gYpmY/IyDmNnsUTvxKE8qw2vQmpvaK+ur1tc9jb0KFn7rkq3Hj2DcaVhut8Lu6UlhObkk
uKTuU10uOy+xWZgRUwlWJDNlvRV+MjwtRiqeetlOmIqTtDnWicW4EyKLJwBPQJdHOW2IhRn1Cuzd
BA/JbZkVTWarOni3EQpzV1p7VhjKed9pHJLi5vFmM7wfa/YTK8LtZiHOdyvWeIw/tBrrgHbJIgJt
hIq5qiNPnioTVwB2dwhxXex/n0aLGX7OpOqdmxkFgpNl0IrIGF29mjq/VAhunXPV+UBfeVWZdF6m
NCimftmgBJv3i5LJ2la+tTUS7+us5nG3dPVyvwx5E9ITSi/T5IqL8HtcKmS/xoMuzelD7zT/gwHV
y1YVDP3061Q7+rbmbp1lbrkVyni0o7gP+LLLl5gNsUCmYGCeTS7sR+/VzXeggDToK/pzPT7keo1d
aXpKFXrKZJTtt36x6qMNCwzjdVXZ38pYFAyzser8i2a6xavBay9wgFC9IGTp28hibO2q92T3rtyh
2g1zyjyCfHTOjZ0Tdc8ctaWJnhi879r50sd9tVuy+pYbSinLiPf44ksfddNtSlr6NUla48XyErU3
lkFsxlnRfNBVfNYtLTvBIh4vzmJF3/xu1u5JjSU/Cs0092mf46ePKo3hsm0TBUnZmyc6aegWjqOB
bzA4RR8swQPldJNr0E/q3E1CzXeJ+64PdX+Ur9WsZaHb6G0YVUC2q96rNgvdlW0uvDplksWSbrXI
7o/sfUU44fy+zE2sr0W7aBtZ0piWRTed8c2IU+b7xaEzBMhzK0+pretss8hYvaW9Nb74qSzPKZMn
eWVSQvasuFApp942muZvEBYnxMgi/UkgdHoWQn4hKUqWn3b+U5fW0UlrxUw9LPU9BsMUAdzF/j5a
w+RiVBy87a2L/H3IFbEFdhB3BYiv/kbgUm3KIWq3Bl/iUqSJfu9ljX3C9mTfk03TPzAlF1fZNPPO
BJ99dlq22bRMrHMfE82O69e28M4UKUSPs4zPTd/j2ptmdFowOO2cGC/yhI17Q74CchxGrSd2TOMq
48jYTp2uXrPcpikRESbD+3nT222foB0wyX2PiMnoczQY0M9zsvObRL9ord+d/Kif7505gZo8OSp0
SGJecd+hzXBzHu1m0t86J1tCwQN7p3Wj+ijVpB0W1O3dgvX3i2Dw+Smd+uLCKomuDTM4ry4lMRkO
IRW2TcM9z76yw3zWxqdpnFkPqbCvBZNSdgV7xb5yM2vT+aa1b6aiPyKhK7WKtcb5qSWGOpqebM+L
xzCOtlP1huWrb35FLtMp42YYrnqOrLrd4AKOCMcNyzO9ZHejaA0e4kj3Lnablye3I9XN9lx4R2w6
0cVocuvIcNLhODuj/1DkGn7b2KxsvCOmHSBWyHNvqIT/RRi8U930XGgRK16XPYHWNKfUGWjL6AEH
CozWoor8QDMH/j5qNGpgLTqXfeHBwSCVS17XHT+Qzscjp8PWCJjPOPSrpvZzUjeYxwMPLf7dLHDf
cBjQ3Tcx19z9TveeF7D0VlBkURmHfpXkZ3I+cQg5fOBpa5dtm1tltcpoYKcBOAvzqUjMjyxrh2zl
VITN63xEhq5uQQIqyqO+DMamYIz495Rkz05H19WAwum4m+hwxruaqjQcfcx6S5uUwYgJPmAhGV8q
WbUXeUO+K6HXL35Xds5ax7hOYCKSpA9NNshNi/lnO4rSveoNqt8EUOtZaq5xaRe9vujdMB1zZNzN
4hV54LaxGfRqZAKV3/grjkc0lZvbX4Wp6t5dUmSHym/2PgGINU7G/gupFuOedINxiiMvOnAM9S56
HuXh2Jn2tmpJJJ07nYY88W7TC0TrQBTqDQlKtWm9aOVXafXkOxwr16Qd4n3ujN699ByrWFl1hHXb
baeSOFbBxof9JvoyezkeJd/pjNAf+uS+61psCZLWO7WX87UeBEKgYyZOaBZRf9DM0tyZUxZxkpCD
uFNQWTJ++L656E4fPZR5SjKG/Sc/dHz5Da57aiCehVCJyY7WVo1nExjAaGHE6omTlDxoK9fqiLe0
nYweO+IIfHRbPGGitI9dU5XreCgF2bzJ3hltSkasjrn566VovEM6iuoozFnbkaPnpdK5XX9NeC+u
GGTXXfHWuE/+gM2VGKfEqtHx+dETWrrNVaS+cA4zv+I0+uBAhT+J6Ge7Aw2nX3HYe+ukQHn3ENnP
qinYacukesV6Pp2oSKnYndzVTxjVi0Ntjs12iZwpWTUVtYpIhmwje1PtS3AwpOfzvWKeW6bsas3p
0N71vhBPtHL7gL6Q3EEm5/c2zereNofqYyIXd0wd6WyWXmjY5LU5v5Jqt+9K3R5C0ZXNuShwgxiY
+U9F2kz7FADipYlGdazRpfByLll1BDaho0tbJuFrrfY/GCLSE0PlrPKgNZL51czn+YjjCL85u3GY
5YPc9o5EwdYmHPkg2+WJHC50QwaEPvgzuW9r8gFWuLC8Apsu81cwAvq+QvYjf+3KYW+KpX4wMWU8
2oVNp7ZMrV1JHG6nJdVIgMkct3PGrNSuzZJLMhrDa2wy7S424v484nwMjJtj0LQYgJSA3r+6ozfu
7HrxT+W0mGE2NlA3BjFQmBZFKH0jfvHGof6hCK3fo++23+BRz0cdPsHN9FOvFWm1o2ztZuMNg77L
YyumRLfrYHaykvBuET9MjMpbGE+QuDvhEN/jcU/65wrA7vvg8jJRcnAVZyufc6VWpcUFD6z/JRrN
4Ujaiq5NXbr+ppljfyPizv5Si5wWkKf6/JibtnqgcPdDM2VWRa5b+SaTsbuyJ0ucDZAVtE6gh6io
aR783prvBGvuCAtA3c9tZRx6M2+KdVlP2soehf8l7rJoPeVJfXLyor3PK73bCmfQDymmt7du0Fus
HGWVfFD4W/veWdR1HNIioX50BQrQEL1MUz1s3cisUe98Xfvej1YXcAqh++lFOjjL2JIPi91OcqV6
+PiZVk07O22MrZ3HcK6xFZxmzjs/ulxpOi92L9rqEwU7G8F0jkxD7Lo89Xax1WivoyPEhnc/RVZd
5HeNVanzVKIsdUZmMsGX726IqH9W8YDEo0XlpuqN4UIx8JHNnf/IWxDBMXX1bKstef2S8+o9iYz+
jOQceaGPafMKzTvkFvnha77JHpc5QbUs+AG61iOjYekf+J6dOwOjy0tfOemLX5XTbjKQu6fFY+P2
9H6d3Oo6f/Lc/ZL1xsagd7Yy7EnQmBR9eUT26e8ibBtnAyULdFGtbbGYmFfFieTFE2q4OuNsfOlS
azkSs+wON7fNstL13nypPCPZ1o4qH2atWy7xMMXHfPLFT7Ilw2HWCOZlU0xRkLZTeoI3Pz/5yjPQ
mLE0EcRikBYHmlTh+8uMKLotIQ0hSfOxL6zGEo0WBRLyySrTpFacXE4k36rRtYZNlrkLRnkLG1+c
3NxgMUwWQmBm54kd7LDomnd0Ela1r+Nz8EyVfRsaGkZa2/NLaE4q3jKcrnuRy0QP4J3cqDJVD8Kd
JgQWtV47ZuWIROs5jZovmMTG/lWLM0yYuWI6+qpKMvGmeeyI//oUXqdoT4EMmiH36DK5d40mua+c
m+Mir8gZ8CEkf+Z1Fs46LR7qYUdWCd+jHGUiAtnc/LjzNL0zJYhWPbkA/0KxoR0tS2JzlFKj7yYT
+oAM0+SHqfp+eq+ymg+g9eRovLFrHykC+eduSkhkmcLA/xdxVu9XVlMZJCAI/hiIyniFC1yaclmm
hd0Qq6Vu0D9G9uJXICuZHmObZl7syeT11/esyNpe655Z3EPkGCSWOdDGcCE67Thgtt39aikOv9zD
qNLOti5H7/zr/1xub72aze7QadMUxrIf7jhTums56PwklI1sXb24ixM3wrqhx9XKqykNWuH7zyMw
jWPVi+zMtjwdFE6H75aGOyUjy7Rt7ApIB3XVKSMETShjkgdPNU6Yj5b5QbVsxJDe9fhdus1IsNJz
XlizGSfiOQJEYTlbPOJ9uHSUCVhp/JD3twpddOoTKJmeqGLMtsdKLjdlW3Cob6p4becNy8413AB2
h2IUkBInspYaBqeivVZD699Xur6EplzatT/68VXXIlTYuMy3+IYI/El2mDSOxkOTIS6v0iW2AltZ
8uAWrG6V40CtJkVrk4rtm2HL6Qvej/RlmUoKbm3AFUyDKgoLb2KVYB/F1Tc5i08PYkjYhKZ+iva1
N5tfhiUjda5iKw+ysY1e4A5JtYNmET1qSTHdOciel77SMZ2lRYwBWPqSvzJ1IvmK21V3rsIvOO7K
vGlkUClp/3sU1f9Idvz/FMoGBQ2t7v/OX3j8VnXf/tcaGhxOtD9plOa//tP/wBe8/2KTdglWeb7u
3Khr/1YobahrggAWmLKbFvlrjNl/8lam/V8+ZFXHI2EPLEa/Ae3/g14w/f9Cz/QIYVkInoJd6n8k
UX4msjkGjDRUUPBvcBxMB0X2jwLlYjhZm3VDHVhbsZl/pgdzzfO+5mBy1e6jlVw352yr8xoN//Br
/Q2d7fb3/kEYtT5d1/vEfMB3HXfVpNdBPpfpSkg6waYrzv98kc/A479c5ZP8aiyxR/uLb5ftjXTV
Xet1uR5WaAeX8kkCOy1+O8PqU3rtL1f8xD3xk15w87jiUj5Bg4ozXopeoGx8dRCRhnT7z9/wM/zy
L9f7dP+yFAxamvZUjYcxXDCsbtLDsGu35bnEUBIMa/++fIKRDVfpGJWE6lfOb8ZB/u2dJJx4GzqF
1H2T0/+4guBrTG5nalWAdSoLC6bVoEKL3ywX80ax+8t6+T9X+UwOjCenaDqix4EKc/jVGyIrO7GD
U4Y17ilZpwctBDcUkJt6AmWwZSzfoQqnM33a4HfDNXhm//GjfFq6bpMWbm9lNUlildyXRBNC3e2c
Hdq+9vrPt/fzzHHXs3jCmdzOiBVdd+3PGB1rcWrHsoYymJM1tV/Qfl12t0HY6V0RLts+8FbdWjLt
8HfDv41Pv/evC8ORZ0oOHQYLvvuf72pKTinNSfMH1WkIjADD54hvYa2e061i5IS9dp318LPYNr+b
mWPenpA/3Om/XPn2hP3BMjEQm4pS+AeBeW9siGPci0Bs8Ke/QrRY6/v69GZuRvJ+MGwNUL4ElOcO
I+S/0EJ/wo3+kR75OYb66WPY+qeP4XnlEqVlUwZdMDBeYSWS1chZjP7R2v9W7r2N3gRtwFJcm5yo
aAz85gN8WmW/rs/BDVcURH/mkN3+/A8/g22VhoUjQjJ28cWw9hHu9+43KPG/u8fMQOKQA1WSEauf
QDg1OMisc5wmGAqCPLLHM/neFxXqYf+bL/O3N/UPlzI+h3oldjBOl8S2aKp/FD/8zXJimnCorcW5
56lNt/Y2Wk3bgbVdP8VrCac3f//nh+kTEPTXL+rqWHr5QU2amp++LrJGJH2rb3iFeAdGxOxpGmzk
9ndEzr+7jOcyGvz2xPK2+3QZjGycQQmrsed0e2PX7caNEZq739GmP712f32bP1zm87BEupRQ1Hxu
Xp3iA3d+4Hz9zU37tJX9+wq4p8Rteprpfdpa3MaBeOTwRdw8ebd1MDcNeaUx+qYU1GrnGEdP/3yD
/m494rr93xf8tOQT0aPNEacIbmj0InGDcTx2QsOzXK3++UqffVm/vtutHsM6ZhHX+Exi72KINUnB
pqVv+3AOy5DO/TZ7rfeYG5/Vb56zv7tVPnPaqPYo6pzPQ59qsZBC6PoyaH3zLV5uEycLuf/NN/rr
sgNk4bmk5jFwUDn+pdRpUG5LdopbIQfo+6sG7sgN83X97Ia3JSi37l0PmXnKto2z/l0999fX1Z8v
L/78uopUU8Ef5DvGaanjGZfRky8SmitdtPz456/6m0t95ne5JjUzxnAVoKRBwblvooIlagb/T1dx
P/2ehZs4uknyNNCMu1x78MXBF4//fAmDG/OXze5PP5t7+/M/vOVlPFRROutzAPcaQdertDZfe427
PI9TV9zZne0n66mef2jtDPvDmudj4S83B9hsRaQoBMEDm2gmKWJmDQ9e9q6NqX/IcXNla0Jq4x5F
k9oT2W2tI4+ExLA7El9JthOm54W0TOSBmGlyXuhErqrKHUlMeeOdXddVmLdq2Y3VqG1s3aZbPsTp
TXsd5x+AnutGrBMrRthfk5igKSUaiQmJbkqGFN9qQFlXXY2lwk4gQdpMHvlQHEZAIiztmfNt+0iw
G9+X0/gnVxvmIBly4sRkkk99VljvuZ7BDvSZKBYAfUg2MT8Bg+0yUK9F1TYMqJyWTa+3YL202IJ8
OPeG8TNvnX7XDvAi/FmKK85f49jrhf9FgS+aAeDW6TrHVxPw0adQS5tsnznSPfYZuu2qcTTkVJIc
hyzNnVOlxziZTQQcu+7LB7swCW/Krm5x2ORlep7TRn8YyOWSkm/TUxSD8CnG0b9I6bebpTJ1aBGz
h9mhStaLYdcHWbTiwRt1RXO870MQitU25kOss6aO9u2gl5vEmQZm+9JndgpTHqzGnHdT6Wp7hRE2
BLFcnRDqpw0qrFyZmW8fvQkfKGmp2PupmQiRdZQvV9s0ykPcC2dNHVFTNA/GG/JRdsa5571NsI2g
IU34TF1feyYSZozrmkd4DG6cqAdt0NKnCWMD1MauCPT+FheBRkt3TfUxsQAMVounj+cSg2PokT17
HAcnfdeKutk5WAKeEmK6mxRo7Hp0R0A4NlaCdOj0Z0ZgILSzIJn7iRZQEgCu62+uaOPDHI/rVB3z
rJhdPC9DB3kTzME3QUgFW7URLVu/wpkiRyyGQ3uQc7+iY+d9FXMPmtnV2zgomGcW0Gyrt4vw5DnG
Yrsf4FpdSXm2L/YE8TtqZHpqSVOsmrTrLj3UBLlKOqP80Bo9e6E1FudcQ3XHDC/CHDjIMmtH86ZA
1xxo3n5DCCsvyhNSBz6DjCyDbSDXCKU3ZyfqsY7nkfs4FxA/fIZz76QOiHOcE40ML3ki4gTLELhl
UqztWrOJvy7W24LQEHouGRQGzMnAbF34trjVzuSJjXXuiiYFxDwkGy+pvHAs6GpSs6mENmfaPYAd
yLON71fzePHJ+VM9x7lxiZ3GS0kHLyrpV6PXxufBVOZ3FGYiKUZfBbi6MKROpBjKxQIGIQSsjqiy
s21Jt3UPEmM5cnuIc8k5So+ggBLWaqIPh8zAxZoY7nJ20FLI/HT1HU17dVeruHkSiyjeq7LnQOq1
tr6qVFFj5pl45oQ06et1g80osQ73jJmYB69KukfNLq1NoQoCtsx58ERQdoUfMrsk/tZZQ37EaiQ+
0jLjJuMQxWlXikgGwFUsToUklx49suk7s7GeBbO90NWA+smkEWGU1+MTIW4YShUYZTp/kegxcdLV
3Lo5rhEDaSYsSjB7E6SZcIHL9e6mjosrGP1xw3vlltn22vfZTuVXU/bj1gYpO6UOxlSAg/R9CYcv
RGGPaenzHs1GV2Mnth+HSCrS3HTM/UK0j76wrW3Nq3bdK80NYHGMd4sjk5OvtaSnk6hi8KQmDh7M
7IdMT6a3Am3gLo/M5GTjft1VKSgIpWXZFswsEEKfpoJVNPnKnRtxEHAoaR4LXAKRAiRi14VNMSW9
Q+WLLFjgFO6qshQX6acFK6S2A55LtXUyNOg2dryt04DPAnkuthi/kGHcONoshebhNGG6eZCk2rzB
TOtteBfUZwys6GetT+4L5D19bbKXiaO6PTZze2MjA2zHposAQWTtzojMIuBYKXZRK13eGXOMZu0y
td7X6h3sr+wK1MYPJn0iL6KlRvM8+Fl90kqhQIzUxp0YSrUzkjF6q3hvrnOHZbkMUHuKJpU7c1Hj
QyfdaTfQ99x50eTtpqrGLdcT3Kmw024bnPgrWVjTOs9MGPfSbc8dgfmLmpL8jvlA2omVg3N1EqTh
BkO7Tn5BC2UiJlLXbbGdvEFhXpx8uuGznOEquM06qQb5s2eoxVVq4AUXYgDv4OD8cVVDVLxqHdta
OxawQShY7mTU1neIu9ZDq/XAgB3ZhgOgxtcBwsUz/o3hJ/nr5dExIQ4PicJ4RqJ2ZeTYQSycWwQ3
F7grpjfOq3ZWw3YqmvprP2og53Mn20ddV5xJ11mvkerlmvz52K41K3F2k63lW6ANzoEZVRZ0I+6H
74wmb1KlkfKEg2eXJklLa77JxQABVq3vRqfOwb9nlSo2EE3sLPjl2SWqVr5RjDaAXjBtYYT1ELgM
PH5jTtZsaHTocgvR+5jPqTGc5Bg3fFOnyKvQK4wGOiPdTVA4RcU9MasiQyfXzQ0MBP3JHaF5V2ad
4i6LCvsdPnqDZ9NRxXvsmXDJkXNUu0aoW96kpPyxclyejDox5IMa4uWaGnm+wa/UfcCaSRkmkA/1
a1NxqF8vvoWiM4L8vyRR6sB918WrMPoe3KxeBp7eeQkuJaxDzMSU+wINgMfRL69WNrXftb70cXaO
BbGubI5n4uaVzF5lxL4gWbe3eB7e5dZBY7EHEp2mFEf46wI0/wLHiZQkxUNDe/comXD80cBEDUwH
d0vt1BnqRJeQQGPntDJjOGZWXD5wSDc28ZxF10x4CHzcAhwZvn70kyoK8LOPO9yNCfhDM3pm7gOh
viUeji1wh81QqeggkzrdeL1T7ItEG4KarT/sY2zJcORyTOl2upsK/Sat5WLflXynGPwsH6g3MEiY
7XoC4XafL0u37Umk7UhmdX3gyrI74p282YTaJtAyQ/z0UV2nAWrnErnZEVYXCdp4UsvBhCRz7LCx
PNa+RxYb5OSma40W2gmmBNupGV9BVSYo+pwxWrf5HH0z9EYwdB0UAEpW2fIKspCEmmDJvemYouGt
R5Gmz1Ppw5gCuBWfEMrbBwk48z5RdvY1ZalvS+FqLxA94guGk5z4xEhNZvuX1l8br+Rixtu0gDbd
Rq0zHywi8KthLEinV/pAaw/7+0qr7YIXCSaCddNm6mFqivwLXK2WiLM5kTocbhm/OFPeGVu7vbOq
OtmoapjPetaMG1z2MIZGacPrNXk2Vyhh3bfOb9VeFZxAVxb2SxVN7Y8yqpYHODvqaFS1ukDOrXnh
tkDQCOZQ/3SyVxhFSj17ZYpC9w3DAPlxPb0FakA7NmplZ6V8rpGB1bqpmF6xkQhT0WpMJJxen2Ge
Kw1rPMMMtcq7amQeLxJJ7pp5MvuZKqjHq6W8DZbzOnHVaj3fjobP0cQYqu9uqYQTGqb030bYLQAB
THPalLnq3oEbDtu251+aiF29d/aY3QuAgwpj+UQG0VmWtz732yCpsvaF8l//Ho0+0+OsKtaZddFl
uwnzz8GcKlxrjOVY91aKd2EQ9iFLGKJKFpoxABPp5WW2msBFOFtVRVeiLS/Zbhb5xxhTuAL3Yr6w
bYoXLekZ8zRM43ZAKd+6CVtlqxUKDgsUqbHurCN+V8bN+t3w6HCs4eAjK/gVRKNHUuvBwHwTxhfI
/NQhV16qUR+POAeT55tNEeQjJks+XnMvOUlAp4v0EKN4ERp6jlgCqSowc4qNSfk9RN6WPrWVJaGl
pH+XTWO8hwWcB1aUwxVO43pbqq5ZYWeaeI9N8ErJr+Ep8CjVjal61JOh2kNazIJKK3GEMf0jqCKe
osZutY1o+ebOmMahzOLlGwb95mF2+im0pd4c/cGHH4wHEud+R9WoWuz7DL0541Jjpbd9s4naSQ/m
pXUlJBhjDG1LWbva9dVb60EyKO2k+JomDm9LvFbPoKuSFw4ijEwtypHDgzA/cCLPPxJNuLcnVBj3
0OutnS5tvskSaefRKv1HNSHuO1gEdj2BZRyJHv3sEQd3mc0AY4FZhhlZyp9khJmNhhst5LuTpfX6
FsDvzVK7RgfvoFOlrPYo5piWmDE3LrFpkXbm4j0YGtmFRlX88DPTIDAfdvpDHxFJsjiqfkkyrsZL
EU7f6LyPC0lT22/Ffqg8Z6WGRd2TvtJ2onMhUyWGeam0G2tfTW6yLoqKti8U3ZSkkxOrNUQNE9pC
43zTAaluI4A4iNidH2o0jb/k0RIfAODJ+1G3xp99i7l/bXaq/NrDhLmWwnJfcEV2V1K1+q4UhQ9Q
qxfjdYhH7TXWgUZxS4WJUauD1m2NMn0UfVq/c1AcgsGtjC5A2SovXpTrr8lSe7g4f9GEu8wyz2Nv
eF8rCLqBnvnLRvPBQHVYFcCWUr8HPHUqvLEPl5Vj50m+Xhg4ccH7voRzu3T5WsOm9SAWZv0aI40r
vDbKvNOAbR80zK3v8xxra1mpZV+zdqjKsdW6DsmR9aIXJL9uwaQJQeO0JFHxaGDDEquyzuKXKq/F
trDNciNNCnvMTQ4DQRbKPJ1Sfd1n1RIatZHda6TkTh5FaDBM+Xyt3IEsedvEw9pbRmR4GrzfPV6j
+zru2k3WwFT0yzbaR7E37aPeB/E9ZiPKfaz7u+FmdFNpCVCIqogimGcW1nm9ZOvc9rsQH76DFQIG
y6YzHY5anNDGsNKn8qmg/bJlmE8L+RtPX8Fpgv4buGmRBtKfUR8iHl980gQ2BmUsH4veLseUEMx6
1gXYHLw45n2D0fcjMu3oZ6xnqDazTg015XH8gCcl3s2EhX/GnkETQTNiP9SnRHtsheXsqBcKji1R
/SaTxTzlE+wZiIwlaNnEfjK6gVLcnv1HR7X+G/yb8RG/SBKUJTxHXM2NuHf1WQ8GUjzE+QyW0cos
ae2XNnwAyn2QL/owF5Qjdi5uaKzuq4rr4gXfh8WvOjVvNfSqS1vBRk6axARNkCYjVZc1foCWBZAP
fdzeOEOq/bBm2wg97AbtSscs18BRMn1w50w5One2vuwYYeXt6kiaX5yO8cSpn1XXiEPPxuq95gRO
l4Cj0HPc1j2NCgf/8RYIjY17PhVA4pgNfcxECb1mLrTXti5SjRMp4W4G0I0vVP0eTJbcBKSQLdp+
9uh5WdKo972w4/tcT907IDDkUAtLu5NGNW1y33Tus7JNXjjI9hzJB2OfFpzVq35xTlMHKH2abOPC
gSvlbB4Nx7q2mKAC8GCHJ0mEFeklsB1mN7ybovOeyqxL7lGumnt/drpT0UzeC5Gl5vs09Fa1Jkte
vBQE8XeZ6igIyqGLV7C+bixGfv9bXyU+0WrLzoooayDZqUKSRN5Pp3GGbzU70HNatv17bXX69wIb
7GnwB2uTCEDynE+nUKE5fAW8qAjU4Jpv5qzZF3nRXBr2hTDCpEr0oF7ueHKnC4uaApVB9qB/p37T
0be2cbbcSPR+lJs7sv1lHsiWeAnELyGxKU/WtkFpPjhGzBTNPO0vNTlmCCOWXnJGs8ufGoFHjHOG
e/DKtguEm00cu9gOV6nG7SYoZWKOYnTNHdANFpdN0quYF2M3RZ597w/eGER9ageLRVPuFiBeq1la
T4XjLQffHIC9JiW8ZLP6b/bOa0lyI0vTrzI29xiDFma7exFAyEpVmVmKN7ASJHRAy9fZR9kX2w/J
6WWEJzaw5Nxu86K7jWSdcIeL4+f8Qtu3mqx86nofhG8d+M2+GRv1u9VOxjfHDvpvGOz4ey2dbYLa
2NkjIds4m3AYa8/Ma2qIrYkOTTuxraVqeDlzIX4FP665ldlA9ZRV5ThBdX2a0BQ8WVGmvjqlrR01
pN6eEfI0vmZxbrnGUAeHQUbjpwK+ADMNa4ONqQXjvT350wcDayYeQ5LyB+deuFcGeB7YyFibMSma
XSopCE0S+CAVWvg5qhCLsXPFeXJ6NXyqSxMimSkPn8aznh7NfkiOLdcxyqADNbFQZhf7EngzHJdQ
FxsN86Eh7/5FKeXMIR4Uj+q5bLawpoonirsWrEPwyfeUfYvvTgl7bxqy9uOEatnPShnhx3Zqua/g
ku8mOYaMxJ2Y7VWlVr/LHKYojfV4iDVjiJtVaePlMpktDBIz2iVKxikIKXWjcQBvjSIjS5kdGexq
0j42SNw/oa1Xf0TTHa5NiCwGWtjFBtUMHgGt48OBadLPpaoUvDdHjD+aUdtpTq9/QukLInuvjU9Z
UyQvRap0O1o22WfTGsN7KkvRPkdOaKvDv8DYzkp/KChYomoDoaMryvsqbvxTG8cRQE2ysLKIG54R
3IcPWkBZdgx4jNbk557ajtrjUBjKZkJz6ESKBRx+NqloJf28511EEg6D636kQPkYZhJgrDKRt+1U
2YdooFqPR0h4L4d5zz/nw3XWzKh6KFHW2AP1jF04hzTPwwYWGnAxDX6n1tkfIr0AvhumiD7y1vJK
yamPhhJKXhIX0iEqOM5irQtOXIDZM/MYHnQplXBJIFOMwOQhpzr+kcuhjOKOlLxGqvEHzCc4e/rQ
krCDVC+dYNpPaizdoy6r30Mgxf8Uont7pEqNyoecFs+gqdFMyhTqzRXSYiM8H5cKbna0OhmpqirG
m7aOLTw14OeqvSqBl6MGj+qPTPsAoTslyfS7ps/5X5hUeJnGvrC6UPfM0gpcVixYkAhusamcf4/L
MHjuJLP61jRTgCWAAy/PMBow/bkFecaqeRf2v9Q+T5Bp8bVNMlXOgwKWZo9pQn+K5Kj7MLGO9xbU
IZ5lOVohCWDFAX9ExFc1Hj2DDBbQfPM40UG9bzXFsHZRmJ8/tInRP1WyZGxRrwFHYfWNG8GbOFRp
1VMVUfO7MFPQ4kWq6tBKReP66Jo9aQ26nPZA6oFYZuvmkRY9tVbcH4phQp1ApzQVFup01DQzWQEv
zQiLKxyEAQXUVABn6dhu0oG9bg0VEavXzmnw2tWznD515g8kFXkE/mq6lUjv+pPXkcTmfJcCA0np
w7AAfuXnb4P8da3PdXsoioCYgdeCtnhsEUDq9lP4oOOJoKne2foxUGzxM4nmBfQ+A65u99IXh38S
3jE0lKpmf1xbnMkmQ69RxZzDkPV7wJf3MlcEldKyLTcTLD+rTB8iH2eRYDzIXFFFvb39CxYmWMNw
SFff0H66JXT56LT5lUSbxzMU1KSgGvzCa26lW7+wXFBmR+NSB8fHQIUGbG6VYOLrofAwEgCZXdrf
VcXfnYf8gJ3a16bCie/vDwrdd4M9NOMcRESWFY/R5CNc7OUqVFKpTw9aNXy8HeN9n54Pps7YRNRT
ZIf++fUmkAccQkoSOa930T/0wHhjXG1s5Z22HQ/lykJ511h+C0ajnji6Zb1hoi6asYUj08gKh9zT
krvZ7lE7TcaKWfU7TMUcgj8cyI1lqiDmrsejhx2qx8hse5P5q4jxBgqeA+SV5PPOliWvQVTk9gSq
C8vC4LGFG+08gzZo0asGcx5MdP+KNPe6n8F37SfqEG609Y/Y8exwRUrcdmdtpw+U4x+DJ1DPm3Dr
PyRe/aJ+cbx8ZRuoc89cONKufsy8Ty4m2DfCpus7fkzl5Z9ncAyU5lNxLHZkDY/hjjIeWnyb8GH0
1E360f4grXp1L+xEg5qErNsGKCBFXE9Tgt6YrNMwcoL8FQTP1zBawzotrCJgu4al04MC8uEIS/ac
hZBnAwe1cSQe4u7BSF5wql0BsCyN4zKIcKKga6BDCLdpNwMLaGwZi5U1BNzCUuWlwSQZwI11RRMA
EPB5zKTpfZJMY/ql/OlrCyfdtr4YNe6mkAx/NrD7bq/XpaBsc3wkaLlh3Twv54sV0vdBbbcaK6Qv
a82NQEVsgib9gJfm70HefogU9XOXqyv3n7L0yRycm8HPGMSVhaFKaSs5EGJncGkjgYDGhelgPpmP
mNTeURaRvWwX7IyV83M1qrg1JwlN24aovYuCDl1I0IXGA9SfLTWfQ30sH/8fvOpnoJ2wBS3ON44e
RmqZb7DHiwluYde1cPpKL72jzeomJ/Oo7cMD9LqVw1TEXqNEDBoJ1LshqwagJ1n4lHABpRHhIRwo
AVD2D/2n0MMQ7wXxSRdCxqPvrk3oOwTUHJBnu4MqJd5HljCf9XnArmkemr4PDjVe9P1uxvetAe8W
FsvsSgL4niFaDO56iY6JzRsXsRevLvCt7vKYVglsGTWuqr+/GSzFhjcwZ4Cz/sp1pNKSZHwZ4tJD
JuqIhNanKO0fSHFfDUMle0Xhl3TQXrlyF04WwIuqBurYma8qYXgxcgCyhoSGh27LZ1/LPseDtrI0
lkLQCtQwnsQOXhEt0mOjTlBDy0sPpjl6CSqqhpq/EmPpK13GELY0YjWIECEd6KkqMJgoP4XVHWXN
26fV2xcQd5PKWlM5IjWEeoUokkPz0UA2HLpzKz9V6Fj+ppfn4nuMXBvilXXmQfLq3XKgQmsrXbSl
Ajl4dT4VbgHe6mSHPY3YGoAR9f5hpzS2NbpRcEaWPY0trNEaJzK2fg/l34Q6dOeXhnFnILbxikmb
Ybt40sk/sv5sPHC4dc/nqrA9KK/dFil69R7Fe8xTEA2VdiF0TddwqtrNkozrNUjAxSumv619VFwa
sw7+sLEtu9NQ9/9dbkL5EDiG/1vXhOFTQ2Fg2/p+u2kHNHZyIznfB6GDMFSDPg3SqvEDikEojPu9
Lr8oyFs++bVP618yp1MZBRWvI0VHvwW0h2Pr2cuk9rjy1h0UffivPxRkhD4po06LK8Di8lFLe/Ng
odL2bFSm8p36bfyKX+fZm0bbOZlRrOE6CH3dUWilcBp0X01QANvbn3ZxjVJF4qfJCwBRZNrPpnPm
y6p0F1Gt3oTqCir0Pbaf84p9ZphQGLFgNYXzaibsRiZSxV63Sx6aO83r97Fnfktcc9NtnT8C1zzg
F+eN+78/Mluz6aOTEpIMCY8xX1IlpUDMeHY/+a1O61OfD79uh1jafJchhG1RGH2l6Q0hJO2zPaBe
U/+clK//IAaHogb/weaFIByO1JuGbibbeX6mu2b2s0rMjVWt5VmLIzFAMwLBJzfQBdx6akODkGiq
eyldxQa+oPIYxCsn7mIMSzWBN2B7xeV1fcxjGIWRgN0j+g60bdRPuCFuAvPT7elauhyhmqkWeFNu
fk0IgvU8SR7+02+XI3xvLsfwUKxejm9nt3giXsYRElOohlKvl0wYOLv0OHmmm99Px3SnPmV7cAGu
dQKMLO/QH9j1XwA8eLeHuTSXzlwyAXw/M2eElUePT00Tilegdu+65mMFgmRMXm/HeLvhxTE6+IsD
8Xf4SxMWRRK0WRw7GT49Wzj68Bjyj2cv9qwv2T7Y41feeyiUbElzPNlDu8iVjul9tUP7bu0EmSfz
1g8RtrLk6y0ukfwQ7TH73HnRAU+V36wtUlee5o47cJB7uNMrWclS3oqsqY2tN7OsWYp4bjko28oQ
lT1jQ2L3WQFr3h2aDTAFiBzaFu3MXf7l9pTPm/ndQC9Czqf1RdZKl8PHTh64foBmk+T8sORPZ3uW
2tuP/tqkLiwhWwYcwxudNM8W4eXoa6Qs4OrPneIPx+DUHPxdd4JuBGwMRqSt0HFxrZWVOw9BGCKz
ye6nlMI2Ffk+ELQbXS8JewY0ExunbsxWPtzS89vmcatznnH2v6sojv1g1yB2OGj24eu8blNvOBTH
9iHa2kfEzO9ncOZm2oLzeSzcdJ8f1lgCC6cQYdHXnZ/fGp6G19/xjK8NjvPnAtxZ6NpAz84m/dO6
Q+O+3eTh9xZFLBSdd7dXz+IXdRxd46Yw5y97HVU3yTdwmKb8hqXbprKr/WSxelScJG4HWvqGVHZA
sWvgvBRLPBh6cLbDFM6cnGoPRPduKILj7RDqYgzb0DSucJX2ixAjahDYtCZ2n/8bunDRQXcB2Mmn
8LU51nvJtdza26qPGQfRcdrGGzfyugeKOtvbP+P9lLKEeCDQoyd9obh5PaU2yEy/Qmrdi1sHcYe9
rffueTr9gyAU6znIZXXOVa6DWCgnZ05D8U8ufsrIdA4dgIHgT9PQ/yvRb3EkF0Hs6yByaOLMmBIk
9u9xV97kOjgq5EL/wVCoHyJUbZmU24Uo5OFkmSjQ4P9r352D6HWqpQ/FavnkjVx2fYrwXXiZ6rqq
6ry7hRuhUhowN3NRtvHiVx3qCJYGnvMlOeVu4kZu+h0cuhe42GhXbvPJWlmcCyntdXjh+m3DzB6t
jvD6Hs+G2OfF4J133QfTy+/S53KXHzu32+bs98e1esP7u5A0GjMZ0nUSNQsb0qsrQsWESjetLPey
gg5elWc/lTiA9VTS3dH7lRNlIZjC8odnRDYFP05YmcZkxFina6Vn559hymCr9FqFw3Zce4wv3LWw
by8CCetGbxJD1UsuvmHn/KRL5kXb7kN1QPDuKO2rDX3+T86v20t16SOSP2mQyPBJ1FV5HvzFZZtJ
XZE24Ekg4DbqpqNMi6pKw6NR9/xf3anbmjs6eqDv9L2D+ou0slUWUkik48i2FawO6GWI1ThNbvzc
RhTL8+9tF2GYh34bfVB25ly45sJCJ3SruIFrPyZP9RPI1pVr8n2ugb+5BoaIZg3iC2Jfw1dCJTcw
8fbk/KcGlKgBqOEgoNF2Dzw7V4K99daEDWu97VQyDe5lsW1T4uXCnYzaUnocPN1VDvoRS4JdfFor
W72lZWKkPz+qZVrIyglrFrRopQe028lah2ijbsHkbJEvdAsKcial9jUC82pAYe2WmGZoZULATmq2
kwOFQit2IDO8evxoOTB98nRTp1gE9bPqE1a/tbFXWrD/t9fzwl61Lsct5BwBZmw+mJsU6SUe03AV
0jbY9pjDBnK6Euo9aZyTB1MBDSs4UkdLLEGGsd4OSlSlb6nx5KGbRGYVv1jIxOz1FwTSXHkj/1Ck
TbldYzevxp4Th4ttK08ZMIGA2Oc7Eg8IhRtrl2zR3txqp/S52YcP866ZidVrqeviDF+MWkgGogTr
GES5UsgkP7tJ3TQ6sITke+t8u/0lF67qq9kVDqYysbA5xwjOm7VYLUrWheTZtbK2JTUm6mqjmBQl
NboejqqqPPCEiQQSriVn7N7+s+cYuuUe7KrXbJx9tx8Pa+zg989J4qmz6wQPcLJjMSnGiCaKZRvB
A8Sl9qa0rf9oT/Ze/96XdDxLNzi09/43bNyO1mnYZ91GN7bI9lUbHpZeu7KC3x1+828BIq2TnZMu
y8LYk6JDr3Km8SJstlGd0JtCGDPmCdv7gwRX8W9+UCGasHDGwbGSaqJKWsu8HPEszLTqOWrql/9a
GHHdwJcKK7WBkNWhwA2yDbi8FLnxOfr9nwQyaAxwApDoCUdNmPTDgJozRG/1sTl/bvC1Cn/eDvE+
I5jnDMUgapMqXTkxKe4UCMPdFGRUDVUaONYjgNTdLAriH6SPxTOeOru1V9v80cUNcRlSOMjxW0yV
EaNpD67nZ2scqQ2vPdHeHSHCqISZm3XDwOfh0OeXcEWRN43Pv6tgnRpkym5P4EokU3g/FTR0HOxD
qcyffz+zCnz7c4xjazfGK+fI2769MW1iLt5beBfYBdNWb+dv1JqboNoMu/r7dIy2oac+afvk6byd
m9zQNR8H+ozJjh3+1G1HDx2vnfV6e+jzJN76Qer1DcFuw+laYeh4kc+PxW27k/b/QJni+luKde0u
tocyQ0kRBwblHvFJ7EbG3e2RvLsJCEH7Up5zNNJEsUl1tv0idsCdeJo97S219JR6+CProMfcjjOv
bHHGuNFhedLeUUxRpSqOEWKrS4071cFTNz3qRYu28xfN/xLWfwTGb7ejLYyKFwUFCij74EPEiyCA
Xx4EWBR4RfE6IcNvh8+p9eV2jKXzgyCUX5CIQChBfLoglFAmZ5pAHrS7CTF+8urafdPFcvNjyh4n
RYge11KE991gqtsy2RHiaDZiOuJMhhWPCl7zKWuvu9PNTbrLXTgAB91ryIoA44EofLo91IWdfhVS
WO4hrJ+J1Brpu/EBDPNmqgbPwHHF0aTt7UiLH+5icHNGcZF6oX8plYOFDEXig7E0HirQrm2zcost
f7mLKMLdjHOSUgKwzTx8EDreCmgYhBte1wfLbb3hu/9hzu3ClZLW+9eY8OHmsV+MrdHHcyInqMC0
o5sf2u3gZSSVZyhyp/wh22bkl7NQHP7GkZt7CGF71cpmf/+QEH7C/KEvfgLUZWCSVo8QTbuZds0x
OdHl3IxfaVfOi3W3enLPK0PY9jx7+Q+2XVzjby/ki4AJgF9wr+wR9aNcbfKHaqeetJ2+LY6wljbK
l+og3Z8nd7ybxYuUrf8j3K5tmIWz+uonCHeuPpgN/X1+QnqcwQzNgbcREi5rr8LFPXIxUuHeldUW
NtFUnj09/2lAo8HcI8KDcpYc/Qdb5K9AolxRBpZ4AI+eeYr8oHbfJulJcap/EgOwG5JZCNFRY75e
J/Gk6qNcE2NupqXpt3g2qwjX6hPL+/AijLAccRXRjD4lTOP1mFgCX+MYe003aIXZEJ6351PEdKKz
szK85X1wEVh8wQ8G4if0Vj3rJXowduXe9/TNcNJOCOCy9dce8Itr4yKcsAR7G84Z6vKMc4jvfeWx
bEOvRN+/bVcUBBceHXDr//puwiJEDndCi4CDDa32c5W4Y5TvJPspKyvXD42VWVxIZgmGzoKMIyMY
PeGsNkMzBc+aI89VydA3YDwrxsqZuXgdkP3PvVZdpeR7vQ5lG6q7pldnr0zS+9E3Pg21vTPrwbu9
pZZGMouMgfYB4c4xJYTJDYA6c2ED8oJbqrxT0dK/HWLpy/CUUWwq8EAhRASS2Zx7vYCC4J0zmtJJ
bT/KSXOSDDv0aqk41mfleDvg+yoGZ/1lRGHRoWqAmclEHjJvrvmOK47KXe3iHnhA915Bbs88hFvp
l/S0duIufbXLyMIqxKPJKccq44QiPWmH19r6kQQrGd57WcXr4YnFxXhUerPVefGev6onbF7d/Hc9
e5a519xpe95mL/gzwJn33aBZ+ZRLqwUsCyhHldIq3ZTr1XIOBtjXDY/gFKb3sS/17EE++0ipr3zA
xWm8iCOcjr3vKJArzsS5a09oG09kKljl3JtPdBhHN3kaj+HJXjlBlgenU61F1o8Uev77Fxd2eDbT
sT0XtQev8BRk03EozcPtgS1uBRrC/wohzJ+DSP/YGVRGrFH93qD9rwXSgM269hj556Op12to6eWJ
/CugOJFjiLd51jORAcoNSHfHmnOMfGclS35fgZ6XJAsC3TgVkT8xMwcpZpmD8yYcZ56Mw9zKn9wW
fMZah2b5I/0VSDgWkURAmMgmUK0BcPEflXRlKMsz9lcA4Wg3Rm0E+sE1XKE6pWWKh3mTjbXk7YWw
FkVYa7WkZ0Zg5tksT/QM8XScZQ4OUtus9QwX50ulT68iwKqBKb9e1AqU69yaFf2q86tVoFCV6t4/
GIoJTBKUKfeUKUTQWijrbchendBTS5veraXHSetXjoTFcVxEERZyMQzI/NQc6VKYHSyj/DoYa4Cz
pVRFuwghZEZY5KHj7nO4YZB1OteJq+XlqckTTyva7e05WxuNcEGZIzDJIeUE16P7pMvcgc7Y7QiL
J40JSgt8MRIlIlQL5EaAyR7zxeLaygpuCA6CNKgcDd9H9JtvB1sezl/BhI9j4IqjVy3BDOe+AMWM
asftAMufhu7ADDkk6RKyFCNznCRSuFYhfmxIKNicvFZjYDRdtzJx77ER81HmQIMyTB0ZSDFdUR38
DzSLHdPtqGugGBTv8k/Jb6QPnuTqm+zecmVQUerXChhPOrx2n+ZqR/jbf6Ij/r8u/r/TD5krBDd0
8f/X/8z/7ek7JsP//m+/n5uoGY+//vu//rV/aeLr/8GRo5G0wh9jUcx18r9U8XnKY+lN20Wl/zyz
Hv+liq84/2HBmKK/5pjI+EKpvFDFN1DFt/gXDXCtiPtS1vof/+0KA1IL//9S/FlYs7o5s0/IrJEv
IfnlB12fvJmC2JWKjgQyFzGWIOoGgvLexq/e739eTM7TnzWFy0his/0/Q2mk6tiuOLolHMEI5mGc
JaFFEx+nCGGTe7qGLroruFnsEAB5pt8TwD5Bqz5aJUPNf/ZFmeNdbGGYUVymg8qEum0Rb8b+2Qi/
lNbaE2JpLgG1WMAFwRQAwbiey6kfRhWHtlnTL7/vM/mBf+6r1vW/JVW5ghcSU5m3AV3GEs7mMKjP
EPVna6mq+ajm6b3Vm4j+1NGAdMeUAxOOPsaVhuQkdj5acP52+2MuDtUgiyLDxrxhXp+XWSi4m6qK
SsJDqPUahBcnO3DlGsY2xdzboYRj+8+RzkBXZhT3CFu9DmXhZmNXILPcqAy+DGn+bcRu7XaIpdXh
sA9A9ADGeMcUCvXcpCnD6uiar2b2o2+/Rsnj7RALE2ahMssnU4B62I7w5NLiJDALnxA2yVOoD5tx
+Ii7zb7o9L8/XxeR3qHmzCiqtJTd7ta97ql+sDGzNbls8W03fxNq9hTvZ56xyjF0/U1aiPQGhpKK
O2tK43W3A175Jfj0MzvmT8O2cZNHx3NW0GtLM6iBqIRfpZkcl8KSw9UYsj/aLC4sjAGnrzzyaqPJ
XHtIBpSC2nQlnggwexskxzbnIqc3jyEhx7aKLE27eVX0p+yholLopcWm3uMZsodM6gUn00NBZkfb
zvm9+bRW0l9Yk7A3/4o+b4uLdx5PonNjDeyw0poFoX4iFaOhSnF7Va4Fmf/+RZAh9WWlz03ZDdI6
8eRQe6m18hvadisPCbEn8m4uhY+XWoMkZVOmuDOQ2qSASC0fDuwjGkQHFaVu57hW0ls4Nq7mTziM
lSzH6K3xZRyn/H2MFr+e2//F2RPO4CpUnID+h+rWjfNxkqe9rVJQttvz2kqcE0fh9kLoQVbohc9G
OGKVbTCqREq0AVusPgcQ8SPPFZzBQdrgLuzYvucg2uEjkVPItCuKtSrwPIxb0YV9kCFTP8T8PNeI
RiQl8ODokLjBNdnrEM5zo0FCJMx+vb0yF3c7JUWNHuGMFhNy6bSXOzISVqafhSg8nd1+wKQq/8PH
/Ol2pDe45MX4eHqQfmlgmRUF2CokpetNUAVDEQ9+AmDJCaweev+ExkflyN/KswVERZOwUDTjZN+2
cvVVUkzJRY9b2tkQ3A5xUaPGZPY4ruutPx0VWyoe4lE/b3WcOLehGTZuE6Nll05qsQOebRyiMLCe
ASUGL4aVoppMm/5eDxuUlSXUw7/FcVF+aMJ6dmrUzPGxqQPDfoyR9DviUHf34dyl9wjsyOjBIT/z
oUdvKN1KEsAVkLIhxmiV9KhPgYmneUw5sTqPGyXry52Jg+mTqkvYiVOdOOSaWZymOlJWdrqw7d4m
kwf2zKOmfISJ7/VkxnGdIPvFZNa2vAmLX6WxEuB9a4DPdRlBOBj1UVW78pzSDwM1ief4QTnYmP8M
QMPh0v8jcN91QOGQ1CD84Y7IkIzH89E+ZQdktgBmZv5G3SQ0Add6cmtTKKxHMgUpN03iZQ2S28iQ
qWs4rPel53kOSUU0fcbW8Pi4/kpq3FRtgX2q27udN9wVu+rO2WDIdii25R2H9F5x40PlorXmrmy2
67Pkz+VxEVhIHHqnLpBPnANj9eK/1hmuie1KbWxx/i5iCEtQ1zCGlh1iNMjMds6L06/kcm8iLuKJ
cTl9whKUfLUesO3hxDhFB+MHMnUoOZi7xHNWS/ULsfhEFBNwxzFBR4uqFgFKkKi/DZqb3vn7uf8W
3Tl7aDPbYBUR977dxwvoMpYwrrgbEfOcYzUegv0pK4JqwtZy+x2C2+7Md+oP4f72ilhYixoJHW8I
HfMnsklhLY5YjMrS2Omu/lF2ZXSMPLPaJM8SgFLn2Qw36CIkITDo4hnFpuMa3Wo5PKQIbB3gQr1D
ouha2dhDR/juZ79VPP2EB9Mhfpm/qUmHE2F1xUWW80vgacfbI38b2fUyYuR/hRbJdQYOye3QzqF3
/bZ10cQ/xd/Ag1HBidxo8yptq23Bbxgi93waD2vobyH5Yy8SnhsPNPbcIhThMZIFONIBPo33Y2p8
DcrM2Ugyyk/RuQ+f/8lQoSXBzabMq4vl1xGeZqSZE2qRJ3TNSvctnZ6B2cl9s4mOCSWr+MFCJ3fn
b7IdbaHVU1VIKN5GC87eQA8RGv47eR1dhyzZFK3uBnUElgr53eKFf2zjg/q8PdiFeQX2Ay0FTMVs
aCjcF2YE+kZGhNLV/Tst+S0EEh0M498+SHncXwQRLgl0/lX5zJnhZvprVX6p66PdBSsDWZAkug4i
5NADlqRIXzMSpDB36Oh40nOzQUd03+yD3SrFc/7ThO1wNSQhnbZS1NVl/CtcfW+1+9BNtnUOXAsE
yifpO5Kk6g7oFJvxd32dTLuwOq5iC89zJE+nxByJPSjINhcfRnggYdB5Dnrft1fH+9tpnlNqROwD
0lqxKT/koTYa805Aeck5Q7LMP/39ACpZLIW9WXdCrAwj8CLJ40gAfcy2lR+4QfH1doSlBX4ZQfhQ
9lCrWDwQYehfEkAS0d1kr1BT3yNK0TCjTMiG5alPr074IGh8OU7U1Wib7vutf5IeowOG6TvkoR9Y
GR9ngZUaS0B65BvzWHrJ67TNObMfckjIjgct8cvfHjPqHLLOz6KD+I680nRBrTQ1aF1zyO4CG0Ch
0zyr6evfjsIVSASaCDZ3ojBqpex5dyDB4SpavVGCco+QP4IWa8/++Y8RdhqSXyaKR5SXGY0QRvXr
0TT93mByZyplsv9TF2fNHm5hnVyEoch8nWUaZhcWZTgYbpc7vyll++Ucnl3fUFeOwoUXAYnD/xkO
i+Y6TjM3W/05jnlvPbaW5+/bfUeeJOvb+g7A0N+HkhkERP+YFaHhHCmC32sZcCw+CwbGEi9he0ja
2lWsDwpnxu3lsLQLLgOJLNtzH5horvChos/xHioz1bbuTjqMb66g0YPzFT78Qdr6O5kq7EZ/xMV2
U981D93WR1cJh6CVqV44vEDIQN0wbYZuimXfMUhRiQwq7N6HduOrmitFf9weslhanO/pqxDCndMH
hjOWaT2vzeg5wI56272U92ntWveRw7tEOo0v0hNqLqu33dLgoIyjfDGLbNC1uV5GOYCzKEIkxlX3
9cl5jJ+yQ+r5HljPCrY/32C3hsN57xXJYC9Dzj/pov6mG1MfUvJh5X4sv4ev47bf15+CD8BO71Gb
duOd5P7sv6YP+VP/GFruebtOllu4+a5+gpCtFF2TBBTecZGtaq8Nmmer0T6ixJS7tZ4nKwt66UQg
BTNtcn1wVuLdVOlnK4pjw3CL9mQG4z7x90m+Zui6+B2RBDKpOhoIFQnHQTlpwzid+Y4l4hiBCcY8
+3F7kS7IC/DdLkKo19+t1RtHKwZCNLvR7aSTvE2pCvtP/iuivDPrOHtp3C/qU8rjwTllO+mb/nz7
JyzNJNV3izchWS0krutfMHXQ+sNOMlzk0zdVY26kFnxw+fL3o9CA1KnCIV5FMnEdBSHPPlF9xnn2
k71aQ8KqP0bdypZf+l54e2MfylkKM0yYTOssRzzOAtPVnO+q/XvSrdQDxF7Z25FyGUCYqyKRs06r
QpPHh3mCYXb8OQHOUg9rnPCFBBYeJKkX3uLoiYnfJC19bWqCuUORSkc5/ngu5U2OC4JOZy7528hL
jg7eMrLKDY5EgghyG32Ub2ppUF1ZcraWBkq+bE81Enu3V8BSqjA33mamvUNKItzhyGjFddv2qhsh
ufpBy8Lz/hwGhdsMue0ZrWLunFCt8dG16o9Z2qgr327pdJoFgXk1GsjriVMaG2V67guVNkED5QwR
8z567CR1vMvQ9rvLAnX8eXu8S4vxMuD89y9P5CoZIU4QcJCzw6A6B0yz9rdDLGxd5EnpYikOPH1Z
pO9jxILHQYi0ip2/lO19o5/kv02vMWZ6JX9RMaJFawsZepDL/jlQsSdvEQjf5UWXn7TEibaqHU/u
7dEsTJjN0YDXsDmLjogpQd7V09SfJZQktcYNa2uj9d9uR1iaLw46G9wAL2pawNefRJNmQ01FVdGl
BjkgUUZHGBuzxJWW+vzHCEmxjVoqs0IlaNZ1ug4zDOessyYG4qPOX5ipa3Yv6Q87pDkGXMFcg0Ms
jUoF04w72qyWLNJPwzCsqEnhsDWhndqNk+snn5RVZdOlr4M8Bv6/YEXhjwnbNzP8WhliBtXW8aa3
P6XWygYVUR3z4QphjE9DxoTftJgLcxZgS3nm0CurTbsNv/Wfs220De7zrzMHPEOXsr6bZTDXHhdL
xYnLwGJuXHImxnpGYPN+8Ga9ZKxxHzjZi4d1np/Yv3wbpU4/A8URDTaeJlyE+dkPplgqoKHuW3d0
ByTsGOSn6WFyjZO2lZ6k19uLfuEuocIMSgZ0DmbKIr1ewtvHjPyS3mLS4NA5+C+QhrHBywdqzYbU
enqwBlpdOGtphc3ANZP2DUO+3gBnmEB0yAiZ4U06huZejQDCp73nIHp9e3Rroea/f3HKJiXOaagl
qm6Pr0fzquCzakbftSBaibO0yYxZBgp5eaZR5A0Eht9JddTTOO3MvdnZmzIet8oq0XbhkkQfdc5f
YNTSUhFmzhibNOpbDHX0/Wy3Pr+nZznWtQ+01Au4iiNMm3nOIIp2b3Gcr3O7BsciL/qlwo9fI8Mt
7muDm4ODFWAY5+L1J8Km0Ayghimuf588yNiGR6fukH5Q9iXG4agsuXPbnh7EynWy9P5jjH/FFZK1
2jljelc3CslaszvfqX/46SY5OVvzZXpQ9iRuqFltkkdj7RxbOilNixSDPUeVR8ynmuGsRDGmFaDT
9JO04b35YS7Ez1JvzYPspad/dICBANOpvnNvUsG4nuG6yzMjL3DpCo/Rg4UOc7D3XyZoH/HWWZWy
W9oJl8GEAwxFlEyqO4uMIP2S9piYRPdNv3JmLa4ZkidwkxBH6CgIdaUyUjNeX77y1lZsjqYbbGmg
uxTr9jPSHo2kx+gxvV9rmC7d3H+FxUbieiJ93A6RzAOHEaTYj6aIY2b3mXWXjMXWrpDWXlNFXDqb
L+MJD8yz0VXUEBhmgoR7rRwlCSk7A0Mgg/34D/IEjhSg8ShL82TWhQ+XJ2jZZTnt7qL6WuuDew79
bTwcb5/HS18Oajlvr1mUDxsC4cuF1XkyHYWO5ojYhtfcAc3cK178aHrW/bhr7xSId3NByVxhsywH
RpCczhuxET+7/nYpLEZMOhne7HqgwhLimPmBSv5O/6a+NrMeOW6f+JCBAVm5GxY2PJkX7S+dw4b/
Fr6iXeJt6LSzs7uNFJrxpLdfbk/qwiXncCuwHzBKmtOG66GpvlPbnUQ3dariV8cnARtV7HKmMUbx
mAbY7WhvT6Hr/JWbm14+9mJUdmGwXYczcBvUU15QbvkHfziCPyGdxOYw/jT5qkzjOjLi/QwSkaEB
JoRk+E60uwBcgnSBobmdjYtuMGaf9XpNmn8hBvj2WZ2Kigs0Q+ErNaEvNSHZEM18JTmkBRaIQKJl
b2Xy3n8rnRyLUgpCjSbSicINPsmDGvQDYbTHcN/8nLvAMcYJm+bUA4VWNgZqn8Ve+6a93g6sLgam
s0/mpes854Xx2UbQZQXVJDf5rP08H5Pn8Nh54/fk0Hlvu2HLOQ20aEMtm86oh1Yl8gH2V/mu2K9d
SO+zGObg4qcIW5FFrGMdzU9RCvs4BfKrroYHM3IegsT/oOIX6vsx+m+JvHL4LMed0facAuDhhbhY
QuZx1NmaCwx3n5rpT2Qoos1Isp3Z7R4gzEuaOeYmS7r9yuTPuYSwZUiwKeQrdOQUToHrLaP3nZnj
msYC3pmnzmsPreuk7vh5OJZ7Pr7xW+s5p/j7iLTtVt2RduwOayXgpfWNlj8EXc6+930uvwr9sh9D
3TUCEM5Zy0Nz5Yh9f/OT/uJQgLy3xmYUa644UIO5SHV2kGliEhduSuXsatLP23O5MA72jc7rfGbp
vjEnLjP6ZkTVPZUzOgNt6rZNiWvtSoSlA+4qhLhOZBOpviI1uCpmvixSHp8Sd0Bo2d/8b9Kuo0lS
nVv+IiLwiC2mfHsz07Mhxko4CSSEgF//klm8O11dMRX3u+s2B/lj8mSCWmZ/DZ5xYd7emTtzRDmh
laN6mJPDoWqdhIFmjF7tdL9sBQ8voBYgxD7vkjVOH/ZDUKPiF03ZxKcE/WMJ11fatC/Er1iUAC/d
Sr330btFis7zYAYEKGC1iMekf1AvbLNOn7VVQ9p94ek1r+wCvAU2EUqu+E28E+c+RUzaZarrmqA/
sfzVVgz8iV/dGudr1mCN+jFEX4zboXGcZOi8zviok7kSKQPaxVFIuPh3ley+oSB6cIDiNZwnQXHt
9H28fVc4ueMiHQcOBcQd7y8A1Hsb2azTMtQvLlRkvQgfNOotjZYrz/PH8/He0lkSaxyBFmZFFaYS
cE08qnvdlVc6rq+ZOPPhFl1PfllhMEimJcKrPyNzf+UMXpmv82xwrSCuwBqY8KhKGwsiB6O/d1EH
xDPx+vcL5QIw692Mnb/81tyzTnmwtWqciMN4j1wIeDGRdQ4StVmLLFApv/Efh5urTum1YZ7dNLOE
qFIUrtsC0toJUnTP8bcKGsHfym27H26hYeG8UCfhN9f248fb4P2Yz+6cKYag6dzBsOyeETii3fYu
nIsrW/GCz41YAowN8EtXRoXzqo6UAddBVJLfYPzoCXjhFFrMhzqVOb9lt1B3BCb/+uAuzCoab38L
RV3SmfB6Z9Jz60SpM9+WzbZgZRrLr+5wJZK/cAzemVl//mduaeIMss4NZCHplBWIARvr15Wt+dFj
QdMTrrXIRssqqJ7OlklzTj3TOgT7A81eN/6D/whO6L0PsViw0sc5ULQrUS7YRvVTeZWD8jeBzHu3
Bf1/SByD9RhA6A/U4uEc24CEzgTdN+AVFVZeP8ZJmPbpfjyOh/K5uy3vY2gPDK967+6uZaEu7FFY
RzoNolzrFJwNvi8cKOyhMTUdAqjZ0ygDw+B+Yde8wvXq/TjIf8ycLWNbjI03Vpjj2n0b7efAvg/p
jpC7AaqsV5bzY/5gnc9/TK0j/mPHDFFQLBIuWipRzZ0yOzf59Ju3ju+qV5KsbIMigwbf8Zr3f8Gl
eW95PTJ/WO5bLu3FxUoOG4h7QkECnMe7cF+m0daHh29daSS5uHQOCk9IcCHPex7l9H7UxaMDcxrA
R1P9IrOXBexaJHoB1YBR/WHmbFRNOQx6gpo0RI3zlcxYvax5tFUELwRw+S581pk+BTerckP0FZLy
uIf4y3ytcnnpuoFiA1J60Lp0/XPg9CSp38TaJ+lSW3kQvNROtNXDroGg8JX9s+74D1sVSAN4vTEi
8ODsuYCgN/dHUOvBMSXbtam1/QkO3KR9hkLxUV7lqLzkWEWo6DghWmlRrTpPVS6tVZlgtqO0gQBH
HiJ/SLZg/Adx9ipCwiCutim3xY5HWYCKwQ/gAp6c/+GS/d2cDFUrCLmcc1wp5ABlA66DtLSe3Obb
KK/REV46/hA4Q94LzR7gaT1zZhw51wMYfknaVuBqaG7n4L7zoJHOB+i7e9dugAtvBrgn0PGNGDDG
tXZ2pw3obBJl5wHpjtCiekP4+Rtpj0aI4rMGy2/KrpIYf9yeWMCVvQtsuEBZn7uevFGuPzZ+kXKB
IqA3D16CpFCFW1UCNbJY7Mou/TjE1R5iDLy9qF+dv1kj8uog+0WWsm7DIhVURFtn1M6VmbxoBUPC
FMJ5/kCBIEYvbqYoAqlPs6QWQ7WZTPLaUD5eYxjKH0bOzhtEqIMW2x9Tp6v7erKwyaUPZGY4Wlcm
7Zqls30hncrYvIclLywSYsTX0EB0mf/74BkDilAGRpBOwNh1FoYEomi5Z5EinRZdJsjivYG268pQ
Lq7MHzbOApDZp6BeEbDRqy4bF/Pk8mX394vw4pZG6WbFC6HYfF4GaxcxIUXkYba0FYHSMwa11TxC
gLssTs3cX/Vjr9lbf/7H66ma3vVoDRcheJpzcdttxE2bus/Rw9qCDJ7CfWZdbSu9tCN+u31QX/hd
Dn5v0x3NYnkCJ4iI7w7/rAOIyzVh/u8n8je+DHn/Fca2fsQfAyt7gAMKm1rp3EtAEaqNB9Cx7b8u
5uHvhi5tCvTqoegFiV4Uoc4MAcdkBya2ijSyq0cL7ehCe//DvvvTxNkiRXbpOKaAiamxdgPvN0Sw
t/82irPj01JJ/KnHdBUuu/G58pIWnNXZfzNyfn7wEi9qghGOcdSO2fDO/vrfTJy9ea5B+6nTxEXa
zJsmCjOumiuD+PiqAjL4z3qfw0HiohpdamMxmHGSWYGJTQSJJtuGtGnYxJv/NB7/LLdt0cEDtQKm
rGQyTngbP1il/6+zm+uIUOGHvN+qoHFmQ0vV2DoorVTO3hcaDN8HXn0D9/P/tDT/mDl7clqrdd3J
ZVa6+AKgvrp69uZq//fpuni1/DGUs8eGiaBtSVVhKFJ8Dh2aWar72vfXdDgu7gF4AkBvo87+EazQ
DbQsQpjxq65PvEncOZ64jSwHDcTspuqubIJLowJUHKBIIJ0Q/Z9dMYxaYckCD03TqCKI9lPZ86Sx
wysJzo8hHNBHf1g5u2WCsSl9MFFiUEUBTbqa+69kbG4dSVSqZS3yWc9DWiwdy/++aJdu0HgFl0C2
yUH69uzMRksFsba4/T28Jkc9EdWacdFX2mEuWgE0FoJpEXAs53TZtefOSycZ6q/E3KOGclNdY+K6
kCFe8Vv/b+K8GVGMMTrUbctK6Vf31/xVoXa/ShkhixEdaOrvoD9x5WW4UPt6b/Ls7ALBCabjmNKs
fA2+B2jzR/Bt0mYvIfwA8mGa16kDgJWTqvupTSSo4ktQME8QDL3e0nEBTvb+Y85O+MR6H1ErPiZ6
6spkJSJut+HJfI4PoDPZXCMjvmru7LDP0MdAxRYrChbi2/5WpdMxfP4ugK1pvlzD8qyb/318GoKj
5XdHPojQP4jC1RavKscqabaAKCiBXvCJ8uDNr+MvS1NcuY8vpDRWY6g4OYDLfcwx1GQOx2XGwMZo
3//Sr4A+g0S7TD31aDIXyKGrU3nh7L+zeHb2l7hbugLiu5nH73i0m1EbGu+CT2Tv363yWLfxDbsl
LGlPPoPe37Wq6YX7bSWZB0UFPLaP+Ee/ntoBhSkrRYbKWUzqec/+Vef9QjIcs/qPlXOwo0JYF1YS
Vmrwp8jnBcXY1/bAqo2ZUnUjd/PGzsJuV4ObfEKh+tpRvXD/vDN/dlIDoisO/W0MUlCeuAZo4vZa
2ugC8uv9GM9O4IC2yEoLjHGltBMdcpt58KmFmFuwNWMCtq7iGOhsqDN2+Pd599U0kjdBhBo0iqTv
HW6+qLFBh7qVxhFEmjhoJDzk/f36yo13oRMBdtDYiLQ7sicfarExIj3f6nDJ2oc5X7Eu/n7ehBv7
eO1QXMgRvbd05q7WPUNmzMVkrhkNq0yqjD4MT90T2wzJ6SRGdE5WUC9KilzvVjzftV6IC1wC7z/g
7GGca0NkxDFUc4ifqmcKvhLgUVYdrurr8AqQbtJtry3jOWUTUtLxOq9oUUNKCn2SZ+uonQJqdVPF
QKmMRdQy6Y8K2dwBxOXtVow78tzhFQFJj3kSPDFXW+o/jhpeFYLfEDhaBIgfko6VskrXACycye+g
ku6eoyOtk+gxPIV3U5N4X+2kfbpeav2dy3x3w69m0bnmr/0nCOTOzidkCKeJkpBm7ijdmxB8b4/x
GFpt4gxU661DqqAtUxIK1zmAM6sVn5AL6lPHrqswb1xLvAwqcL/yRtjfQ4P24S2ASy7CBO0tP3wA
meB5dJO0QdBXFq9wt6s3C2D1jT2C1caaW/owVu6Xsg78nacKTK8txjZZWch+BKTrjtyu2L7zYv0Q
x4p9n6Jg/NetZZgC1M+RR4HSB/yYsymAji2Y8Fx8aNRVKeO4PtiCFtph+3d/74P3fGbm7JKavMEg
MxnjeSNqw/nOs55L9xN45TIz/HvWcwwJ4rzwL7GZP3jqdBxbZvkDQLZRm7b8pMGG8ffRfHi81tH8
YeHs6SwcN7SIXKDXTND2yH6J8BvEHq/ceh8eDxgBDTdZM9XI5P72GP7IZrQmLmfXQBynH060BWBj
vCb3e2kYUK5fGTt9zNb5sVekjCcR1ixDKuOhFeImjqe0j4u3v8/WBz9qHQjAMuDvh0wO4o33r4RX
iCiUVoCByAqP4KmHJuUyJB20Zf5u6OKMgfYzgCMFQM156UIi8dQVAssi/fITAzjInZor3S4Xx/KH
ifUT/lgU48iu7n0EmQL/vvKgvSamrV/USbt8+/tgLp0Y0HsA4QyQxdpG9t6SAGUfMmYTy0KXJzMD
I5S7D8sX5o+bCYRVfzd2aSfgJkS339ociff8vTEpxFz4yJ9lpuseNEVQEfvFBvqM11gWL41qbZMA
RQhqnR8Ag6NBRteKXZZxam8L/40HdsKrfArnzGquJAYurdWfttaf/7FWvuiiRft41ZyqPvqLeys7
O3Gi9uDSJv/7/F3aeSGUo8GHtmoz+Wdug0sKYBCcBfPnj4lwwmSgu79buLhCf1g48wvstqSNLAXL
Jq+9qSNsQClvJL+G57+4Pv+YCc4w4ULWHVIpA7THPCsh9CDbn0o1W+38IO344+9D+hCA4F7AqxMg
LreRRz1XPB4rUCgidGeZX3cvYEdPevCe9UM2h4ADxPUWd/j27xYv7Yg/LZ5NIi5Czsu+YJnWwCm6
5ZSOlB1rQ19AH9Ff2RMXVBvX8QHADPgYSsfn955xKIU352OvV57b3zilCZe0bXzy2oKd72izBg1D
0VRN26Ki9teyRF0JKK/CDAl3LQN/y5j9aKIoCdyep4GadeqNy5d6irusM67zKR6CeVuGVN+UrV/v
tVU3B6rc6WdrCvmrAautvLINL2106Bai7w7FKmB+z9yFhQYWoK4Wy9oxUKC3sSKzd+ZyuuaWXFwp
9GcDMBSsjdRnZ7d27SrQLoU0OfEOVHtP0IB88odhLwKy+fumwNWzeh/nfmD0j7Xz1tLRB15Kl9iJ
qJp2G6hJkSVp/cAcnE7EW2Mv5thh9TbNKHu4/yM6o1QVkoemney3Lq5U1tIo3jInrI9DXC67kNfR
LXJn46bRnUjRp9hs3HEmXxbmmq1VLdFN13vtF4Gif+JTBSXN2Z6OdHBBbROysrh3ykG+1cGgOZr+
0SyYdGEBjee5EB5A6sNwkmXpvBGlQdHp9VCSmcumAkUoMclSDHG4MV7QbRuvDZEe4mBrUokYjPMU
2TN/kXFXI7McG/3qF5bUL3VR2wboQlfu54nWeVsBXJ1MvK+OOiImfpbBFA0ZDimwM4P0IXFH7b2J
afctDopmTlrCuh0Kl8FrG7W+dVo0ZHrvnahZym/l5EnyXVhCoj1hCGtwbFSVPk2B8m56MgOzLEV8
Y8OBvplsUHGyYbA/KwOCTncg9alEHia3WccOLu/Em6v9YleOcsxpGRSPWLdCJKpophOLBa7GEprb
hsolaVqjHiysyZ5aS3AkbWR2YTsNG68LxclexJK6VVvmfaV9IEe8vto0y6rQZPSjto29LynoIGNQ
Jt47eCArSIIuaFl0XIiuhl2Uzs1ocajYJjYdv5u4r9IOVU4lojitJC+OoaPc0yJ9s22Kmm10M5f5
Cps0m9Ylw35xG57LoR2PTeBAarQlzXM0aTsbbTMn8GGhuDdr9lA5kx3lENQhS0aiiZ0M82J0dhAJ
ZKeH/zaLKuwSPfJ678Wgc5xHaj/43ahyH0p+T1Zh+J2OWzezR08nXhE0YEd0wBc++3p9rFqzNdAS
SyPOx7QKI7Wri1DmYomLk9u4Ee7ImKQzKdoqnQvqfpo7W6VQHxhgABU97lTVfdyMY1pMVp3VbgDe
Nc8aD10f9eiYaioOSJczz8fOUey2rRdtg2w7VmFCyi6693un3dtdzPK2Y2xbuHbxrQhBmJLYMgCt
B5+HQ1wyJ6Pd3OdzHIDmzob2OJ9td1MYm+wWNrQnqbmz9ccxSMgc15kVxENCWRgfuBWGm9loAY5Z
hTyFJUV/FJbv3VA3AFEKjZ1EEQ7OuqqM8pnq9mgAesnRbdltuoXXuTfaVcpjN3oNgvZLUJsoAbvg
uG0CFzUtQZznAL1NqVtI4J/qsX51Bz3IjHEbImmlUfV2kaLNLXCQPvqBYL/KaORgO1AUEI1ObOzO
oADbz30yVMN4moXWx2qgzlNFzLQjCzT8yHDTmH7+jPHZGfX9/sFRoXsreEufCh00X7lwpxff7dWr
247LpuWivGf+bO0nl/Ayad142teQcsgKwGBAO64G8APKhj6oyYuyrmQM09XZ8y4UU3Rsig4vjloq
+86NZHjsF7iDk1PIdOm0pIlQdf1gFg7Mh7C7J7fWDPmlciy2pnDqTNIFXRi6iE/t4vQZ5LWjnMR9
tAnN7N51gSxSJcUKZ26nHNHarHBaZ7IVjgWpoziUX0dl9at+vI326KZn1cu4iO7FdMI5kdJl3WbW
UZe5pR9+gWiJ9UD4POWljNhjodoSbVGuqPd9Uekt6Gmsg4Eiyy9PxfZn2eBAInYL0DpLG3fMzOwX
aEOLhUxwnQ1pMPnwfPoIktiOjF9ch4IqlSieFbZytoMj1FF2c3wPpBZPy8GfH1lb+w99q4sDcKjz
N6uv7IzwtniIcdfdL6S1HypwtG3ATK2edKD8jSW8YOMrLXduP3ifHW/q7yj7Hmmib7TvNrsSBIfg
7a1Is5VOA5Bk6brZRINuRxHCJzPnTuYwQnejP5RQkmTMvM5R02xoXPmJLssYeqfN+OANIDKvAVrt
sIVG+1lRQI5SNo7lNgo69GYAAJKMpferAjbqbooA21cR6e9CpxcHiwfBLrbr/lMNSNFzW7n+IdLl
clDazLuhF0OqRRuxpCMdf4ADIm/J0NmPgwI4PYmR1tgN2qt2kUSXJvhqblXV+Mc5rNwF6wMSXiFI
CeS644zZ4nvTHZCuc957/fCZNm39Fe4Pexwi3PBJubJ2JOFk6V+dNTj35RJ1SawRpJxm3qLdmljk
Ey37+SFolqg+LU3c5gbIlrRl2j81VVHztYHD2tMej2qiLNKnbSjQwubqwssrOKmPcpqs04gnOSVq
se+JzaxX/DudEctmdcJ7tmQlJBGwUco2ZGnULXEuSuomik4QltUWaXCo+tjfkbjuUSim9c3SeP4j
ePJ9nhJrIg+9soAesstmPNXTrG7DojR3TexOT6KY2++qEPJO+spNgxrxXxJ3onpxmm566PoBGEdv
sHFz02V6NOgcebY8pn9Nk9+hl4P2xZOFp2ZI5ejyJ1V6Sz5E3H+a3UV+tnX5QwLFmBcWkK/AE+ud
KoP6l3RM/JP1MpJJNIbdIxVEbGqngbIyXQLvmUaievWsqH5SNXNy1Vc9SEzswUlKVEMyu5rCveN0
dZME3BFQIBrYfet147GEON/zOIpOJS3+XZWV4dDcqNYtvgfBjNMIfBzcHryIKXhEe5byacQLPLHi
OGFljg1kbnOvdK3Ps2eBJ3wCSUyCCsmcSzsecJd7VOO5sm2oN8DNpbOqH2ZeqAwl4PltxMRtJ2PG
JVkW1iQVU+SW9DjhicNKtkfPKAUdYjSyG/ix/X1pdXYmGmWfAi0aBooW7h+kF98oNp6Y8h9ctoEQ
R/TkVAu77wfBbzzmMWyvvtktDhCofrMn3LFfEHKmVUxT5unqtkd2cePSsM/BFTqyJKJDvPHaDaTT
qZxSUGajQNcZs5GeK5MiRt4QIsKW+CRaQXJQU0LK1Gl4ZkJjHe0iLI+42Lw33yvt3Rqz36myi0+g
/e9vnRZfwq2xw2uOnw4WHKME7CUmCVq29PDQArkdFlpDYZqM+gYd1GgQZXgMUCJBqzELms3il/GD
TWWX49dI7rsDP6iS+Lh9GVydGd/EPde6Q0ORvyR+C38SIij8YY51mw+Okm8OawweGxH98FoIKxXS
9W5beKnPKCYHD23X6KwKK7Vzak4PtqdHVNeKuMrGMmru+FyWj2iUAMFpXfGc2FV8W7sQ0kxEuMwb
BEVlndLRs8FuO0XlURDZPNIRMj2+mvkB7xHJa3eOPilPVJkPLpc7owHfS36PgWhMpJoRSIPTXjWP
CmIrLyhe0tvR1vIenbzCT/qlbveNEO6e6C6++z1kn3leppTqcrm0P4JO0htrKJaNJI2V2QL/FQHK
vCBm7ZtHUg9TIqqg2ULopNlScM2sKU5+8BlZ4LpXDW4GWuM3Ta0wEBO260fH5RHTjj939YQf+83W
Ih57aG0oxNdDNIP6y+CtbFFc2flyNju7kP3N0OpoD2cuxIsrkJcemfxBKXDmCQop7Khmj3XJ3Hu8
zCW4sD7Rvu/zpppZTp2xvq+jyk4GCQKa3rKqTFgTzY0a/Mx2aLErcGyMxWXuDQ6/8QsGX4xQ+1Fb
DjmWk8EsMItsSmfC1hzbaDf4Y/cmnMF7cmeuU8or/xuvC3RG1CPf2SC52fSBGh7byIlOWshph+in
/gmuifbJrViXB4arl7Cfqi1h03CojRWEKV+os2uErh+JlmQL96yQmCHsTNMpklONk1E30L9IKRNL
m9fFUn01VYG5Fb1jHRfPHl6DCM6rPfZkqzqvfxI9i5Pf6zO66EVOfLNM38RAkcfza8UPIsB28gPL
PBtkGTMxLV7mg7nwc9ci/NJxQfz1Csc7DyZiCm0/ZeS2G9puC3UcselxK2Ut1AaR46yXpJBVuAmt
n1L8wG5p4WcKXNeT51H8qKQPpdd0kIgb/KVHuKvx4RP1mvuhZONrobHxe9W2t40XxFvsju5gLEZ/
trLjwN1KV3ynMiaPkALUUeo1zbSVUxw+hH3lHCdH8z5zbQmeHBOx+mEJp/6GQ/L0CRQVTsZqPPbw
bFn73S0BKUg9NpQPoTt2S+K6IERNuPDoHqy8kZuEoYUwtKl6O1Nu5z6HpR0ffOH4t0ETLncTsn5f
/CgAk1toYtYnjrDYkkpjkW9RLSmYsBw0iJZ2STJwt6BYqezVFYL410kPwv9hRkaHHK5K0+fIbgQ/
wFUUg7iIxXltN9M31UexyOuppD/oYuIa3jyI+MFLXOs49b3CfbOJsPqdrWQ8Ic9n5u8e7318ftTO
8AjB3PlMEE2YFAH3Km1urSFBgEr0HWdLcVeTEZtorpv6dpXBfMNOm75Bg8AAChNFI03sVuPCWAOE
rbBm6yiGWKqj3VCw6/pC9F1KZu4GALKI4s72EQKnfqRVuLMqV+y7ym6ho6S6BSVSF75+MBXIgKso
aune6XtnSLQf14jCnY40yRwxzlOGoidqX54zP4y+XbyKdmSfAjZ1dc7tolObaurnCK34PZiZ/aDE
N4h28rI6UPFJUFySmTKCw7v0nA7fpzACEnDMoI6N2Bh/xu7HYLDnyFLP5RbXZ9GmSqvZSYSQuLFq
I+EwmcAzz8LizWPndDEyGl6J672LgxH8/j48/9TMDSaVRIw91BEWLKOWb54VYJhqA13JTh1VPU4A
+Fud+Rl2rfyOjgDqZcTjZlP4wUw2qiLRfAtcguLJUnF/za5zr9+Z3lTkjsxd9dUnPftElr4E5CVs
wdRLK1LrDK8wsXajgfgFuI6pig9hB0L7k9t7Bd5t5t2NILLeFz7zDSS6CjvMqrkAKJ6BJsKkwyCL
lYFrLiAuUdN4I+0WGGx4tGzAjiBSZEX3W0nDJmb9Bw6r0r7Fb+W2gWzQJqCgYs8ttZh7D4RrI/rO
4/IXeEjdPlEoFj3HIHsqMzFP0X1k6Czg7ZS1TmtnGT8hk1sUezrUmL8ZfOM0wZYiWGYL1G24TyNv
B+ou7MUKPUTbwdeE7EzRzfTG1HpgGxSKpm80lNjCSGnSg1ogrLETcVMuqY1IH5xL82zMrm09C75q
V9MfoEArmhO8OCy2i3xCok3pvhgGtQts5cB9M5WDvVOzath79e8vFTjZe9HY5ZCrzsaWsCbRPAbd
oklSNstyGPEme5lle527XTTirKz3QdmWedXoHHpEwa8rUJPkC5Ijy1aURYCOIbfGvi9RAcOUGd/f
MySFjnMEAGQS2VO74QsiG7cKdQheacUerSloThyFBW9DrcZ7I9M0yszH9X7r+DJU+4J7aKpQIo6q
nK/7FUw9RZxjk+EpaGNyO3Lp1PC8CHbG4oZgBRonJAwS9CzbbVJ1I54H7ZufQU1dnYipVkfLtdw3
3DnrdWBj51EfRNFJ5BRLm4zOVNwBJyQ/jwwXjNX7ODOS99OyA2y0DrO2B/dQUoGy+YVSCJz50TB+
X/RYx1kkbJwTj07mp+jDEJzdRWFlIGWBi7Jw/IFwPPNzpflY8poO7MHHp39p3ah4jEM9z1AN6229
tv62p8YeQYQP4CJLqtKuwqTzQPXWh444BIUXv1XwVm8cgqOZLu0yPIezVeVzqPRn7Xn8E0Ifuh2Q
8a3SAnRufjIqCU5TiPORxCCQf6rdFQQV142FVwt5k2PETLMfNZgrtBymJ8WiahNqMsOH8uNeJRKU
tBl6CcfbUgTeQ1fMCA/IrLsxaZa6P0ReQX9K09LMLr3qOCxR+GP0o9JkZTTox56XwUPv+zMuY8O+
A2Fnfkau7DOQxzs7NeG+q4SgLAFik3/qCd5eyyk8mZWts9wSbaZXTD/Zq2hEiIlOkkTOUZc6eERO
yLRE2EQ2uRGT12x/+9ALmrxSJOLAEjGhIgoHzzzbIJbeoJrTbEduh9ugovG+mzv9wKq4vw1t5MGT
TgxW3heF2NPKhK/gjCU5YIcoPtcIzw3i61M7N8tnuGs4OKKY7uq6kanfBKh6eYPVg2NrxEGwNTgM
etLvgQLrwdaEjHorpUqGQZB95A7tcSymYLfoWWyHau52/eJYeScl28bjyG8mqcUpLIg+0GgQez7Q
ZoPABjTfK9bend3hNJCmPoRQHd8GqrU2gJ66GfK65Pt6dSMZRuxD3cYQnaYxPaqwwK2AuX4Zqdsc
mN8Xe9cEYQKn3csm1ix5iP2SUTOxbT9FQVIhnZQOymFPDtqbd2UVl6kr7XFfLeCEHPzmFypkX3ns
yX038h6HBME/GIFYzlo3yIjAe8fnor+flMUeyNyG6WItHNQ6HVA4pIDkNkRqU7vv6OsEmsiN8uv6
uWWmOEL1Rx/rDlXfgNQQh8O5QevJpEY0n0Dhxx7xKcpzhipHdrpMkYNz07Ex5r4brBcRC76VsTvs
dVz1eQC48mu1Bl11qxGYwbfbzMitodNpyCuFXRLRUX2R4A8F2pLEUBRhSNNUNn4PeTnzc4nA0ZbU
saX2apDxqeHT8BbOtLcTaJNG29rzBKgeomgbMWX2eFe8B7sLl2xuVbiPh+VHaTnNYbYbP3dxtO9C
hRAmtFEWcrkguykUA5bCarYN9LngTBSOUmknOpI0ZWjvZd/aP8tYVNAc6JT5ZmyL5/3cVHeDrWkq
gHr5PFpWDdlD4fDbwYHylQ69b00F58OhDTnUJStPyhm9VyNle5QxB4R08NUnOrrQJSdT+Gh0UHyb
LWvKq6gF/UaDTN4uQNILScQJ/SSMslPjht5RC8N/zMGKVkV14MYKAr4ZPUhZTEia3LqVy49LURQ3
rO7V16kn0403hfoOC0N2AVXVPZSZfgI1qQ9RMMgtArJ5x4f6/5g7k+W2kSQMv4rCd7KxEsREtyOa
hKjNktWS7WnPhQFTNAASG7Fwe5uOOfdt3kAvNl+BlASAtGg3fCBuEskqVFZWVq5/rkEcGbp9v6vz
Qpq0uvJNmYI3L0zee77w6irrBfiQSdYCIGmOYI9oPvPvdKZ3PmkzVzql/zg2b4LDqxfMdM/tu0Oz
e+nNceh2HFp04cf6jK9FP8/nqjZYrjX9bJXonT+6M2XV4wTLfW+y8gfzmWP2aQjkW5mLK1wDqf16
bayNK0oe4r43RKtIuNZ6TnepXMq5SpcQWaaSe5m750Fmzs/m2mR62nXm2Tv0ovmltJZx1npLjjui
iOrZJJ1ZYE+Ba6OsV1daEK9OyXVejVo0ch8lmbr62qJ78gBD0Jew9pUYNSbDW42W6dz6w0QfONHE
uYBDJ/+JJ63wCrzYpD9ZBf6s5yq+b63mXc+aSS0qWuWpd9bVtfnI09LP8hoXO6nhw/48C6KL1bqV
3pEHG54HEDrq5VI+N2k7vdD+DAKFU+pnK+eylbvJYEJ2zKk5TLTzgDDYXZRND+biF6HhesCOoi/w
jQDIUOgTWw3te6qUAwziuNY6W2huzyM8M5I471eGoUzf4cKVLtZDDVUoj1pnrXhlvJ8EGi0X4lRH
x5Izrn7HMK5TXXc/xBPFWk+0pUUgz+nL8PBnz/OJQYereHbhrcMUCA4pDN4pqemMQmDTxp6UDK/9
CPPDmhKQ+JhLndmhCOi+gH+X+5WOFOTHE3GtLnGlKFMygmPXmovskumXqWdPAaB7Pfa5L8za1ejU
KDBIKT2r5S2ErtRKFhlHgevX0vEST5GFqvHndB0cCL3vXU5pptqO0VEw9bU1+QvrLLxeRJgR3sCP
k0OxXDHMDmO8TFNkkpZyPpw8ISBhBq6l9vwL5Ws8UK+S987p0Fp9xqHwAWRVa3W1vsYs+nKoEcuB
FRYolKWpqdhLMi/NXStFa4iTCX2/hU2WXby+Zfsi8KUtKzLkS9MoFDib7ootS+ZCg8CFOr17fYbd
dFASM8pT1BK25uGy48xSpphop8vb/By31eXw0r+nDJ3cSGcs3Xd62p9r0FIA1vIGBxFw9iWGlOcX
JCgtMVvMKFRV4RWRhKoKyCJincmFR17mBzqmXoXvqVl7N7ENagyi++VZC5SxJR4Za3m2/Di9z7/8
cPu1GkHE1pdeaKpoS03xxFkkvChNHcsxA9KWRgfovi/5przuWtLDxI8Wc0nQ3b+Y3C4J2s363vns
bJVZ+o1H61Q16blLigFW5y06qh4i+yHGEm9XWqTpO9kiN6F6hyA0bUfxZhxa4AFxU6Trl6YwpCSf
oM6JBWr45MMBRlB6PT2jJc2oa2XkGGd36eycuMKhcgN57+mkhM9E0Iks57r8MTsZPhIEw+w0P12+
S29W4+VVck46fhe8Ee1c+eLdH8qr3rvclznrwijqqhN9GOJcJ0JzOpsHA7OLEpct1c+SE3x6nXn2
zkWNIhmjIKJR/1rdPcNcZ10dz6AVyArgFHFPkj653W5Pz+P+6zPtpaToqCeTNS5ab1ZnivFrzqfE
FGiSjPKo9uLlRS7br8+xW+fDiTMFRAIGk6iwrYkgyc3Jd8whnX/BQTAGonfwzCL/XqfP+WGY1928
/9p8NZGjT8y4I2XMJ1CTwsHwUzjAOOlcwqJnZOhop50BgZVJf0Iu/sXyLLvu3h3K991H1/KSa3TV
MTlkdEDXckkrFeqcT7DKJRnnddLuO+blaQQjlc8gJsgkX7FSc/jRD8bxIZSffYxYHr8mRgKcJUMp
hz0iNeqZAFxqmGFOPrM6RGd+eCkURhrA+ahkiNFno7qUKaklrhKQu66490ZCxcYyH7w+w549Kc9g
1pQwbx2knjlnBm8oAScpOkaEGEtOw2lqWXWxS7MkKWEaR1n3Jqwimbk97P0fT96rrEakwZW2fqn4
3kTHZLH8mZXkDwZ5OP+AXB1A80EyABJTr+29GieSrxoxGzIbJ36Ie/NmFck/Ln9AEniZpCbpzMDR
9YXLKtJJ0mtNIqvVuVmlbsNZarw1XHjD9UL3HQqnYqenuvK9FwFFuzQOVXvvZbGX5dSx4RQAOydG
zHKwyPsSKE3EbfuU6BzYmj3HEqoZeocuK9QS1JNRwdJtLUiVYO/BmEgmw3tpYdyS8232D8mxPQIG
sDLqbTWZxidkrle5TE2m/tKPKfUw8FZetwwZC8yTv77OaXsnIa0WkBsgiHfwX/OOv5wuZkSPFbJ1
Mm35hzPrHLqDDs1ROy5BmueerlNHIl26DwLaPP1o3qRWaLvn6b1olycfUO13i4k7qkGtMn0nJHJr
OatV0q1jVZ7LonLFoy92YP2nY5NKeuFdzANLG5iXIOp8PKQY7eML6Afusa7vKZGmfNfJQL5yLNeX
rqZqfD4EyjpvDfHzbaTPL6Plv5xxdLuxwtK3v/L3KIpXRC7drPbn22tvlERp9DX7Vfzs+WvVH719
H4/D+ywZj7NrO65/s/JDxt/Ob9mZXfnjNMy8bPVHPk5Wd+M097PXP928KQsRA91GXph9iHaG+K4v
FYv55kAn4+K9Pqzi8W9vRkR9MvF+jheFb7YfXTz89kZ0UfllZ6BiMa8N4NusOX9g5JYstdXiEdDg
fhQ6Tx/oahuvCQ9IhsWzmapExm+tfud99lDo9e9U3t1+CLzQ8vCBeqOsvHhRj8QN+D3rr41RWr+i
tnUcRJ0CWVeskxHLZNA6bTQGWqoJi0A8XCPMeERkQHQ2JYLZNqnt7EoaSMnFgywuE6FjtLugL6A7
gTklHgTOcRGBrgSbjdlImefDuXsUvs0KZptLT8IfuGV4MWKZCqrexs2GEKQ543GyAibrdwqEb1NB
ZpU09aOakHuuvHwNJqC8jO661M2JZ3P2jugkqAZtmBqeBalNATnVRKWnxga63KaqhVok5VjpAJwf
dnAzuSgryAQWyXmosoHabdPFReBpA4RSPEcnCyhSbbp8tU1jHnHMESzFU7sdO/AJTVgU4UV5+vy4
JCJwPaoi+lo14wO1TS4ArfToDrh5avejYAfauQGecXT6gRBhjcWhgn6EPWSg2264vSYNtOJzihI7
iMvj4gA4WDQZa7b/MvoPuafYGC9qYOVWMNvCryJwRJ/pc1xkINIhWhY1JIPe7oBdCtg+hlF5/Xqn
DSKGIhAZj3b9yk84Bm3a4GqscCsFdtRkjWPCOenS26h40CCPjQ3opNOUDZAGgCxgd2/14DoZdA02
ISHe5EAUz9HpSKIWt7lQNNr49AlBCdd+8VQPhcalgFdH1GxvyLC5ho5MVWxMBhm7Cd8VZNiyQ+1u
1NQ2IBPEJ4ABLJ6jJMPm3vrndpPS5tCLY/+kD9ZuSFQlPLy0PsOmKJ7jOxM0UWl+Q7Q1vKVcNRuv
ya4jodvGx0mNP/GHpzNzZBISVCX2rtlFabRlsO+75hPL1yWkqrW7NHil5fTW13B0Z8JUQeUVCHDN
CKHoMAQeFe6K5/0uKw4aihM9RmQZAXGs/ADuZlMydNv4CwA7gQ7Pp79MBviBvsmiQdtWgTo6xUF4
FRqbUXobvG7arz2TgcunTAYNKSp6o5I3d6zcAMJUY+mg4FXAUkA4bl1oNecCNyYqNp0Cn4To0UkH
UiaUpjdmS2ezddb4bDTA9GVuwNNIvIrumdidR3plQobGtqUqnG0mxQI1jQEPm4LIoO3lVmhsNLUj
Uh9NYABNozEBum06bgp14BvOlQ4KJHl6mNZb4/voVCfRmnTzUv9cgRQxKNHOAA2ypkCrRpt/C2Vi
I3mOiANAQBNw/s10BBZOtQTiruRLLcsB7ChgCdXCwfajcuA7aPUcpuy7nv9QRDG9cVoKhR78wlMY
b3eAapCy8j0R09yM/BLjfFsJSBThtdKHT+G2Yprtz7fr2525MtfTop7+ee6NEzsZUf1fhFe3b3lj
B8RCfx8l43J8sQisvbzFb28q71ja+1cH9W0nstPyuJtYVeOBA3sdhbWRC89305F7tuvZ5RfexBOa
DjsYP0B7/2RfKHcTuGo6AwWFj38nXhad3NthFpWXsPUFN52BcsPHv6qbuXGyNh342k7s0H38b+Wl
AbkVnrvmY0ORM/Ip0ujkAdrk/tOYIoUAJ43wi/3ESZ4G24xeOF+bjn5rJ49/VcbdmOw/YVz78e8v
NW4vzODGQ4+T0A6+5KPqluqFTdV08DuPrRyfXNrh2EuqE2zU9J8xwRksySSwzE2UZBXRuNWCf+4s
dcbcqJhN5xCiwD7pk62TeGF1ozeu0MYTcGpPbu3cr+7DJjml8eDjxPHiCu23KlfTkT9EIyjjhRVp
ttVqmo79e2DH1fO6Dc03HfiaLUxPzrhHvOp7Y6P/BEl569n5499lObM1/pu+913EGwcV7hMjY0g2
Hzl8ePxfWL2wn82TpqMjd+2wupPP7rGmY/fHdaH+HLJ+feh9mt9zRtauPljL6vvWF9BIxcAjn9d6
+38AAAD//w==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series layoutId="regionMap" uniqueId="{E5E3AC12-8FD0-4421-9568-67DDF7E5256C}">
          <cx:dataId val="0"/>
          <cx:layoutPr>
            <cx:geography cultureLanguage="pt-BR" cultureRegion="BR" attribution="Da plataforma Bing">
              <cx:geoCache provider="{E9337A44-BEBE-4D9F-B70C-5C5E7DAFC167}">
                <cx:binary>1H3Zchy3tuWvKPTcSQPIBBI4cXwjjKysIilSpKhZLxk0Rec8z/k3N/r5vPUf+Md6JSnJrGSJJd5g
RzTLdjisGjawN/a09kL631fDv66S68vqxZAmWf2vq+H3l0HTFP/67bf6KrhOL+uDNLyq8jr/qzm4
ytPf8r/+Cq+uf/taXfZh5v/GCLV+uwouq+Z6ePlf/8av+df5SX512YR59qa9rsaL67pNmvqB93a+
9eLyaxpmq7BuqvCqob+/dLDIv//75YvrrAmb8d1YXP/+cuszL1/8tvyle1JfJFhY037Fdw3zwJam
SZXi5PZFX75I8sz/8b484FIqQjn7LvX1ZYpv7l/JzTouv36trusaG7n59z/f21o1/th9+eIqb7Nm
1pUPtf3+UleXdZi8fBHWuXP7jpPPa9YXN5v8bVvN//XvxR9g24s/uWOJpY72vXXPEH9cVdffFfIE
ZlAHypZcEsv+ZgZ72wzCPpCUSlMw6/YD/LvwW2vsW85uW9x+a2GJP5znZQm3LsIqbPIXby+zJv+u
liewCSMHJhG2TWb3mF9y2ybWzfuMSWF9l3prDKzo7//82pJ22+XeDyxM5L59Xia6DWAw0fr663V1
CZ9+svhF+YGtGKXEghHuBi4LHqNsmxP5LbIhsN1KvTXSY9a020r3f2FhptX6eZnpj+TSzy/r73p6
AhdSB0IwYipbfAtrCxcyYT2TU0Ek++Fid430CyvabZsfX1yY5I+TZ2aS9HLKsye1iXlAGZvVTb/Z
BIn9ruMIcoByRjBqm7cfWCT+P35hST8xyo9vLq1y+uysUjxlFQaNm8Iity7wwxHuGoXTA2LBSQjb
Hc1glD0r+qlJbr63NMj58zLIRZi/2FSX2dfrF6v8xeschfgTRjF+IAlXKPK/1QFqUZwhijFKuEVQ
K9y8Fqnmzuq+/sLqdltq548szHbx+nmZTV8G4eUTGooylNFwEmSc7ZhmooshlCER2d+c7LvU22Jg
70J22+Tb1xZW0H88Lytsn6y37VOWZ+Yc2hRny9oZ8YxRoUy8uTPJPGpNu42z4ycWhrp4ZmX0Jg+f
tBKg4kAoYtqEfyvPFpWApQ4Yl6YkAABuXqje7lZnWM/f//1gubjbMt+/tzDH5ux5+c3pJTJO8Pf/
ftKe84BTy4Kyb72CEKSSu3WAZaEnRVMq2fwhvJCK7prkl9a02yp3vrowzOkzC2inl2g1N4Dr6qc0
DTpNQS1FlRDbNuHigCiTmT/Kg4Wb/OJyfmaVO3tZ2uXdc3OYH3t5gULoaTMN0BoLvqPIN4Bs6Tnc
gvkEbIR4tqtIu2OlX1jcXmP9+I2lzZ5ZzjkN0X2+2AC1CR+M9I+EnSkATwrgDJ3mD2tsxTnzQJlc
4DPfmlBzEed+cVk/sdPWt5cW2jwvrzp/4okAPbBMZaIiYN9y0DIFyQMLgI6U7FtVgFr7bgrau57d
Nvn2tYUxzp9Z6pmLTjShx5fZdVg9ZfZhaG1Qh6Eg+IaULTocC7COEraJNvX2tXCYX1/YbvMsv7+w
08Xxs3Oay/DPy+8n9wmgTvuAmoBo1PeAtcw/pnUgYR+i+DeQYGEgnP/Lv//z8JJ2m+afby6Mcq6f
l1Eu8uxrnj0pIiAPbEHnOPWT8aZAniH4hFTfWiAEu7vBbF7S3/9nz5p2m+XOVxd2uXhmjc58wLKn
xDsNxpFkMOxEtXbTxahlNEPnKVHOUZQAt69ts/zCinYb5ccXFyY5v3hernJ+XWWX6Z/t1VPmGHmA
YRlQGZjl9rXI/AhhCpMBEx+6Ncqi+fy1Rf3EMHc2tLTNM6MGnIeXbfj9vD5BZuEHAJep/Y9ZljAN
Az5NlSX5P850N4bN6/n7Pw8t6Ccm+fa9pTmOnperXOToXdInTPVQN7Nm/OU7lrwYamKAJrhtYSj9
bcJ2L6fsXdBug/zYycIiF88seM1EjcsXzmVzWaERe+hgPrKrZPYBB00DXSX+dfPaRmosjAEsKhnh
u7vKX1/YbgMtv7+w01vneXnOW2CbL84v2+QpkwwzD7hpKqHmZmZ+LZKMBVCaSSnk93HoAk37tUX9
xD53NrS0zTObeL69rvyweMopJyXI7phzKnthEdM+wB/Pnc3SFPvX8BM7fP/i0gjPLNO/A8UTRMys
fsIYBjMwSdDI3xlVbiFjEhMAbt6QMr/7z91s/0tr2m2WO19dGObd/+cdy0+Yo7d6uS3Btj7yWJYs
jGLevMii9uLmwS3g8p3hhPfvWuM7h/XnK9ltiu/f21r1/2tK7M/psj8oxCskbfeGe3yHMfvwuzcb
BB968dVvatppnFttHX39/aUJff4gNM+/8IB2v3/++rJuwGxm6CHnJKNQPHNqChs/1V/fvGWj6wdO
wyyOYCdsJKOXLzKQRoLfX4LKAb4nvE9ShTaHWIBp6ryd3zJMkKXRk+KXlG0Kk0n6g+x9niejn2c/
NPHtv19kbXqeh1lT//4SU6Pi9lPzQrmgMzuRwZdtDhwcARbvX11egE+OD9P/VTWyCe1yCnQrg/Kj
HGi1msqBH7eqtFw51RGC5Q/V7JDHt+ShawN5yMZfzKZEACaEOu7KaxnLsygbA90PUcC0YrXI9Whz
5fhdHK8eFjYv/p/NCUsQjMlsExuUlrQxc9kWlhlmRvtUdXoqsvC09Xz7gxqa4FTEzXheWUa0SeLa
OpdWpVA0PWKbN5JtoKQWESZ6IrnYZpUYDfOnKdFh3Ymvfev7R4omYaxTX7V7ZFFkxuU27XnyN5+U
WRrO0V2dFtVYycoPBj2WKsNu2z6k5ipMukCeFvkQhK9FN733VRJoS9QfVNxEiba9rrdWcWJkEq3W
Q3sH5XV7OZRhvoXiV+BgUWqiP99ejoht1RqdpoagR1E7yBMV5jbGiI+UYqIDklRSYmPj80G7c3B5
3Bqxnwe9tozCW42NXZ92ONUXD0uhs6G2jtA8GoKXASdCUQJu1baYejRr2qZJr8uxb0+k8O1Gy9yr
V+Uk+AXz8kyXiexcsyblWg45dW3ZZq/DrJDOJMN8j24X7mMJCr/h8B5pKSzMnHV/Z9d+7/XDFHqd
7vy01Embdk7XWcIt5dDv8dTtyADngSiALByRCWHCNhGC7oqKRSp5KUigQ9vwVnWVK23Ssjhs8Npk
bVS8eljVO7Y2t7KSwtnBclPzKb+7NV7zOI39XrNunL4oz7OPImXUK+J1+7RI57VvWZWzmW+ihIkO
YB4ibcuSRttUWYMj2k+8XjNVjW4/BWITWMRfpypIXdH53nmZD7WOZCtWRourKjrrW++wzavMUaLO
wLt+6EBTslgUdI1ZpBTgiHGbIXZtLyqULZlUCYUbJnuTD+PnKm/oqrCDk9yY3KhubJ1OntvR8LAJ
GMisD0lfhkoIVzaXFnA3IrhlL61dsiZIESv0JEy69rz43RCkV0YaHNVeVq2aGCFySiT6l4ek3gtd
N2KlwqjPwsHG5ZPtPZeVypOqsxJNVaSOgrYhhTM0MnF5UXBNp7I47TMm3EIQ/8hixHAaRsIjSYbu
8OGlLKIWztw8OTEtbpmmBF98of1yMvp4YCrWXZYWZyUx+zdtPCpTPyxmaeUbOQoUAPwDugZdWnny
4ygZR1k7ZOyKVWPJ7rjiJNnIwmrXbd4Hl2NXc11PXYNoDUUME3nz8Brmrdw5/ViC4vMoQtjEEgif
80G842mFInkbJW3nZIJLp8t7Y5XGRuCODUtejbSqVkGakjeGb9YXbR0ae8TPIfMh8Qvni32qxqJs
IL6MjEZ3kSlt3Ym8+lyDhf6ViyYTR72h0nGP7hcRZt63IBZDB2laIGgsy4EiqqQaE691rCYMnchk
1WFqd/ZrIazq8aJsKlEB2IARUFwtKo9yIDVq9S7VTR5Vx6QQaap5VuWT7i2v2FMALCL1vC8bcQyV
3FwTwgu27dmMZRSG3Y0wP4+1WWGurpuCkWIVpSK9SIVlBntk7jAipKF6VdwSKBsXjksSK+e5R1Mt
41qdVlV4HEV9dhV2dnxapqP1JVa88vdodRkubnaK0AiJnMFZ+SL9laEF35VFqvsqFbpqy0SjIPKP
G9Nf1Vm0Tg0j1LnteEU2rKU1jIeU+GJPpNil7ruLWGw98ukUI132Du9VdxYSmrhp65dOaNqBQ6yq
flzO56ilkBNQSTKOfGzZi0378ZBOSd6kOizK4bDP6bRqxVTpWIpwTxag9/YGWWIeQ3LKuI1ouH2U
aNLLOB9JqpWqjEJTj1TuGBQqQG1pkFOfTzYykeLnwUB6rkUZNpEbK4+5gTFGX+drOMaxbTfWB1yq
LF9VIzPP0GCE+2ree668WOe8jzshzDP7XpiGleqkCJnT4pRfRxZVh0HhVbh881CO2qESG/MmDq2g
rGdqEa6akIRlyaNMI6YbH9O4SN6Fist600RV88Xq0NutH5Z4LxWZKL3QMlroWMCCmfvCu5trmRlX
JkFlCasHZ+gurYsqqtj7h6XsUKHNEKMsPndJaEO3pZRpHeD+TZFpP2f+2gz7wi0bK1iJJIn2bOhe
sMCG7opaWKvpaVRRI8t0PFVvm8EQOohJ6pRV5rllX13xsvXePry7RT0zO82WyEXdXlgpTBaXgyOr
QVxPeRKvmsk2T6w0D03dR9N4ZAyEOp1XJntC4730Oou+IS+hrhGo1bcVG3hcJoNhD06YcGmELmWD
4TmCZyr/mojChBsVhpetRp53w+E4DkawSoMiL/dEy13HiMGEgAgkEoNY5KA4wzVePxwGp2x8I9Zh
2LO31DKqzaM1LRm49WhBGbXulXCJakTpsTrTKGlbHfSdr62oOzZt7ySwCVvlefqxiZEpHi8WtH0L
zaZtoZpZnCkcgLxN7TjXjahsxy5ZtobPGK4pk+tEEu/Cz0vDzQMEyscLtjBUQ16fx6Fs0aeUMkyM
pIfftB5VrVZ8EOGqtJou10lZD1+GoOVC99IrPva2SbM94nf4krTAzgauAF4iRuXbp6vMx5Tmwhqc
qsqTddAYp/n0OszhTn3VWwhKybgn3+04zxJVE0N5Lm2KJmVbYhTzWMVxmWmAO43Lw8RyauFVG7NN
eyerW+LWQxodkkpIJ+FGcvFYfeNyMwpz02LCtlCdb4vvClF7YRBm2mu8UeiYJORwGvtkHQ6MbkhI
mKYNi1eGzSMAyA+Ffno/RkI2yqq51+a4+r5wZVGFOeJ9kOmonVi5an1RWKuga8d+FSV8QsMy1MeN
T+rR6Qvf+zgUyXTaBW0+reJMtReoMYdIl9Y4Hrdtmr7xPBS+e8LNrjWClGdTrBOAwDLcVF0saFQj
uGYqaI/iqm9dT/Xem7RN/T3lwf2IgopPwQ7EBF4ICuC2KUSQUxpyA+WX3YpXDHnjomg6Y895u3/C
ARvNXi0pLhtiyL0tpVaU58U0BxQ7tR0ZDNY6yjyAWtpsM5m/b1p/KBzUuLm9Z3/zSd7qTIDzQLDi
mM9ydMGL/WVssrLWxP7iZGSWptz0X3tlEL415TS4shFCT1Tnnj/uiaE3RnpAMl+U8Jkq8jDKIJl1
4eEkSssRXXQSm+xdYAadtpMucjoVER2Q4LDu8q+ebD+xtDhNMuCniaR/FnWFZ4awD4WaMhzRyEDA
HxtHtYS7Zu7ZmqVqdIA/1LqbKF2NhmDOOHZnaWDsqZiWoBli75Ye+SJERkPa1G3RIt8bHXFSZlan
3Ara8yQqp1WdGp+ARfuuqkeqs4kYq5bWYjXKiK2zUvafH3biXccJT0dA7JAKaZksfFiSKJNdAR8e
zHao3CQJAMO2fjGWOrLwnqYiT5Xu6rHYlxp3uKbJAT8TogBV2vNI824hp+ykhJNUufb7YqKG05tN
3H3KAuQztmolqdI9e92peS4QrtEmgOEpF8GSBv0QT5KNzjBRueFBEDl9MIRHWZlSJ69aulGGCF75
jWGsyBSTswiY3ruuE9ZpF3HhPqz6XfFCYCUchQFnaBS3918GWEuVDbnmKuGZWwSkHY48q+7Fnn3v
FIRHyAA6JPMjTBY2TqbCJlmd57oKW9Kc55GZ1E5HR0L2OOpNxF86KuBmQSCKS2YvtmRbBN1MEE5O
YNu1qe1RhJ4WvhExbVpo1Rya0qp2gBeiE+2DSiROH8Vj5AQsHifNPTaGaBJTM36V5Ez6m8Bo408k
aIvxxLBLI3K8UuxDsXfENbBRJI4iHiICaGtxDv3JbDpuZ4VW6DrM1VgkQ7rxU6+xzsomlIWL7D/l
59wuR+Vr0/M531O17PAE1ExA2KSgqBPZ/P6dfi2J+mHoSFkA1yKRZnWbfaxVLE8CZbWPw5Hn4AOA
fKZ1oEgDzWYhqvPMpAmTebNVIa9oMbRaWE3+vmjGfcOsOR9sHQaUgBZmeigPdpW+uWUbWVoljfYi
M16NWdoehdakIs17KZzMYtNhT8b6zDMn77TIjG79sH8ttCowCgBiazMMKJD+caVoW6spzaaqJ/7n
oMyibo1ySF7gbhJPj+tCdHuC+nyw7+xVoPADZAneEuogUDOXAPGEFnuwcYZ1YYi0PC8VH+mmx8my
TkfDj/wrGqah2FPbLGL3rVCJsSlimk1A+9zeIMA1bvteMmoZBok73+L9lE9Bu5E8wGiNe/XhwDqx
z8fnAmO5VbCzLEwi5nmaWqiVV1agVJyN2jbiVcaCa97Gx15dvS9DehxG7WlYRh87gDGa2J0b0yAD
oliVe5Zxz7hQOLIHdG7aQMhvZhh3XMaLJ4/lXolVtKN0DFZy1xoLw8WDaKY952gRPqFmAD72fIgI
CgCUQNtqLkISi3aKRj0AdT5TRZO+moa2f/SGBOIlHoWD1gWdxHIuCCARiIk19BrJyNJWPlTvitCW
OpPm8Lh8MG8IoiTigIlhM4bl2xuKpnAaENdGndkpZa6liqlwLd8f1Z6K8Z6RBIY1OCXIOwIXK5aa
wxWlZhi4Fzqs8K3atUWfeY4dlV2ovWwMu6OHHX6Z33F3cAauLbgDHoWGC7iLjU1JlhR5y4Feo5wA
8QDZovR01vTv8xLFaTZdTGMUaDsa3wSCr+OAlFqI4a+HlzFLuesgABSwBuyagDkPuHB22ztH0y7y
jIVDjT5A1vSzHyX0ENqRb1neBX96pEv2ZI/l+cTDFMD1tkF3mLtQPKRkW16bx02HVQBN70e+zirP
O1K51316eFdLW87PNcETnJA9UK8JIOrbUuywKztf8FRPeYtiqR3idVsOseMNbfK4FgcpeBaFE2qD
AYL7ossIw0IjrloFBVoTDR3L8MLPQTrGFPyArpBa1bkInAnxrt6jyuX86Ua0BbfAtM8WoA/fqxDz
tBjbFPCFVNXnjnTWihkdXXUExbFXZVQPGa2PDA8wuj0O76M47HHt6jFt9e0aUKwBxwDQiRnUtqbZ
iGKN+h62bxjde0KS4lCgNN7YNJWbiVe9o1jkr1g1NEcZ761YD2L0MS9KhOP1lsDMqvMwaMew1uwb
5T68vB2nDZwcylAvCZR6S+MU8L6uTeNMo9TEcxW7SLwulGnvSW27Tptlg4Q6awBw+8KTw1KVgnY+
UBXVmU6fUvOoR7vgVk3nrR/e0L2oMR83BAvQe8DxsRhbyGJ+PcRpYKYapAHKtVVb+RqaRySmNdNW
aU9ubVeGTlOjzg5HYyLZpyECIMmtvFl3XZ3uAy12Lgl4EqFEEhMOt0g5zWTasT8KNLwqms7ayio/
jElmr7s0M1dN2pFXoRWMa1Lx6ONkj/npRE4HhnEPJhKPzEuzdqAbcEgQwIG4L5ZiVzhnwDUybRAS
8xUSrTVpbwyrZiXHOp/+B4a/K26uPu4Ez1bK2PRGGL5PTJ/oMPeDo6QZVA8ygpmsHjb9HIm3IjUY
QeCL4JmOULbA2HNbWFYAq5YGvJ0ByPoQ2oO3wnS10jRto3dmKNpUp2Mp3z8sdVeQQcNxC+LMT/ha
htKSqZZCd9rnXRK7dpeQUBeA5C+LwAZnp08jkjg8A26npWUnlxhwBe/qpBb7DtoOBVh4oKVigA7x
bKQlgpeWhTIslaEFlX0mdNq0w5+TqmnkRLlR/Jl6RfC26WMk0YdVcN+9qYnhPtIII1LdG9o1fobh
emHBvaPeXBUZDVyeB8Um61m2pyiYlbltY4hiQP7gTBZTy5ldXBiqTWvYuOiabFUEmNvNBV2om3Cq
XleYpB/j6As3mCxzE6bkkWP1uZ9EdTpPxmYnEkvMQRTeBLDKnJweFKqNAe7A5zAzAA37+VjsUeui
k51loeLgQN8RN0COXGSveOqbqi8Qm+3Rzv5ijVU4mYqDD1GeZ05CeeaElFSHPIv4Hk+6nxUoiDkI
VRzTQG4usYzY5IHoJKJEFBUBXyeVF/lraoKy8PgtYtoLOiYHZoLQtCiuWjzSsx8I4oNhe6iOVQRW
ipNOjH2h3jh8YYHK/golLd+UjMOVHj62990Fu1Qom0HcA8ls6biejMahSQEmW6Skn5qgsD/0NC0a
txkru9BDIo3KqVIPs9+HBe84xBA8U/8JSlxsfTtQNV1nVwGMqMEnNN00iuN1jHrsMB5jzBfKPt0Y
RlDozhSZS9J2wjPIHipJdpyr+VChIpkhdBzobfGdH7GwHjHkDaUVfEgKfzicIjs57Ixmcmqjj94V
YoiO0n7MLx4vGY/Tw5gB0BVDE78tORVm7DMBeNIsuVhPeZQ2Opc8AQ2tKRInJ37k+m2YrmtSvntY
9C5jY7QChO7mb7oQnfdZQssRopsiHk5Yk4/ugFHtm9jMR8c0FHEaORD3YaG7NM3hRqaNhlPe03Rf
lFUoCozPIq9u3a6S4abvbAXIpI5fZaXP1yUJ+cXAu2JfVpoT+SJQcjSGCu0htn0PhAqSpjFjPHpb
9yMxnThvvC9ZFwQXUa8jEXdu7UXexzpKfF2lSjFdEEx76ODvKQBuUIvlOsBgwcAU4w0CLti2yfs8
isqQyVQbQd/oyTToIfOaPyUPQcP2qHRpMnypQvbKs/pNUVug8cRRdZiYQ+gEXCGTGup/EN1mRjll
eNrJ/XKsklkvIo4OCzVQFzhgEAnu2hEow3uS1f0wyubn42DrKH0xS1qUopk55YY04Whm4aWXAain
YsWTOKr3bOj+MYMcsIJBbADVzlzquAo7vHvj0FPOTqo8Pvc95p3jVPQ6LSLvi0oKfiaLMj98+HzP
G9g27g38aM7oDTURT7aNWxtTTvsiYA71omFdjHm4qnmTOnKIh1Vnt8keXG5RaOCGAChY81UcBE7o
1V4EznGKAh6YY6VFaJuvW8OwVtZILDfyh2ZPH7GIF0tRS1ysYFGP0VFaY2KStiece+JL4uWWY3g1
3aTSrnUcRs0eQ4LPfcO9vKPThWBUcds6VVXVFAGKNLdo7LOwtlnZAmSJLAxv8qEFa2oNLlqHclMO
vk16x6jzDs111Rojmpyu8sEWd/qE5XJjt5HZ6bjybAyUM7vMO63iXqafxtavYzT7QP4tG1hRHoTp
qpuQfxqUb7VRNU6fV2Q4ZyCb8fck4TSJnWwcOoEk3RSgRjnS8+tcrUBBgFWcdjLzInB43WIm4CAU
5oXpdFWWlfP0zcrMYNP2lcfOM2HVnQYts8/Xhehrr9TjJONOW35PhnVg+YNrhEV0FIHq8GosWIBB
hzCi46yczOOSN+IkI75yLJZwzUGLuOAJa1vwTyxaO3E7EXdI1XTBsiJ0vKoMT4DwZ6uk79XrqlLl
esoYcQoKmFGWGXAHDGCPq6Q0L2RP6pMkbFuXIfFucBcQdXORe0dlR9J1IIbO8SYvdUTCqmOrYOPh
kNrGUQ0sxw0BJpwYjT+sG2pWmkWKv+JorHHdw+jFNZ7OEK9zoJxnmB6lx35rCmiszl06BPRzbZLo
FKiQ/DwMfXw62cOwBg5vvJ8A6PVODv55vwLHsrgwOiN8N5Q2/RJlTbIiwDFdA3ceADDWra+TqiWr
SZL+NAV135U1T9/2nQj/NJIcqMMQDu8CzAnW4aQwn7P7xIl4Eumwa8j70JuqlaBGMjndFGVgWKR5
fmmbpX88+r0T1q9mLq+ti75rGj2OcXdp9kkTaEW9aaOyxtQoVgOnK4+rsdVx3sov5tiCSG+T0l8l
aNxWVWXkm8mU1alfK3LUUSs+S9Oi/MAHOWivqMIT0AeoLsKmed2Ca1jpoKHpX0ZBog8i8P0YMurm
VZQYxbgSBniIwpDDihii0QlwT23GSXqSJHbu8AgYMqcD+4LbCsWp8NpqrWLPfjsmoNAUAaUbf7A+
poMXahRqwbGKq6xz7TRAr5Yb/DCYJuvzRP3WlXbGtPRUhXbZDlbtMKSnRjVRB8xIHDKz6oK1wX3p
sl42oxMBe93kDX/TNJlySdSIVZ4FzWEPPO9YqWjdB9yditqvdS2n3ncHOxu408Z0+JhljbhKhwiD
tIl4bphJe+WVtAcFkYUUEHxZrtOBNShjaNAVG5Bw6IU3drgOM8Tn1IowcG3/Smn8HkMDt5vCqylR
h2VeH0Zt8iqLivdFUuJ/nmF8RVXKHQNwwKGaUowWggzQ3DikemDlzMov3xm8eZ/bYBCHw9S7tRir
Y1Ga7NRqCm3UbagrmvjwePXBCDIYQcZHudWfRob5lgRF75qFXbqDooMzlsQ6j7z0LEnCwSnq1AVZ
aIaBauBvkEYmvjKs6lPehu9FyD51mDDrEuxxx2gMQGNefRQn3QlI5pXO4+kLYt17q00D7VN/xIUq
gVljEJtHJeq5huBSAWPZGyWi6ynNzkIZ+usw93JUeamvgfSM2grS4DBXk+/0JcGRBIMq49mGGcJc
AwOsnTEL/wSltnACMGK0j9HyCgMv3DYq1SoaU3CtPMP66FFrhVFffDxNUaPjlvcnRded40Sf1iaD
wIr5jodx5MocmgnuSo+biQFzRdQyeXrRBHQjoW9dAghG0ABH3uCptfZ64budmJgO+whgQjpW9Uq1
Ah2mmTDsWAWGLiUdQIvNYp0Qg2A2RL/GQSx1XcpMjzRbt34crP3CCs89IYNVJGvQJDKPo6RKomKD
p8SjyUlNr1pRM6te09EcztOoRHkKqGQ6HzpfnZVG3EUaKE60suX1aASvVKrOBuqd4bbeJ4QRnG2M
jjXull/0vjyUNihoSdmfYhp8XmOc6JS4TLNphkI4qFQ3uAeg28g6HD3LZSQ+85V5XHBv5Xm1q9pa
twGmJX4v0BqhHkWaz8EszPqroJxaZ6rjDYi37yI/+tyK4XiyArByeXxij3ITgZuH3mE6qabhvVnV
pwUr3uDyQb4KCX4uQStXDoZ0RJq8SkbzVVknqw7ctRB3Ad3B8M+6KNzEvnc9lF6A8baMQN7IfY3p
hKu68TytGnuFWUHo5Ea87lOUrx1LK6cTZNJBx9wsN07LiX9K+/RLMsGZ6kRXefkmL3KnKbLWMWIT
RwkdT9KMn1SVH2aRpZOErKiNKrwIhve4kgJr+mWkUzFd+4XIV1ak3K4g1x3xnE42uQNSluPhDoHf
jie8S9lpGYi3NEw+5WLqV7nAdalBhRd1Gle6L8O1MsPDpIoPEe21R4NDXtTHxmjicp7CWZYExxHA
9aWdhSejYaILQmGgJxJckWBymd1huwCRJmJu8sFo3biNX6vCOm3bOmo1H2s6bggPI7USreFFWjRm
cUZqlV8lbeh/9YVKX7GuYisjYB+rasLAaKoqneETDs7eSVNLt+uM46mI0XuGQ/clscbKjfugxhx0
XIcc3lXFmwoHJPLlRQO+1mE7FdXKN/p6XbUiWv1fiq5sK1Idin4RawEhQF6ZarQsZ+2XrO6+doAE
QhLmr7/bt1arS4Vwhj3JPDthjXRdzgJxMahn+EjcArxIBvpARv7YSdKdMb/ksa4PLZPl0IY4xhpH
LIS4L9qOWnagsiEvQ/dRt2UMKzbMD3Zp8qS3z1s0Q9ER3JTf3ZM+NhjFhCqo72zORi7yyRGHF5AZ
8p7ZFH5bHzy4A8BtsIK58B5oiMZV095qwVq8ujk7bL2TuQTMHJ1uzrzX5UBTvDEMV6CWXN7O7Zxt
jTrvTFwjmUaZTJImC1Xz4XcQXZgZ0JcXVfUOG4+yn26KqyVhFYsV5htF/4re5Q36ZLKTj75xqPM7
To7/FfhbpZb6jXjOAXFpy5ZaoJZ7NfE+T5ft19hKkwnjPW1xXHUufmU6RCcQOkua8ChCcXCal1sk
i2haqsiLbr3kOMrc/Bfw+o+g4Tv11wT9wTZFPQQZ0EjQdGt651PyEZD9NrZ0zmgTVWR0L3IJnqHP
BuaBk0rEW6K3ry6EjTPKE8/dU8WuOzbcnAbDqU2Hq4lbmW2U/XJyflqiupzGqBBrWsidZGsbHtNw
LNXQXjB6bZndYK1pfPGy+uoLiiSbrf635uHHvIEN0op/ia2/78F+8gTNebg8dYzca7HSjCxrXi/h
r7ZNb1TpX8ylChtsP2eib+7U8m84IjF7beGvNGghPa5Z0Vjv3qc2I779cW7BF2qC3/jioYcEq1+/
qFgKw6OoSGl3pWR/22t78n48B6Neb1qsEFXIR2/6TywzTnDwMCSY8yCabkNc6g2FYuJeKVt8C9h7
Bgy8wXmubSlCwFg6uvdGV6yjRxbxf6CnDzVEEwU0UgZ7tPzu/OaPYXiw4Vl9U37/Ifi2ZXEXPkI0
/k1Dt+dtZ49SpwXTU5FaXFHaGS+TrsWND+Lc7uAlei/wMhU0h3WZVGaWunAeRqwoarOVRuewDdtK
Rv6DbbdL2Ebp0XrstskO+p/+0nbTz2V+8fb5QGZ6XkNXgJkpabwfFpMyrAPzBVKqb99RjspaV1Gj
X6j270rY7shU89/gYXA3ItKl17GXJTFnTdpnStp/ZF+e5B7laqgr4w0XjiEBvCAMrX/gtMOkFb/o
xfslguG8Ysbn/XDEs3OydVNsrjlOwgP8MBWy7cvAuTabdPLc+aIg6F9qWw8wQPAs6mIwSvQ0LnFJ
zFRGifnV8VhmSSyfN0rKVQWXeo5KytltUfYYwrEzQLMNhTp4nUjm0Y4q3rejzWDuqOapKbS3faTb
z3eCNSbzexwWHuedtqXZlxOd2kyu8X+j4WUA0eQ4TDA+vzG0rlH5T/5OnteVhUXYy+Sw6eGDwWWO
fmE/xhjPg9vPXdsp3BydQ5j1QgiVUFCPT+C2HyZYbDNY8daMzjHk7GQp4JVF5cAlgHNM6dfaRc+G
JJnP+8wJ+ylJCum7KuqNAdURGJbsgfb0tSe6IHgN+vUwpcUkRSGYvcGDcIr6phSpu5E1KbatKVY+
gSL5xgNQzoTAh7lmdWiurZfibpPMb9pD2gwV1MVPepZ3T+Pr9cNK93PdyRfaqVL3e+Z50Iiy4UEn
NhvsayzQacn+ukaf3vJbBy+DWg4gPt7HMa00BrCpwQ7N3unwy3d/XCtx8WgOLwjOY/TWTKcOv6SK
p6xZv7i8Nqt6J3t6HpuhSEyabcpkgb7p5ebpV1anODFbsYxLJua+6Ie/KHcHQvaTv/hojG/eLI7c
k4/Y8FXWecEVs062L7yYrV/M7jtq/TyRTdbroSDk7vUYF3x1i3Sct/G19n9PIEgxMuYQzr1My3pz
AS+lmQrrIKoDl1TPc5aaT6V4SUR4Nh2UnuxbwBq3xK4Uw3Njk+sSDo/e+M75Xe0m6xy/NcqVaf+u
ayhgurFMBKQUUVOtdCtUZAvlhVgLWhhlFCw5X8TJB8DhWTqNIFCfIrRl6WOO7LqTE6dtnDAfeBfE
DlRi+rujhcodu4na8cTNF99Hr2O8Wrk8bPhc2qf5ykRVg9pOsby1si8BM5xb8hSNlQfOloi5IMGz
9k5B+zY1XwrO8pTpsjV1tWHBMaj8cRVgovbEf902FHSfKy866eEWqIdIniHGgQsmKhTp4esyumDE
y9f01xzVmfN5tkkHLjKoBvEmokcvTJ/78WPsDjwKC2mrbfiyWCNdnQJ1iNLT5qMPTNFqstr9jeOn
Dquto95hWgkGbX2zyq+oqMu4Med2vvmQDxiC1adLLjZKrl7fimxd12LS42uysXyLP7hoM+sg6P+a
p/HGlXt36R9CFqAcTdm0nGRbPZ17lH2ydaXs3pjZTjxunmgfvWzCr3jbfwQhJh5mSogzy0XYzOMS
M/iUT6N3jn5CJjad9XTK6x5dQ8njj9dXpg+LOe3eWOpuq/ZlO1HovbItnMs1fJ0d3PziNV2+N9KX
XfQy0M/djwoi7zq+i+m8p3vBpAfgOH7wmkMcNRcHI4YdUEL1gvvR/2QFIGoB6BOtK5IOZ22WA8Sp
WFDSc0LtJcRN4HUniiZ6oen8Ns34qbsFzgJRCvWn7x6TaQOw1FwJDrM05MlbjjUE/pkZvuMQcAxp
K4oRvFG2YHZvsCpc4jp4dcN0XkxXmdldtUryDvp5ykoapf9h6A+giVzvIEd/zzFtc2Aa9yYYfitf
P1uzYscHBjwMQxZ6nsrZ1j43Kf2NWnBclNcB2hyfItDjdiOY9huBDUtjJpXNv3rTKOAhQA/ET7zq
AC/2uZmLjcQPIY+Paaqu+DfGJuU91L2XS/8BmNPRAQjvsR2YTt8tFOERFr0pTjLW3MxaLkFSyhVy
W/Sy3FJ6DKb1Bg690jR4a22DDpMcosZHt5nLsW9zrdpz0wxXi40ZIMpc9PFc0OFL9ncumtepn/+s
fMldWh+Zv2bx4Eq0V2zM/8i6o+Z8znzD8NaWg4nDAi65y8Qx5OJALhFmZnuKhu5BsfA6bvRZpkvV
K4F9JWaZb9Yp7xTI1/jLBfGl3hsM1pDSqBiNYPoXxpACe99evD97TJUKHT7Y1pIv2CwWUoqZHLCh
ZSpqr4NGL/WweJnXQP7XoljYkVUB/scGC3E/0efRrmfPC7M6/WvCAFeneWDLPZ6TDJvc0K1ApgKk
cDwlHebeaMJdD9Op4O1QWl1XE9jFtkefANt5WMf1ZRbJuQ/T1zWxZwzgL5S8y8DPjRTnZGbF6tdl
xF52LM5hH5RxfyS4o/sAhAhFzdPLg57NO4CmSvUEAq23huKlwWjuEZkuUxcCLWVFx6PfIg5fYwMA
KcAcKu3Ra8E8ECEvScMeMFscSTh8Uh9zKakLWH4fQ/FqpZ8zVp+6mUDZy7KIlgAKs4Ut+ZBw1FDY
XhKBBakvY2kqeHCyvv8bDvTgpbjkDUiduMnH5MX6unQB6K7w1Gv9X9CXhB+lr4uJ/2kbleAyjke2
BCekwpdqDwuscpnz7BHRG1mP1I0x5kXiTUVHr2DdFXwZC2bF/qhx9OP2I5omHJ0xm1Bvov2Xx0nB
l+7aD+NVxjVijYBTxAAQ6MninplGo3uMQJfeWXNoWpELcazxSRhbs13QbMfy48L/IF3MfNQqgqUf
a/eZh/0nMhOAEmyf8OYdRPoGfS5Esf5frx7PJqyrZMIDw999gxq67xfjIcBiXU9TLz81nm8AafBB
kukYrCkKeoitt+njTygXbq3xrtIAQVvZ+B939WmF+rW0bAsKN4XPZnP/atMidcWXNxDZKmuxHINn
/K/1o3cSDc/QQb4Ijt90S5bHAewpAkaeCelu6cD+eEPwLN2MrrG+TXXVzWPFkpvwp5cpfo7isRD9
Y5h8KvQQ675oAHl10BU8UCch0NYIwy4uCxZd2H5zkECOtffgr1tBXXSYa1aJTh03+2/irDCxBzt4
k1PEZgCWjKcFheevnveyW3SZ4MOIQo2CZpB6WR39qXlYCfo1zQsEjcgFaIsd3axB6fSSfyOupcTm
AF1UjKYb16ZIpcn9nh86Qc7SomSZI/iAQxxMZxZ7B23ss2gf6Vz/5hHus9dCUoxTM7THUa1ZaKfu
GMfbdoNCC6gRwCjUKLbecYhPw74XlHmVXI7L6BXr/tXInws9VfP+wVqd1bQ7YME/xYYdY/GZMH7e
1HRp6xZuNZPBP5xvaXJo5R9EmYAuCfO2To4dNm9vHUA70vWlq/fXPZDnGTos0p7rsL9HiCig9avH
g0sc3xtkjtj5e+ePbEUfw7gEz1cutkqY8di2KCq+KmKrin2ZjmkLNJY8hZidZQhZWf/g1pdEeBi0
f3MbZwmiibr5vTYit/NLg11d48I2zZm0gCnkE45z1uxppjYfQSeoVeajC8fcplc6kmKasK4kRVQf
lXf8kU72Gpv/9q3IawSUhzfrBbhFNoZ4A/vd+0MW7/96vR4A6F77vfs9Ujj2u6RoIxiORlGqjuSD
JGDbmT2tPj3O5N6re5e8Lkof+hlQps0MKATHbj19oxqQhgaYzw+Jx34tyVBMKih3gOGDpVlrsMQC
X+roJZ3fw87cthnQVqqKruOAfKHUSPTRD5eD57bSYWJuQO42zXj2ZpAobTsBoV2q0aTPfHGIUEAb
0ak+cFVXfSxPUHi9qJEew7Y/yth75rE+dCG44NotD7brn5cOERPtUvtwV9QH6zvUuiACXwy0cA9K
zwcH1Q/RBSK4Yzv0Es17inOIApuH2i6ymHvxVxqDEBDx0Y7mGZLbS7zFZeixcgjFcVvFefWD3/OQ
3HegMceuTl+pwjLJfNUAp6rRweXWZIrSf2q2QOx0Ov6d/WU+DSlm5Haux1y24gze9rB2WM6ZNw0Q
WVp7SD33GPyQmCGA6aUZRCUtMGlrzTPCOcZsZM1+9G2N9W+KFIYyeozW+rgjmCLjsJJDRciPcM2/
zuMQZvPC3oZoAb7S7yZnRlVrZw7O2s8uiB+jEeOGix81x56217gjmuCB9GL5p08bEAY9vkEAvkmr
BhEswvmAseOgAiOHvteg+i7XlKhDuIc0B1iATZ6f+M+JlKDGMF72t3Bbl7xrwXrZZfutZPg1MLCj
KXPNYyB3U8xBeDXJVpmJnHYtxuonOK6Y2w4azDEcTgGrm2oi868hhlF80XS8LFb/h6Utzd2Ae6vB
OOWMO8gVzI0n67NvE/pU+/0Zmq8XRlvMvXRB2gj1sB/CWYgpwsJy3qgWBv90yXY+MoBjhIIwIV0M
w1jPa+0yDbP+S+Jv/Ztlg2QwlS7Te8QBJ75JXGkc8jC0JxwGCZHOMLIftqK9YJRY2KulazIiKmn0
wfVYgNZU+KeFieEPoxwmji6th6NXt/S9S7rIu+7TNHR3QL1786dZiU3/ak/btorGWAJSwDNxXakj
DybFsdqsZg9+vEAG6oOfwB9O9z8dXNZFOKZYTLFWlKBY6jNITv0VThE/NrOdSwGXyHM8NVxnjqsV
hiPdPciGmAI7wp6pbnFPXh3EJ+Ht9EJ4uxxJ17oK6Ia++jvUn2HbNaVppwiwJzFtBbNZV6TL9Dxh
qz01Assi6xW5B1brNvOBuJVeEJp8j4ck39TsYQmQy/fCTJsPi8WonLC8RfTBJQbGc90t6oDi4CUm
tTWlsoouVRem4wmwUg85cDdfwDVD8d+l6jVZQWfimdoy5L0ALt6m+qkNVj8pPWR17kWarPV1qQlD
wYf1DqMd3m3TbTxk09zLE2EruJJZ+E/RMLsykqF58fjSP+L8hoU/kwkjAwXdVwcCuEgEfkcH3XJY
Vigzk76fsYgn7ih5bEu9M35lPE7yKK6xx6W8a/ONi/Bj+zmii8IqHcmY533QtnemfurcCkeNDOFf
6Ik3nweTGLh6VYtFXwTbdhkCV986uU9+ZmvmYoxzKDeRCbqTD0Cw7Ia6PvDQ5384BONgySx1b6Lf
xjNr6qD4MXWWG4JnMFKtACA2PwRx5KfHvR67q5364BDNM83SjcEvTtkIGitm594DqIt4NzSU1CU8
88BRXLQXkQcRIh5sEywALdmv5dQ2SbmJqbss8mclAd5cDXsvSzJjAu4h73qntPtF5ZJk42Tng6Kh
9wMdBq+UzjYPuQWYKWf5Ho7TiJilHklMILRA4uxWd6XXz+o5gk70X5PMfR4oJ3IHw0flD0uXhwaQ
5diO83XTExr9KIIX1fXQyJG5G+wBaYQL2uwUGhV8bD14QMiYU8ht33YXPI6yp2dcblk/ME/IePiR
S0oJvqweSN0XYb3O7DpYX8K4SADODwKQoarVhSjij7+Z7yGA8K2G7kCA5YARxWLI8LpZfZi+86Pf
EJjvq6uiaB9HcxJ02xWIo6Q3H7u3c30fWs8mrzuzMf4jVM+jwriDGzF/JElH6L8oHOkKskV6AVi8
dB/T7Qz7RSqf5IiYzXPLlohhGuG0r7YE/fE6WU/9sEMNwgmCbNxZ46XFICFcAKMG/ZX6CoaYkm8R
QTb4R3siWf/b4dTEmkA020A7xVBaYgzmZHaNKIdBRkgLH/bJPsxut9wUAV0xrWVbOnr7vdFRx85B
bBaNNCem1+HDl0MseAbJWUgB8kQMeclZapdWD5npIwZsDxAc774kXK8APlB46unbS0CdYVOvfef/
h8OWACWGtAQ/UjYkzWi+JmX66SmO5pWdvKiN7AfngWMnlYiQ/0tw9LfHTfN1+0RGkiPnNtZ8zN2Y
CMR3RlNPj6KfbYyncWgapAXJ3n/XDJzdJY6wXJSIy0zHzG0ushWoDjw1xF8S/UWdCd2zSuZ1wCCw
wqTdTfBqwDsdJ+IIuXYQ3ZwxlhSLgWy7bNzECWQoqUgOodi8ry3U6ZeL0gTbC/UNb8o23F0NKryO
4HPLOxGwzj+lCG0EfDhGCDNdDnzwUowQgfLl9A+/solLWMQSEHPwL/2b/Gmav+3KvLbJ91nM9quD
0gDDZLQmfgfsge9j8+b504wUP6AWuB3+MMSfKUPBB0zXNLs5jePqYwRvY7qTV010/Z9Lw9Vc1j5a
nxEwMpHDNsRj+8hiG3Zlp4GDA/UjxLNbPqSQqCRZ32wBqObQiRmULhDjwRVCC66/onlHWTWAoHFU
Ac1gGc70MPgqQwCsFsUK03CADVwk24VrESYvAlWwQ6ri7H8jImwbnxGVFDaH0TBizosEN/dvQxIT
QvdaZXRuYsQu8Mwls1vh7uKqwZIWzl4+iCkgVZQ4DN92Drf2km5DYHBxJu2ZP0OX9k2lfeSDXjxD
LS3sutvwn5l1shbEcp++M+Hv/C+xcn5ILLiR+ScqhiRgcQR+t8O2Nw0wL/j1ekwZkdR1YRo1eN8w
Yabpe+yvq8Ck6wHZ/6PHYfdfwNPs/Fb781RfFR6q+hiIdkI0y96EWzHtah5/7/iq95n0LcpnpvaZ
W3im/Y7m+Ds6m/nHHWXyBZquvTmmMQIfkFWAxMTGQm+khh5w2aL86dEpiuGv1knbfEwDuOBPsSYr
PXA+kuSaQj89v1K9xUNZy3GK4qy1rRl+Bc2S5EuPyNS8mUbj8hW35D8V1E4c8LY0yrZFtm0RcSA2
O/fXv5Fk9U/0VvDZO8uWyoV1eFxVvUQnZtP0srfCnUOiuM0aYaCIat2+LnfI4+B+57xPbzXY0RsK
JaSt2oSfrAE/jfRJy3NwdvX7vNrxEAvMqiqdqC4Xt8FrGzgDAEjVHnzh6aQjKNfmJr1Br4ZxhnH/
ggQ6iNqiTTbdYyu74U/rUvIJuSP4CM8lyfcQpFPV41F8om0knwnivX7VEoYr61kAtjKdJeaVGbsy
kqwcWBQ/4rdgnTd3gjEF0Pw2pevL4DMvwj6ScgelBViAfIK+BSqhWgKz7hvh/oZwUSwZSfXKICjg
pELYQpg3fHM3Y6YGxgCp0qd4HOb9dVRWQ3Vb99/QUzdjMc5RSyG91rsrli0g52519SNyVM1jHXi2
9Dj/jMT0hfHrfUicyZ0j0N6ZQWR9BAF+sCxXsbtDEE/vtNsh+YNjF1MJc2U3kjTvqPfhryDZYhF/
NCyZrrbfukqE0NjpObkrSOGxT679WcTj787ZvvL1nrxxOtq/gJwFbqRayibWv0EnP3o9tkKPLfs9
SXR9gbt/P6AP9lfKif2FtaLGqG/OHPK73LWDV9CWA6GazZ7trY4OggfBuxmtO9ph8e4t+oCf+62/
qFsiefAA8RIun4LPrd3qBoO8B45snk9JFKgnCpTuz+Z1y7sxW2eeiS+jcqF8Dk7piKcqJ6vpHqAj
gLCnw3mEvHY17HnzQnIe44lMeRAjoCODvsUVNSIePyAmGbNBj9/NqONidwNonHmfDvjx/8394FUt
YzugdA1cFUL1H0bNVf3Qh7nDhT2tsYsKk9prDUgr7izMegbrkRcAlNpgnIY1GrwDcYYgUIV7uR7S
Lh+3mZUBjz6otWDae0IfENgK+TPa6H2ogV0sxLyHBuCmn+j9YkMunkezNz9z4Jz1IXkYVXjxmcKK
AqF1PnSky9c6jrLBsKc9MFcMNdAH8AQVjK37+zSl0IK0m8lrHlR6sqJI1mRBOgNiI3iE9S1YccWn
sL7ve0PxoNEoZ519jKykmY5/8gZ/ZBqrgtwUkroYUrfEIBEvpcUwJeFlnugdg8hvT2E+EmAbcSy7
PYeuFKFJcsD0l2CUn6EazijdsfL5Aa5qi8GNLDHiP9sU1qxenM1MzpPQEBA52efWZzmfVQd8GioN
PNhZkMqkYL3vn1e9xxUdLDQM87Si6wAzQAJ0j9Ve6nzBY3pDalcCOlfWeYcGBFXl08qQSj0YPLye
/KnuYItO/tjIKl5hNkVWywXkZJ2He8DR/rq9RLQGK+B8+WTjCLwSg2uZpr3OVW3+LuAMhj5Zr56M
XiOXONDE7n2Kd5I7v6Y5UnTWEqYPeVphii7QacZCimE8NHKjF4SgeQcIApa3JPoxBHhjVEIkcRnm
BRNHj5BqI1FDazfkFu04H8wSZpqEJwSL68Nk6dHUID1WDe1g20HhXTdgJsepaAR2g3FucZ+9mZR7
HPyyDmmUUKWDtepxgZFutOcyUuoEXD2ATECC1RAYSTqpDpBxgDVo5mvKKIgvINdgYu014g4Mo6Tk
hFPl5arDeCTr9iOcoWmIflq12F/rVQ5FpMaL7ryXJASHPiSfLQH4DWr8iNgsmrGkvkPg9TZFQCf2
ZXiGhvqzxuz+o1IIcxGZ+UloA+Eb6eZ7y9qlUlNICt8GBV+7NV9Y/4FiS0rdoEA3EtEqDDrGfKMg
VHwxipPYQlDV+Bx8jGLIm0ZGQE6wF3U/vLDa5PcU+HEhiZ/kSAYhRT0mf3k4PQbN9gXZ7ecwmC87
2cfQpremnh6BX1Q9huFsRNJn3HveeyOCxy7pQR2m/Yb46xTo0PQeWP5cW59UyR48BvMGvKxx6z+9
dOmB0Aa449r5Ld4GUwryUaTysTu59hTZEIBHGO85CKfutHbAZzNNW/GQRHKEBMfHsUgRgzyNhFbb
2PrlCFsjcAbXPAMfc+AViLq0sPjfATXMzz5Uyu89c/ubjaL5GUk/pJrZ3D8MKRsPGmae6zqHdQLS
XEMDBVaLpmW/tGZ78geHhzJegmYtWNwb6MOStwDSHCR/b7CrYj+MR13wvQ8ADQ0dSrTx3YOj5CCI
72f7LCFJCKLxJlfjvY9+vFVp47sCF/Kv8CnIv8Rij0Ti9GnG0gWF37KfR99suWywfmqAO6XGIlDE
dEK45Y8EKt6aOkeKIsjCMR0ybN7hkTFxWbn+RGSnzBuISj86CxZkUZs5YR0eysmP7UV2WOylrIsG
epaqwV8KiIi9SbpGBR13+8MSbHdE+EQl94KlAqZzFPsAhDcYTw0X0H8AMWjTHrpj7BKHrU/8rCfd
eISIO8QW1P0GI7Xfpkmgrg0O4oh9zv09ZacNOOnZR6T3g5O4LLiqAcKkawkiydE3YeGw6VvQpWFY
P9ZyugGdhKbba/HczRaCB1E/RfvaH5iI1E/OAd4wvkL0h00bf6M0X80COT2CdqBIX0nR43Z9q8kB
FN/Xl52RCbheYqFdiewpUDXkJqNfJj+gpw4AUVs9tOhz8oYRHIjTgtWLsi3jy3CkK0zwfDxJf97h
Dkh/uXH+O7gNzC4G5gMUGdAB1eJ7bOqfKJDToIaTVbYiXi+vCLl43DswMdQgKC9BqQcUDwkP0G8s
PP4qynH5qZ7QMtF9QVovY7kl8jlk4owaXUx1+Ld1w4eaAWort98nRCPkA52wBBj9lXRDVElNv4O1
keWWRH/7Gkdon4yf1ysKNJ3MKVQE7jmQTPOPgIQvr4LXrMS6Ayc9tcEC4Uj9QceQ5wLyTQjYe/U+
0OAlSDuoxySDWnHbrsksP+Tijl2IfXyb/L+LL8tUqxl6OiPeY44CDRFHW1DBAEyM6jiu6gIPv3f2
ZxSG+keiskTKXtMWvAmy8Z7QYi+jWLa8l+MVXsJzTzDl9tsAYYIF9RY6flYNYKw0/YUTnc+Jegi3
Ld/W9NFv+XuwLfdJrccwAtG91cFvojYA+IsEmYRcrwpZBXWRDEjXbttVQdPcImp0sfg5dc+gi53a
HH8VASf/f47ObLlRJIiiX0QEFEvBqwDtsuV9eSFst82+F+vXz9G8zURPTFsWVGXePPdmBdWUGqMD
6mIi2jmJJPMNcsOWSr7MMjZaxs+RdaSuJpDeAxUYuvbS5m6/kQmWnrwCCU2EPJfS2M2JlgZdY2o0
8fwkeZ6/okxCo7k9c5ZyteBSGmhQIt78lXvbyErapvWEuNSAJS/3czL+peLGItbAlpgKRt+ZaJ6i
ZrmPqFl9MRkPpK+boV0YQYsoDIkxf3VxMQTkwhMWZwy/kdfIe6J7iaSMxq+lUp95ybBGQO77saIV
7VrxUIzmQ1x0uyTC9qdP3lOqZ2gZtvuLCQ8yRarCT+EP/GGYMr5TRdmS9u8zrWTak++bWGYQMyc6
tF00czWKdssYW9sMvQC9LNpwlI29nbzySKKMOroaPLUZGWuo49k5qcZgDFtYfzihgdBc8dLUlsmn
Y4qWVH+VyHZGZl8aJuq4K5AzozjZD0typA+9b+b4vo8phHp09UxOn24SPXa0i+Hapv8qynSEzerQ
reOHWItos7ZeyRFnDBujix80UDFXq+76UZ4tYfzNhA+wP0H7gq87cA6CC9jWtsiQl5PcC8l0kf6w
4HXFsx233XfswsOPZNLXq9k9ytXaLa73Yyap5zOFx8VeW2+kBF/NIr/M3hif+lR9pOkck6RsvGcI
ZYxIaOSdev3ASjHyW3H3Edz8w7hM83YgrdHXXcIky/Q80Us84PUxLy7tL2qv7QtnPqm6WrBNMEKP
Uf+8uNhgd98SdLPrBoIDOJr4vVTmP13UISmZ2i5BvjR8BozWqZj1f5nsP+K1ApVsyuc1Tq61ubzr
FTYLXe8YrGnqQeO/8/Uh3WWiOMg5O6m1OpG+0vv4APRrXHqHSlOC+V4KpTVSczSTh1o82jFa7JSF
YwuskzfZMZvUwaoNERQlLlbC0B+TqOb2F+5vlE9PtOw7jsb7yNBmfA7zH1Het7x7Ye5xy311fB5n
AmDgrgrNfPzlGr6rmAKFXkFtOMXenWm4wFnaoxMbQ8DqqgepKuUXLQBtT6rwGH3KW+7BwANJZVlz
gk4HY4QA1dpsz9IYh9lPvV/jTt9Edun6rRaJoFzVb9KmcWDM7afSppAkxleMYHBj4l6LhlfqnIts
nW/WX9APT3kddhqYCiKZdq4mEk2sNtmpqGTu2uBsZU6EV4VR9+gmVZi2qr9M/epRbmWXXDePdiwA
iKYfYzbf44qmOeoj5gL8LJA3mR8jtt7gVuF3dOUcnAhYY60CiQwENg+qki/oiI3In7PEehgj40FE
Tb9prEgAo/L4ysWG9cjMTUJhdqOgy8pOD0nmKmbHnD5WSdsXq9fEknumcTBucXEgheXF0+qT1ll7
qUABOnGwoyjIS5fSN7F3XZNDtZUuV0MdiEJhclidD8YK797Ss1Mn45VMDkuKwI4bbYSeWLcIIU4A
wPLkOlkSMG2Kg66j3tCnfVoLhtOedoopBfzaBFQYgCFUZ59nx77ZSRb0w+ynrg1nw9aeQ9WV3YYV
EPoBF8EuH6bJ54rJLm6h/VrOgFdn6J+RdNrNTL5JpDmnHhR1bE0cgnB0Zg/YMZ15BUJWNIad8x0l
zYNQTeCp+acw25PmKl45cdeL8nFE2PXUuGvE+p56cYg0Fs7Vypi8X56qQQvMglMtE8OnLaLEl1N6
nKwh8EpL39FQPxCvga1K7to6A6GIfIapoZaLzQroOTELT8n7aR1J1ghHq5kei+XXYy0R/BqOM67e
59qd341oUv4420/KHna9TtBu2t5AgKFfLrVq71hfIRlk89i1JRaF+Q9nCc5GZtB+nK0vVba8La54
shvAAbu3TxZZ5ruprh4XniKfsMJ9zf4aheKHe8O+x0vKVKy89DHUhJtgDFLWp1vJb1vZ74twHN+2
eFiwHoZYfPeEUySbGmEY0Vgv9yotD12JEK66bisa528xSl7p/lgy/sosfV+tctN244tbVPtssk4I
6heGvjyk5V3qVUGpnB17J3LQWufYJoRzGIYG9Ra7vq1VV2OwqjCKoTe8dLr3luikjOqQRfbZvPk5
QWLAipzu0wbxAsM8VjESfzHfIc/10D39NuOJ1RR4TJXUj1XVvTbmeI0MFRNMcnMuRUShT3iUBzPb
lcMM6ldTtrgvNthAI+7kOu4LF/6oLsDO4c9TrT04Znru9PEQpVg0W5ehunwwVRaknhYOc3ylcMYE
nLgPSTPsNNH4sQv1yEKcYkMTUG+0yn7V5pt7LMVVYFPz1eV8N3vzdpmjLQJuwVkGg7CSlBxw8N/n
MUZL3SuRPrIf2fNQ3ZASiECvB62n0ov6guUpxinOx39Nrn8SoXQ2rfJV08dHe52XcHSlFhhxfVjl
9GTaw7a/pbVa5buWtwFqfoj9iRpdJQwFDTpqwzT3JXs7uuZmxRrDxbHAcrA56G50NVs8kGuT7vPS
uRuj6Wv1pme0XDri8tSI8shw59gpTJaL+6fTxW3EalmbvosgpcY75UjpV6W806UeOqbDsRl/asL6
m0f15GAY2pij84Zaafumnv6tKUdk5xrMu8VSBDFcIbFyY1j35qnr4bo7Wx5NZbdhaVqHdhbbRubb
ZbWZTeY+TrV9ouMtsMaP2I4OqUqPCYdM2SIY2hLpGtXCXeCjuvlLb8yjmCOf52ObausfBuiATv9s
UFF0uQim1LyPBf3D5IzbMR2Pmb78MVG0N9LNLiR1MPSBDYy/pxtHVtZwrkodonJ6XMQTYftvlq5T
VruBgyHyhpsLuH67X22/n6LPptUZVk2nOE23gmROztH+maTqB3Q6RofZcLTWIkxK9JxpRpSKYvBg
piDSB6AAjYuguKJp6IMxKg/IX99ZlIddR7qYV2dPlogwQfTTVkbr1RuN1ylh1VW1Nvt41v4ZWUXE
YVw9enp0dvVCBKqNX+ycDrBciq1KmsBZHQq50bm4y/q1OPbVyxFJECjAunj7GgikzTyt8G2GgRhR
WUdpjAeoQvqUaicqtTEBi0ZRlOh8SBOV06CUV5T0bUBp+EiaXZCADozpxGFuX5JVfDWx8R3XMKWe
2mJyvz3Bu9SBqVXdijCtW7ucoVTvGqE7e4xged/L+r5wiD3i5TxLWbhhEfeBysafpCkf8aXeZVjj
sA+0h1lEQVbLoJ/711qUB9ImO17QRAceawmgU/N+HtrvrrZufiBzj9tKh8rCsSr6O32ozi72alM9
jj37ouJVHBJnOXmZ/aCV6ecET9N6zEgz996O3+eSxUpRcyqxYZi3D+pY23hqTn1p7evWxQSnPRG3
ftSaeU9U2AUrdLJxcAA3o/UopB4kVkfR62oHyuHWx86tsNhB5Bilnm97wGC1viqGoUYZndy4McOp
LP7S3H12yDUNKkwbgRyzZStcrKC0BZVf1yhidvNLxG2+gaVh1lNRvzkMXVBvO3/OUA9FtDxhdsb1
jV8grXJ8ThazhDbKf93GvVs95iWrhF/njCly42GKvJNcm99BZh9mlR91o+IdZO5qujgG2zd9IJO2
Ha/tQAgxHwgQfUrFRzb0jC5G4gyLsQyli+MYczzTwptvDDSYdgBSLNPWJ83or71RB7CwgARD9KdP
YGJzy+IdSFDc0OyveeHFD8vkrYn1XSHcfWrxNLl0U+m0Q5H0MXlCexYGWa4KwYxGtsy+hQlr1oig
N13Mdc7EYCKyMSvqVRBPlgrMakru+lUSWjKjzwIYOAwtadgMa+ShNaL5fkww83iOog6rZH1p41Sh
7Yvl1C7K3LlO329bViI+9A3OSgzMP2PsNGCWVewbLQJhoevVl8RbSWAv68CKTmSBDt9z0UVXgHWh
PkU1I58kBhgo45Bs4b9Cq48UensO51BO33MzESfi7MZq/e0yw5eoGXG5Y1p86Jj7EIs1YJiAmMCq
yPltyIZSg5iMTByXmgTUlqE3Sh6a+SVRxKfU8eD3s9iDgh0avBV5TgFUFYBSUdfv7KLZeoa6I/1y
gxF4k+A3tMc6tOXCA6tfKwLJI973qGwuNy88saTBQKltusNV/7/9HC8qQXe1yDHPqyDHs1Tlsy+N
qQ+0rDjABG0yE24pVl+NHu2msfktbBya+GxK4Wy0In2uJtpBlWRnO+vfvcq58HJg5jM3EbHpssYa
g/PDjI+xSk8xNLVLw6X9jJPOoUugRWxc+GWd01LsGwuDLK0BnP3eZTFm6ppvZWz9eEZ7qbI2RPug
zHfqLEDFyX+qqR58xs7Ztpv7MBfeNhsFsFrH92UExIVtaWz9oitBdNPzzAwG89NDFV/5qbbVzPxi
maw/LTMOIFK+UsPFAmWMYn4wLXptY0ZqyD2yz4MJL6897/IC/Qjxx3Oi10xzQBhf6um5nn68DBBe
ohP2xTVHGGIsROLb/J47oz9Uv30qn+PWYZ2dvDdm9eJkahut02+sxq0JQW6PaTgOGI6ZlX+SCMAw
FlsJMsN4syKkj05d7Qaj3JuqIDQGMrUycoo6HuJm+EjjS6Wnu4GbpZ+HH6dWF4yhQRFTKzDIhuGv
bX+t9J2E57rtpVxdGgpPHpmTHIZ82I3uC587qPPlccSYe8tzWIavQS6h4kFuh/Tkds2drMtTHdOh
lelTtcYXb5iPajJPrEs41+tywSjrmQmlIlI3KqbKl5Ml9XMZ13ydk3mk4rvX4zScXTfQG0YdyfyE
3xVbW3ZsPO5LbbxPrIWYB/sCr2NAlsrLbCF1a+spWt3vInY2MfnuHj5NDRdrP+vPfWKcIuNPX4uD
WJ3TQF3dIALmCxkfLTkWm77hCJTjJy/Br2drFKHZlgLpvlgOg3NllvmUiPIStf0lI8+sqZYrNgsm
zEcP4cRlVetyGzBGYpcyI1g8VLipMZnWartO9lezM1+EpE+6CaXuJL/Zo/vTFBHeN9upUAOqQ2kb
53wovwu3eeZgCuZi2NYEfy//70I0WOLhhn2qf90GpUNUnIwseVrSBfMTkq0zFe9OXbyJ3DV8gKhL
EUGQKu3JS4lOTflilnXbDNxghJFvb3MVYKV+Q0UC2hifCE7AoOTcMUul96h3BqOSPK9PNZmudpMH
bj8g1jFHIrm+x4DN13Pl8TkX8/JXOIXFlAtHQqu/VgQ3SaP7i6EgNtrak62QfAoKnbQYnib0eSHl
XsVQpJNcnyObeysRJAI70Vt7k/Ps/pkIUsZ8GLjbfp/CZgFoiF1jE5BXYrhL0ePhZB6HXnsw2/lK
ZnqYWcaD9D5Ha8XbXvu6sl+d1L3Zy2FhcroG0+Z0xQrIEhz+MPDo+tWkgj7DDDD1ySvNzKHEL1J2
j9GQfxFE5MvmYdJN3o3iaKCg9CzQ0rsl0KIubADuS+z6JVNXJ5q2TpOcTEDtwT0OmUH70kZ3cwuh
NfZ7aVYveWYeF8wQS8ql4g1bDR41WnG7kQZhMg/u7Jc2mu47qTUACsrdjJG+ZUDaGto/HDI+sghO
sfR3tqzrnE1nvX0bCfON85gvMb3qfXHEIrmno7zT9HW/juXdiD3MW0xcyCxCBbCg6QCXYcBD0+AV
pGzFFL8ZQvDYIzvnxc/Icg9k8fYwMEMYzP6HMu9YWtQXbXMzgFhvpjHuOqEA6rUHXayHNqleHTUT
ZIKFDn5Xq8IZtkm08kF28x4/FwjYAYOOzUkZc56QPNCtf2tREtuybjs1h03Fbs+VYrY41fMrF8WR
S+IvImhENNrG1V9S14MXhRFc6CGwonmt9+JycdE4B5m3qNDJxGs+j7ukMvaZqQ7OkG+1PveNmVuC
ebZL9WHgeCJhOkntIB/dBwv5Y7aYwndfWbMGaeTxRLsX6peD3UebOBpDq0y/qMU2Vq/5JrStBVDb
IJq1VIJ5pQXVnId2Y2wTkGkddNdYaPOamQV3uveiNP0XMmRXlBTIDgsmNuwTO4nC2yYx0nk7XaHa
zspG1LGBbHoSMSrTCjn4gi6VmM8xfterdq4t700B1w5JjTHE+TfXmOuHNUCePmQa0ZnYQtGR2aa0
2sc8Z87Y6WHiXbXJejdT4F93wOSJ9URqWyk6fyECoo69LbOOAAcYKvEvXQH3d7UzevNvHKJTh+Sp
aS8uCSOBaKarVS5HCzyiRmqrwEM3EKN3kxzPymkeuswKE5Wfsxrsojb/3UYh6Syuk2W8zUa1J1tz
J2pzt/YDw3r2pBAU5cz9oZg8vIJVmIFWr3Z8JKD+2Edf0ZzfccEx5iOQoqkoGu0HzzBAsKuQj/1m
WukjouUHoX/dJpYIabhfEPytsKD9b+dyK+OeGOKXBUPebJNvYK8QGFOGP8EKibw8iZbML4bGfTRa
FBxdDF1H+g54aQ5KF68WQ+GB9QCfLpPQknFMmpmvM+sYNgyBGR7z2EUfTYVle7i/8U0dhp5F8Ao7
z0Q/wVrpwgcuDj2EAlHuKrvbeVSkA1pbELkXwVSgVxdzueT5V9v/6W3lm+6fSfyRxblkRvWXmOmB
pt4IViM7Yqr7TCbvQPIu869sui97873WHEo6iAYWd2AqWs515vrSOZWa2Nr9dcCYYen/SD+66wsr
HBf5V+N5YPMzuTKM0kiuqDp1nqxvK8Nnn89hRibDEkUbM/kbmgVEWjEL/aOHw7Db/aQZZtZInh3y
trVeBWXfIoAll4Ji3IX7pu1PKpPKl4Qr/FlnsgX3aLzk2nLkqbw/RrRXrux2eXaI9CQAaOAA58Wy
xWnp31VXBlqHK49crGfGeiy+Tue7sTC/nY5reR3qO8rgjxjgeuEo4ETA8epaVLBOO3wVdne1tJvj
svVtV5KgEX07FayanbSURU7tD+Pgeza0X8GvWk9KPx4yXIvDw6zyl5Is0qG7qdU5yRDgLkZKgFSf
vLX81Sy6vF/K5hzzC50ECDa2doAWJA0Os066WJsf4+i7ST+4mHzrNsCzXWb+FowTZ8uw8nOtw7Kz
y+T2S13e5tT4TFDeb+sKf+1WB5mVt1gMTO9JTDWlmq9Kx1gvxLW124/UcD/t4RXZWg/FEu2iTN+W
dvKG6PaZuPdzlf+pZXmpyl3PvY7DgvCUDwLJtoJGqEmfyAb70Kfq7Bl9ENXGl0q9f33UcIqdWI3h
d0X0q+nmviJxyyZpeacr4okcYnh8j4XkAU52braS1Ij8HEdUY5W23OE4Sx/deYk+u9sjmZfqJU1N
F4qQOSHE2II8LNLQLdz6QTVaGTDVWAL2USQgOkLHb9m7J7txrYNoFIkcpE+FKjdPUE2R4FVIeH3J
O9xXGAiD1lJkaEh6e2hxciVMgj5yqXDSF218WnS7Be9XrT8bJl4SzVrAdt0vePivdckZ4XjNpxR8
eaVxU7RF/Vi2db6N5PI12QY2P49BoDbjZa5maW3SJX4ZWod/0waWeIv2ss7OsGstFNA+IyZwMudT
MmjDwdagf1AYSOq+hTmpllBWVLvrZDD2Jkaw8OOK+YRDQTna6RZwgP9NySAL/vF+XNxHd0wlKmpp
Uom1YSQwGyaDkW6ypRI7N1nPDsIhBy3u3KEed2PvfAHe9xScLNCRMas1LdC5XsZIg9U3C1FJLzD4
BBbRpBicS+ZNGxEbV5F7D6ONdm07+5w8RZ/A2gSTJFN1d3hyq2Hf6PwVaKqs6tw6bhfMqjoQ5/Tl
opNI5JCsj66axuR0ufl9BvPsdcNtbqU9F9STaysDxt89ApH6hmFkhjT6SSFQdfBUWdUd/2sgdn6n
cWSmm6Gx8aeo9TufeWG6NZnDtaS1nQzCUxK3ZNg3dxgC9asl3ANfzz9iqRycl9qhcoqHiRioUS4P
yGRV2ElCrkwb2z+QB+Jq3mxtUZxljS7GVPN5Am608/kt7dEbMshDf7YKKDl3OJTp6jGIbagHPee7
G1fnWpY1slfU1SSqy9gnUiZYOY5SQsJYZnhydYrWPun/ESyMu48W2l+t4tlQ+S/bLC5Z0WNNVI+D
0J90t/5nrcvtFkIWIzIZ89jY/DimBjhfJQdsBUHTWZ+Ri/vCsvG/exlDqrS1YITLXyN1DDBBTAp9
TWFQVyjKFihh1Tn4FDFxON56EMkCP0Aw+WFO2/vGSS4w7f9WyxBHutJvfq8/BAPrLAXHem2IK5jc
503bqm9VCat4kZ86P2kJZmC5auov0mAXGaOOqXOjDcGioz8lU+In2fRpqPWtx4c2r+tXfnN+t9Gw
bYVFTlAU3dV1fhEpxxxNTLoZy5SQoGHNgSrjLVGJCgaBCMPGmLOtyIifMDiVfYtXa5Op+ktF4mnl
5a54sfkWCaFSgpcxIQD5MJhowRPEPqNA2LfKIoFjdvTfEmA9XHrMLtyVr17Tyw0YGZRgRpAM/W6o
BMp1Tri2sWBAg6v/TSsom3aSLfFseLxkS5JWCV/BlsB9X86/CADTvusFPqxsfGBz755BN91RftCA
E4lUm4L+JnFahYY2DxZCwsyRuddXYblhwz9g7YNcmWaqT0tjTlEsl0SWON4NwkmiUafyvo30J2Gc
bUKXgrUaJw4Fgb2XxllmHLhmrm0Z7myTUed2LuxTZsdqFy3Ncz0XX66Hr7VsjF1B7PAmm6kvx/jO
bGngSCbeTGSi+LFR0vLl49aJopd1ce5V5fxUg8clVQdFUV3HrvlsFehjrTGFJEc6SDNaHCGeGogy
AnQqK5h6m3ThJNLg9+tTW0Z30PfnbhanrDP2pjVIlOUPFjTo22JxnoicexlduAvIn8dqGX7yIblf
BhZDZPKSZSg8JbT7zbdlJca1S5FChCh2aTPcK8P67Mv4bZ3GV6MVb8j6lKG6eWJQutWVhsTs/RPA
todk6udgEai8aWYM+9UFhS/WnZnov0y0Npl9i3PEsI3VGeumvVnquMXOT+bg3McEA2TUNRyWkTUc
+oZNFeCCHzRhJiYjfH+O2X41ObMnPeOcZCh2N0/lY5bdqsMV+lQX5PNlHQ9HZnf3Ve6WW48BZCoq
PcglN44GYKC72V1OJ7aRJVsRhUohsW3Lu90C7wTrZBvskx8ixnG/kuBhq77cSKnwD8lRbuOuLf2l
NtuwS6YDz6nlM6B/aoUL94CWamMXCvORB7COFl5phbUH73W8xFcOomOfiW+3z89zjhOACCLCjwpv
DKO2irZJA/esC9gdMZ9SYd4bbvO36mjzi6ROJZ0TaJ28lgNbEy89fz72jD168xA1zrLXRvZaS5ts
L7Ml9fQ2TFszsqzaDFldq9RpIcMySO3+fnLU0SQLauWNh8XZEYGRMoAcT6XplCG5ZZh1so64e6bi
tuY+ZrX4Rzw7+4wHj9s70yhDo5v0xKhgrxzu6HrknF1yxeFUEf6D7pqGgy0fk4RzhuCIfebxTPZM
fCKAH5ApasN5DJPe++g1+02SYROl0QXz0l6m+oNXpkdbY8hQawXTXPbHbGjtHlleepoIKt2MC41q
4xRBoWoSGQSKTosYhL8ISCr9bMEvVhpuLY6/9ZGUoVlwYqFuw2GKA1U4g9h5SJ+US6pIIav3qkQU
xZsWDnz08sboLsOIVlMgw9IdZs6CpX0Zsy0pzKafxL3a9x5Jnlh0unOsj3TgDWDOKOHE7CmSV9hw
ue+i5syO+QchLGNrVM6Ll7k69mhC01blkEYosLPUKTGVY9XqgSqtDPib3l7qa0OySfTnDWT0UJv7
0Lb5NjOQgDF4gjW2t0AERNDG5qSZOo2TTD12zUTzHL9mqDhN5nw2M3q/ReY7+1O3FrCCbxblpSry
Vzgqvppbtn9C4IV2HAy6IxNMIOHMBwNfF7VXUnteXXEdpfXK8pyNzdjfXfX3hdyqvE4JEBbyoi/k
nKtqO3V5uI5DsJSsaXCyG71+2ydsEuzY1s1LTzxe02GDtBP9UzXTgYU5B7OV7+20fLCESydCZWAo
r1kvZU4QqZUJY5+ymwAaJb5lxS6MRAxzDN1JkFriNeeRdZ5OLNtN19UfzBruRrThTcyYj7w//SlP
KBAbx35Z6/6ppyqwqv6gSTI9+nV/6z2zOn3WEu0Oq/ZLkjiXyNNo79XJSsyz6O7lggBFl3PLFfCN
pj4ZGgEQo73DU7puGkRbvyfViIC+rdXNF6fCNJeW81dcP3lZ90Ie955B7nEo1seq7ul0SNfIWQzk
aAi+qHGlQrakzBoS+cIz1fkTJKrAeYbcFV1Xe3l3+2rCNGj/2S0xtDE9mI7myliCCOXMocO3fB7t
+ATj2N4g7ZexiO+XPDoljAkHgljYR7rhUgrkIF7IwP+XL8k20ss7hYyghq9cLReLjKgsd99QhO5V
4UGtMnJR/X4YvhgAb9JGp46jW7TWc1TU4y0h8rtGyA00od2j04HLZm9gH35RfS6SvKvFeLEZu6f6
dK5bdewkxh6yvzbVAMwBWo057Fz3+nekg8m4XMKWqZ6H2iFEmZxGIgniiYLU6/8QobvRPgBYbiLP
3grZB/UKfjYX8qRxmDa4mGG47uKxOC1Tei69apcQRN/VGF31ziLAJSpfo2Z4MzXnWIDXJKP2RpQe
GZv2/UTBgpzr8q66lAflALJU9SQ9dl0SRJbO3T8s9k7ZtLOV2iUmgkCXvUVQDiwHPiaeChBM0GEb
X4ua3Tq5ZBB+sg7oEX/ZHm/pZ3RDjsDkDxkagCTu19PmZwvCz6q+dMQ0owEiBtDpjZX8DMfE5ADF
XMb7YuRJWWL++ymwgMm1NUYTqd5lffW4ceM4DiyLiAT1U2NNpQRuANnX9G1U1hcCDcLwrL6pGp6w
kQakIO9w6T320g1rKa9tIf9hviDRYzk2o/ZL2RoOEaqa4T5OhAiOg9qWjscXXgV2NPslxzAm3jV0
VuvgIB/SWlI3gTrF+Z/IsWgvKWwpMsaaT0fptMzPqumlpY/iLt8azrgz3OwYWVi2pHa1AIcLjZlw
PsJs6k9jZd4UYU4IgiYMtkZsM/QI8s5sovqj6awsis16cS+Kif5Y6w8kdWJqtXLGxutZctIzO8+D
NuOJ54fYjQVRIrVJZuBKIbb206dqnZ2lrVSK2vqOIwSlVuy1TjtjgH6YACFiDGQMY5ckINJzD0h8
WqTyl6x7i2fgMb2k+Rj/TOoB35nBB9q23CdNdDGAybCInWqvPnUeEa1RqejFDVsytxiyQOUEGOcs
ldxIIfd2ZOxdE8ex5xFP0+rKN7rC12Y8aIxCCOPqeJorzKWN0Igtqk4zyZSBWNR7XHdvSTFw5MxU
OOwd3WkF1+ItMz4R2aGlMmeHHRoniXou17I0Id0NdEZymvMQbf21ZH/NxpG2P3mkPJT5IsIiEeJE
1/psGxaefPgzbh4MTbmf4O73vRV4vh4/raq+TnKB5e42gyvuwFT7jaiI2kva7qFJvc+l9GZ/zKLn
1CFFp6EV8JJLc4slx+y+5/h+QZQOImlvDLkc+9F6pGygedc4VrWNV053NVGAuOikQeIs8OWkTScL
ZoxePaiZl03saKydb5tkkaYkAwT+ZaW6q8H6ciIy3Ce9fCEDgrfMxbTfnaqOZp/xpQ7hleRvmG8I
RkLQJoiNKKOabqnU6/249ifXUU8eNBxhQQIte+muSDsZKUEJHRsxXTP1FFqs43HbemX9iOBZbxQI
6JJkpypZ4DD5ilAM8AY29lukkX9bEw+mDElSVvJCseobygxZnPthUOtCXnKymR7OnbHVlgPo4S4F
dN+UToJTxiZCJ1HeQ4zDxMm1tyYrH0lMnig0xQNreIh6cH4WIz2MHfM2SSQsg+6JUgz6I5mcYue6
XTg0wy2jkbnLzDrRXEv9Uv6Sa87pxSljcZs2eX4cKqoF8clsMuy7DHXwH5H6AReMHxX6eW7JzGNJ
INtEbnna8hLZGfJ1p92vRBVtPPiUIErmOtDF8GZL834doHMiaV29xqMRdzSqsyw62gyYB3DdQBnu
1ptazt+VrtB50kXyVLKymrFxT6qIQ3DhojdUaLP17czczDDJ/3F0HsuNI1EQ/CJEwJurCENSpGhF
SXNByMJ70wC+fhN73okdDgl0P1OV5YIC4cFeZCphvU2oFasr+cwospXvlim9ZgsPUyrbUWxLE9bz
tsGfnekvNRnUgRTa13wuI49S9BzndiAPSK9YG/xEDfYzWPr3Vsps6AttRv5ODJWG8GYxJpfQMF4Q
4QdpnFA9oANjutYFekZNM/T0bUkN96Unj3Io5tdKdX6JpKAXYOjUoTWqYja4kcEnq2B7IVQ3IszE
YOkq42Iytt1UGbMTSx+QXcR3fGLfcZ77LQSxvtZvamG9koCJZEmL4T61WwC1J2td2NJicjrnH46k
3GdL+xpk+2WWJkrL8HnBVcZUBJe7wKRh1kQqhEy1ewNycKo2zEFHcU4G486aj+VBjFugMH/N6QXj
BfjgFt9GbcUMmcP03ZyMS1NpxzBJd/gu3dJEZcieSB8Fsn0+g6y8jYmyzTmoo35danQtjRtfjkqx
HHYceIbk5bbuy8IEawATaJ4XziWUKKW7FMq9XrAbWGEX4Mmnvg/d2KCdACwsi/YDJcjEo/Wh6OHG
7uwte089UFUGRmMUHeJF4UKMGGmzjHkruQoTJQbKN+/zsGB6r14tveIBkml6WmqXyV6OcbViWM1T
p/eHoUFp5RAlULERz4fpt+VdLpcUXZUic3vKb53GVcDs4d1YSLhQe+mFXtINZQnpfN5vJqzXs3wt
hLphwFGtOqaNJEZXcKml6ITDeDzaiXbQhbNFCeEqOsQj1TqHusSbbXI0Z2zPGbuPIzMb5IUJ0++E
uQCNhbIN0ZzF1eDb2jVG8B+NEEJUlVo2tLQHdtwTY7L0gJusenY658eYtC1u+j0eQLyHYYZlAgWe
+a01czCF8MjJENuJJqUkyM7wUH4RfnDNS+H7qKOUxJKybPqkfRvC7rqE703CfiOd3qJcXJU2LX1L
BZRB1t057SZPjdDZZRp1M1twIcvPZjsVzNMyEDKVvdHhiKoFSnW8BG44l4s7LzinZOfSLqWHUcab
dIvfTiReMY83zcTIV5ct+yQ9RrrfFX+aOVy7SAmDJpyoJBDDYsUqkEwjy2fM1aA6XkxqVvMazc23
nHAbMKejS3di8wnltW9o5SGyu69IRVHm2NWmi6yCNoR/P6tvZ+w/mkHJ4UWqHo37VlYUwnlQONZF
8Q8LGMViQz3JE3ph+n3lm9jAStkPa/WhsTez+62lOM+rCleUqq+bqFUcw1Od8p+EPFbuh53omoPT
J59MzXZJ1TIRYdlFQlbsapII5q5+gWu9I/CNoYFxRX6pbGQMwGzgJdln9vDbIMUgzKeigq2DQVO2
OvrJklWn1LL0rZxJgSfSfQ7TrlTxrSgLL21Elkkk4PqMO9Oo3vI5XvEgaOlnwlEyFv4MjdGngBRO
rdZvGnsr174eYa9Vv5UQvSD/ImPLUIhI5NaAZgX1dRYS+gWIlYN+mwRa8b54iUK4aWl7Z9OHtg5Q
L85aJcwv4zRfFs24obQNJCvbWRGTfrTUA8+Kk8+HWVCYGYn2i50XwbA4DSENKSe9n/Koyi3KwLXC
S43B2agzty6/OA4KQ6qoVmNPLhcuA/JZ7HaUYJ6nfCByEBiJmzgbbVzmS/NJAlOxISBi5QF3XHB1
yTfHklqlugXl8uSwOGUrAHqt4DhPyu7X4FxmDaF+qMrw1wjgt0V4p3/b9otxWmLtKOFWApwvccNT
akl4dTZKOb63a2OK4ubNLFEAYbP6SEbGLEp+qx1+SbNih2ONT4jIqFV+NbqWLo2MIIlwPk3SJiyw
I2mS9VbNZKIAu/vqqt4TiXDzMOTuHRNiK6QK3zvyHTCCnpiAhY24feMGeVb8VajIDFMJ6j5bwJ67
WLHkTWQp1Hy1Z2mpZySsQealZz2N6s/oHQDBLVuwjMtWrtODiDAK1el8yOfcW3Sijgdu4DbjRxbq
EaTDTgcQo8ZE8SQZyMewyZ57CaXgrFMaakSnMBezPxtcQoM+PiMxqlGPDODo41XpXZbDUwxU2RbG
rRidq1JzDEcxkmDCCKQzySQOdUJ7AD51MPD/VaLdDxqWArlBefPDLHsjyUy4M+UfjTq6LAkbD/jl
66T232VbtZiKQU0YkfRuT+atqAWlT2d485j7OH6RzpUI2FMzcCg6n/Cd00iN1g8O4NdqCR+F0n3P
ITMxJix7dfhuNQbBehYHCxv6EI+kOiKzSBKTSA1V/JXlh7RgTLDtW0kHQjBiUCzGsyZuhcU9paAe
HxNaYstRDvyBa9hTwyNbOZuy+Dfk9gPfJ4oi4COBkUw8h4n8nmbKaZyso92NfzH5N5zSdrU3QuNe
2/X3JGNIr9f1l8a3G4WgFuL4uRAYLU1na9NsDCm+xZbdTNVrflyqj1yuf3HZ7jPtxcDmXzrPAIPe
S+YKam/9hIn0UvIlt9O0N1P9bao5tdtsRxT6wbAYEYE47SL5bEXMIaTimAgWrpSxi925gJJ5ABlw
Ja0rL68mi3UCHQO9Z3wvPc/xqeFfp6B4TKmhHIETI9yCPlqPPHyQ1kZDiplWDR/9JQdBObN6rBCl
Fqhil3yLXQdL2eR32O1FPO6ILnajji4NXfOocGQtjafK+d1ZRTIccgqd24IzLmeoXHbsLFkFb7S2
3wyRfpEZ4Zd56qHXEtHnuBq3qleV8qRFus6k+dqQoNIDUeSBechTul9WIaFUBJmJDl+bosOQfBop
m2Feq4aYAmavQy1trangxrODyiiP+qIfbf0HMwa/fPqUY26dNToYq3xqrUfK7sA0kM1FP/bibEBW
3efc/GQVb0f5qqUHI0nmynbsLL9vcZnbPSM59YsttJtOfZAx5ZCjr3KFmjvCjQvW3P19ZPo0cwNW
krXNEoNBTUZrEgaZxvNeUlfJ6qfJLUPwDh8txnHIIoOp0gN+xbEsa3+OP4mN9Q3L8ieotKvMG6E7
1IHC65j7FTqbTMtZeaRPE7Nwe1Q36oC1tyn2EguKvG13DWv+aqX4RgbzJWk3ErfVMmIb7EOKal1B
39c7TEsgdgmW7ezwUKzQG1Ab1eVXqaFviHBjMjCKQh81HmbUKGilYa/KH0aJQGDRniq4SYmGNrL7
kLQDcFN+fhgA433GCDNyGGIgp/zcVTOYWByi8PFAaXM6c8V3Shc0ADfBqb4M1YPI5U1uh7Ubx4eu
1VHWaj/NzLXHtVIXDOQlGm4WufNNHQ65uJViK+Nrc8R2GXbp1LgGUaukzjPN4dqx8iAdM6+Kvm3m
ExnYEWO5EmrhyxJ9w0pLN/cwSF5svfRNxApOHP2z5egwl9qfDoJ8dkA3S0q5GdTBjYYITqlyN4qK
KXLrkLhgoXgaxh+dczNCjySPuUcIHud6P/tFw+B+UnHmtkQj0IRGuAPrPbySg2bbZ6OYaaAyDKXV
T9vOp246SpB2jDF8Vk3JmxIC7WGOJexwp7kNOu5eXdzoF1Lty55iVlvbidlcLXSqMMUTIO3osWHN
UM+KBjsmQ+6CF5tl7rLOgTqiK+phxziS9QeZiugk1aU+gLDsdfGURcAZJcW1sRtVCynIkbVd+s/e
YfBpODshLkkPzA1VU4Y5nYKJ+frS+Apvkd0Vhw6LqP4SxeD8Gnp8pbcuGK7JRDj1zX6U7yrvopK4
uuRz4DCl/0wjMMfKW1vtpJj8HXERlBfReepey+yl11USE9a9xTcCpqeadZCteNG6NLB1T+kRuBmP
lO0MjkhjyreqYE1fAAROZTcZ9KfJWptOsiSq3u8i3VsgxaqoyAv08TKYs4gFBnAiXpdvfYQiluFU
XnHS8Rxog3zVSzIOrINs+XRJK6xeib+W9q2mIYoWRnXUkFPMt5tCwsK4JiG1anY2F4SGhl9o/jr/
VIp/iOvy5lDPnyUy6hqL1xL92f/CGqdn8lLSnTIKtlEtKlyCEANgB20M2BSmZ03/EhnC9ontijn5
bKeZnGGkC0QbwHGMmqO1EsPhgaXgyqAamjSJRu0XNpHRd7N1R/THZgcrN+HI7w5G9Kvj+9OII+sW
d5SQwDgvtrp4fTTtSaF9knQ88lm5r7gp+sIhtaBl5jh5Lck8reZwTuDiwZMYaVh8WMYy0PSamLue
+pOYPoq4HeE1TvhjGqTlZS+qowWTLW0KZhg2++vZWFW+RPotxUF3drxzDJ4x/zcMAvEGqOabE0Ni
VbMtKt99l4B7NrPfKpU2fdX+DpIBeFBGAzA1PRo+/ONFoVzXmTWZHjHNWBzDaVjElx7Bsa8AkxIX
hod4JdLn6aujIkAyrPTMPh+kABQbMBoJNpBqsrYkyrkF4wLKPldL6N1snzS0eL70oYCtfNdrVHkY
EcbyaVFvOZTKVk49gNWY/oFMDuY+7rSN3PZni0qSLcRbZVAUsBMt42RXyCdbBuV4741zNB6ZSj2p
tMXSQlTN8m9iIzXo0jGrPkYFJwTSQExZhZG8dTNnew2rzayfjfEmpZJnI4MEOOj2ibU3kTSCK6Nt
coXxLmMkQIgCxuipoElj1qJX28J8hwRuhZiRW7dk0llWH7301qEXUZLOs6QFMQ32QbC9EQFU8vqW
cV9Etzp+GPK7bD634csoIuaVLzP45h7XXs0WzE2h9inznnrVtNjfMR3WvzOk2uuKAzQmC7x7Uc8s
BbJdNzq+mvHukoBTYHs1COHJ9fuwBLpzrYg9Ai+KMrLaqRi4R/1baSa8ry96ChooIMfm6CwfAkMr
EiQPcJibQK8eaMAZeJbGy4zSMXm17F2u3OzqHYKpQai3APJo2ts0vJk8gEa6WxQfuQ5jCEQdtvJO
GiazC/Ql7FX3q/xw1fiKaDtOgHBJwHpNnBeThTpmFmfI3WnwGbsZqa+h59VYeSZ4eftrSO6SgZDU
yQ9xQ6aE15EUwxMqsM+GwvKxHx1qLlSQEetd/ZRDWyBVj5md4SvpfHWqQQLxDGXM1Li87Mh+Z4wg
SFLg/WEcGSY4l5HlYqx1XhdtvMjQMJWRIZ3U74c22zcCv0p9qoqKvv3Gpn4POf9cwLCJK3kzJcsG
lg8DhfopZv+pZM6/AkGmRQUM9ZEBvuXq85FFILxdhXwEfocOVGbS+gbJfYwKtPbRwKvqdh2RWYt0
Fvohau6iO024IfOgzEvfVvPvJOZBlfrqeZKwZEH6Y7O70dBehrkWgMf9N5N/Q3ya6WdyFpTo6y1k
886IWDFVDn2R/dm4JDpDXCjs9hLZNi3uda55tlHKtmRPJpiOR/mhrcV+7AhRkRjMrVHB+tyDIW6w
S00b/j+7Xv7RbdmVExMiFkVQPf8smnwdy/Gx2MlR6ZbAlBiojQ2nbqV9RRZOYDhfS2E86RJka9bs
WFTABIecLxZxOCJckKelKja630iqz8PsKYwp+o+JXa/pPCUqGAAiFlmkzLu8wUvyGtbUS7Pbz81J
myY4cJe1WYZfsw3n1CO/h2DI7VKITwIQkZ2gee5KT7LGfUYeQdQXb7Y8b4RCCOU27UaOV/HUlsO5
S2FV87YeAf4xSStkJn+y26H2ZGH6Xkjo/TUjGGQAqvrvWD8vVNlWcVwWNTAZ6tjzQVJqb2xOEcwY
IRGChbeB3fWYykhZu5cccxOpBaEKNXYvhX5FU5jN2gEl61bUJ2zynCjETPWIoxbkAYkhbijJ3ZGU
qKZnFJfJZ8UUwdg3r2DODgYqMKVD6G+94o/M16RKWlwVBYahSZfakR76wFKLgixU420GDqwUZ4wp
P7rknKt6okQs4JIQo0fWtGYB8Zp5WEG3UDEBF0HEFroUx1f2qGABViJQHGgJmKlW3zHD9wggIgPy
b2AoGXfvMhXEhMUJrZgT73XpvWR300rfYip3qvxjwgbOBXkNTCTa+jjWDwD5vNyU+Xq4F4l5UFkU
Y60NZgEXnYn7aHNmMr9MxMaxVL9cke8wskv+WLykEDJmv9ERuw39tphwXLfxjliqe6qH16Q/DvXi
q9EPJxAKcCwXAhngQldlUnnn3DPSwdD1XQE+ZxgvPZeEfCtba8e7L9vfMsVg0b937aMy+O3yXda+
xnjjE+rPNMTJ00T3EPVvjgYXiYSXGQLt+PBXrmgEEVNCAfKlukXwlEMXb3MdGKrn0JebNWn2ODfy
2nQbDaeV+MDAGav7NlK4iqQdlqWpZkyK1luv3+b4sUSkAkX0IjF9YXEmO4y/QvMafmZ4m6ehR42w
oKq39x0dTIKrLdHwNWZXfHP8PLkX4p8cR74pMZEVSWCS4lwnw53T117djeVMo36RKtpTRQqgnHpo
qSypPxYxWt6C1t3Q3kK+anSgZfllWxcbll+DhqGsThNrQSd/dM1Hpy5uZ/JkT+8i3Xcoqmpi4Fg2
8GnmX1Tk+AoMThBru965dtpuSU5eey6qFoW7u5tadxZIm4V4MkCmsZLdyA7EKdxYydz5Nbzhfmbb
h4GU8EYcegsRP+p2jTwJpcpPUZnT6tNKwSGwq+fMroO6NYMQt76syUeEkHduCehxEnviGd1XshOD
5mVZuBkapi1xuymxY62rKzwlLn0oet6jNRiXBO62gvrHNqZtwQtecQItgO4WSSUdRt/jVttCXjkg
MNzJIWVXnT3wH90SogEB9G6mZXSb2QEHw+AXUFZMZFbc9k9Eq3pJjhmDt61WmWCauFp57avxR6bc
5XJBX9SFO9j0bo/4J13wFmTKFnTxbiyci+z8M9LkFJOSEAlpWxvAxFtKXA1sATf8rBf0njJIWdkt
MBdqaQJZKsSNOLtNZN9Si7MxgcoSpgGO8QPm1J2J2XpjIb86LSHbYKVE1ULZZSbp+2hajDgsuoVm
JgqDdVX01Ns5dMI8+23gzpYDnMMxOWbq9LogrMqskpzN5qTitSyGPNAH7VNK8fuUj9ZY7nn+25YR
Yi3xNgnyiBXtJcId3mjpsxxHJyG6XW84f9HkvMXsaNta5jdZr48zODUvyq5dwXFpyD/sT357ZXRt
U/GGWZDuV++B6YMrapAeNsgAHmWFvNBZp6M2RVu3QPm2lqDNBg8FhmvrxfM4Di9V3zzauWXsdMh0
qMZIBhyIWYbpQ5qXpBFoS7m3mSvF1XyLmaSRwh5YlnwZCAZdKFw7eWTuq11x1QQg2Bhhv9fFeTRZ
+zt7Dmz0TrPiQSr3TSE8fRr3nCdfWcJn5OCFHPcLy+CUxXgx8dbrGk86s4eUz2FTouRjuR1s/Zgp
q6vwqAhnxOWkUiPDuZO+YlxRvFfWx4KkvVc/qYByIhes4mdGcJunkhtP+WvPYRIr6QeATg5BPCVy
ZD0lsOVM/pep+oZciAHHb2+wMrZyGsmEXsww98PygKf3f8MzT3gPlewlDj30vr8RX70Y5I3BJYa7
HX4ItbVlpEGLz6oCo1KVCgz57zG/T2SajWbjqzjaRGgiWSRxQGejZZvHaa5ObZW7aWNiJcRwW7X7
petgZepwKknNmPrHiH2slMMXsdSewiyVO+kAc9i1WuZrdXxWGWnYhfTLKPNhZK+p85M0r6kE3TQ0
CDYDfK0Iat3O1ZfTXBv42HqIRQDpdPmz1rjPMrTqhoJ7gLd9AfNpMD4oEWdYc+tWVuk3FgEqTrrl
BnHFQlpgNh6SRN1nPc46cUHMsNPj1zWxg4hJvtqE+izzECSdkhxB+UC+TPueyBAFhonUtx5swzr8
iQ5SMnhN5qDjUS9R1mxVRvMrhigc6YxmaBV4hFVpL2yqh0HbGwmL2DyGc+XQUVOh6Ul31Yg97Wn6
IfsaCmVTafsmN51EVCLJcX9Q8XnJai/PTfJLlgTn+D4bkLiTKtRUkWdEmGTgpB2H3MApn3lOrYHf
jHwEM91gAL1gZktO9VRcmHxds7DHL2DdzXw9hNh58jc2CNg6Y28w11MdM1AW+UMOV8iMwQYQRovU
0+WnaPkyPkIvoWUuBuUiG/leHobfbOnAG41fGbY+qmlQRvGErGEqQApnWmY+jcP8DUzw4kzDi+BT
boolR7yB73NVyFPQS8uKjYCFUxSG31rtzJeQ5XcUcd2pnOfwFDfVq60T263oHknfXPVFc8sBYZF0
1P8bNPgLhNJxRJQhUr1Mu89x9IPv7SHF2S8wkAdjiN9piam9FU7PRkCIScib86yG+jWtlS8xTLQF
GsuhahaDpzUC87JYOhjmmRHAVnueYWGH/NR1OyCJNtqazr3KA8fAfpBMJzNOO7wh0o+mZWcSbpJg
SSaWW+G1oHtxO77YjdCrGoNHBG4l019VweE7C7yrcD2VwJmJeTBW1bRWhgTk8G8mDppgR8UZMBhx
QDSd+ldneNqiXEO9MooXC1c9c0sLS4dsSpuxUhz06fVNZmK9ToXOKoC2DaBJHhXD+IiSObCz8DyU
uR8t1b5v5W2scvqW6t2mpFRKLVAn6wVXv+UqChwbM0Mrrl9bjfE9YVxPumj+KhkaeaQ+IhCv2Olj
wNLYRg1Z2sdtee8oep8KDWwEfj1NiDc5zYD3ZPOrJievRaubbjmYXOWgCRPgDZkyPOMVBW7ao2O0
gnINGM+s6GTYqIscC7YtC9NKZidoFBJDcQvHR3YYSbVNZnEw23HPwmYLy7oK0mJ5Syrc4fDucb5Z
7hjRRY6SjzDtKnJGj2GN/tj4tEVzxlDmaalzlieGRhOCEDjqYTZ9oEg51FXHBAYxLyNJLbZIb2sf
BCMc8769GAoNKZ5LPOiydVCnhaWj6k8kZ7crVoojjnnIq2DkjvPlWuk9tARZ2TatuRU62wZmFNxn
Tc03PBQ3O4ouY4LUpFXt56rLv+KEwXFHFNPACCBe/tiF/NMbspXF4PZa/TYa5F3FGrO0zLhV2nKb
J1Zl8DaIoTCzgxRy4hCJ65iaQv0VvhFMdtGUmaF0djKL4jHm8VH00eeKVtLEdGgZf5KysYuqpfa1
YfBDlVFAw7a3lL2O8DAtUV5qNfpj7gqOa9oZsr7rkI5iBS1cMWn1U9dTUhQUOvEgMQqUXzLF5hRS
t7BlsC6gPau5X4m6bVt7l7KpLaRpD9Fq28adCz8FYWBPjcoWAQnTQZLAAeTma2OzfFAzTE1rG1PT
xBWzdZrVjNYrCTrgAmQHkrphsqYtd+Gs7Inm8O06B7MOOMkB58jyh62PnF0XNfTLGiLG+N0khNSJ
LZoEb6rx/HH7kT74lNv5BurD2FL7okZkfnFEah6QkbSrbPVkGv0d9tNuGosLyc6uQZUZDYU/KNI5
b34T5GWjgQocb06w4oXjsLzYc37iZNqqyfA8yRA3WMdIlfUYMmnbVjdreTcwi8jDXZYlnxSCf7a0
BhRaV6GeARa/RBpAgjF9Fmz6RIq7kpYAEf5mma1Lo2VebBbA9UiINJE9LCiEUrveW/OM9LfaOM5h
pVgRFO3i+3F7C7MBdWDpJIEqWRSGZEA0A/e7jozPPETJl7qO6aRmr2EeQ4TTOV/lTGhRD26N5UMc
a541U2DxMpagDlOHnZnD52FYol+XiD6JzV7lvMmsh1tmBgyheZ4JH5f1fR+Gx9LWSPiCjMItOph1
IKvYG8LfYnD8Kdf9RpMCopq25Fh4pYVZW1cZGmFTd5iDZ0zu1t6o4pak3udH+9Pq6jOX0GENs40E
9yhb5IngEYQXFS7ZNgqZTWczL3b9R+24a5VXtSi3hFU8dSbih9hr8uzQQniXs8+sfNSdspFm/UOb
DjNOzAjjk0Eee4bqnzCkTSkooRsGkWiLuFp8yHU4au4JwPASvWwiE2vP6qXvsCWkMEMqjT6QsTE0
xlqF1ZW3w1VFXCUr4M/zae/MMe6JaaNIBV1bi5AAwTMAJ1s72MWHzUSd0B8moKUHeSHKL8qSBzJt
nbbSytbEkFwwJ6mo0YAgVqAxJqrcslP9VWrTCg5wPBQz4JX+2xxflXXWa97WUdNgk95IJFxkOAdy
NbaaLG0WJ35uqfsrbCQROV/h8N0oz5kw3A7pnrF8E0W5iWTlRyWv/ildGBmyXWtCNss9lBGzcGcl
+lKy+KoYwiuT9JAszbFYgOVN3PVtuCudwrMjjN7JH5KrVNQXc2y/pYj0KOFQDaSscvGpMJoiJuLZ
tsk1xq+FT3Bn11owotybrJsObQh+AfEcFpL0yQ9RbDnk/CCj9y3eYisDO1R/DvFbYROaw3xFQdSr
goiI16plXokCjMFHSlQdfx5UHFQAB0mX91GM33vkWJ3nfxxhLjf4oemig8yKelhOkfbuyJ4k3gCe
suoDXytH/tRZjyadPkvTIrKyxm+tPZTZ/ON03ENRBuAgH0UBUImNlVpcFPFnoleJaGWAZOKvXrUN
Tnd0MC5Y802m0qrWn7WqtuUcekhAvdy4k7O0EddGigjbOhYMw01err6GbwtADhGdqrxOUvkIW/lL
6RuM1Hhg0FLyLx0aUDkLzA38r4MD34MvC2bOdlLbPyGp30A05nRiNRUzTCW1gcOCqVqaEdm07Ds8
08xjculkrTmxiJQF2rCG4WMn4UbhvC5kJFVdvl2WdeMzPZfQ6mcNEAib8R6HdqoVRxnZmY1Iamxa
LEitS5YlumGFxFowM4D0/1LdQRXe7G12ITzpPY9gQbL0gMGJRBse9Ue24Avmp01YcosmWV1ADzJs
eC2ZbuPaI9+bHMsGmkMejMAJHP21y6/44IU4UhvaKJal5zraJv0hRe8Lv2JxthldDhpYct+b+Vgj
uotSr5e3jC67fsdFLcB0nEzQK8672ryay3sxIqpDu7vo74X2a7AasfemcbYqxWNawvmV5JueWSi+
L6GdAUIuEtAu+F6fCp4708dGypIQEgncbIWb3QIDkPP6IQFAUUM5163pXJPfcipqeAiNr2J+z5me
dL9gaZY0YA6gnLPhoI3klHi8SyuFvvvWQbTDw2R1N9MTmvMrGAFyB26LAd8KiG3+HOrY2ag1g4Jt
XWLGgYge00gJEh8t+F0GwO+brX1NKQoHV3FekPptO+sfSgcMuCqAtMIZdpG6GJ6Vv9vla8+FSeSU
l0AjY4NmYAOYgih61opgkPYMz0n+9qq0phkMdNCAoz0TI3Wn8troMZI5CW0MK+5/Unsxk79qujQG
lEtYbDDiXprhSS+emhwE6VPd/UhY2rs3swgs+UhZWCzfdr7qKEEvAQshKUs7iJLBZX0n4T4tLigE
Ugkbi3iIGlGyVxo/SUJPdDAgupD2hnQvC5I3ACi2Dc5plQs1z0D1W2NH0kxuu/roq80H3asMyDFs
ACxC9SAauq0eABas6mpJKfxs+pYdEFNQCIizClRqMMQAvHslBsfpz1K86VzTU1nNSw4oR7mV9ucq
Zres49yy/33PUYPKwlMrf7BPufro18DJV9AuC2YeRDiLOIJgrItPeU3JmL2EDb8KfBvLRESTACZb
xrIf5Il9LMZoZ0rnsfArBSNLpJ8Zo3LXbEL43U8tiBjnPExAmok6xOBJSldCZRWU5r9JJ8QwAthW
7WOmFDl/qGc2JLHQSXtj42gR+dPsJy7K9I44qO92Q3wj04NXC1Ne+1UKd8RIOQZDg6cNFAa89fFk
Vq8Y9rkuK5TLmCgiVvzk76LE5u3pGdm/128lIT0GJ+s3TQ72qZcZdUmI+k4j5x03K1OXe5edeVIs
HDWOdmLonNbwz9ZIFD+n0TGo2wQYP6yyFfFDDNBjT22f5eJN5dNl8SWrfgegB1Qb0tmogcQjY4kL
P1Z3qdj13UVMZ/x5ezxdjR6wSBm5xOMRAf8PoM/E2mqQioH2M4M+4AC7A6dXV8PjJJ41fnSH4j/r
Vnctfs6ESAKkVAXMFSB6Mt9ViofK1b6hCknRHsCOsrxM9qs0Ev7gojCKTxIKsBy4OS8OrtmGJLgB
OM1WSDbhk8duvmhMvxR6hjZbHpPkheuxhu25Lo74IJFhBgaeEWdwx89o+SEnJYn/WJ3Y0ujJeCuI
V8R3HhEUdJ67bcGUF4D6+mShFnDFeu7VDwdtW6tQF6p/nRq58Yy4Dc1IRK0vT2wd7ngMxvmfJr0J
lDSV/qstO6QcbeKXlleSTD7brk0V1kVHZdgBiMlQA5Jtq/GAZPZZiZ6V6lZghuqhNs3faXlo1QMc
PJqFI6zF2vqembZbvNDxLRc+Llb+9tg82c4jyn0JAyZjUvGX8f4TFTbcHPCn8tZkoT0cCuRQFFqO
9oKIurPEivIAyg/zgVIJxex8nK1HQuC5wknolyO4CZgi+9L4zLsPq/bH6JSlH4bmJyENN4i5GwYy
/Idt8TnzZOoB/6laXOIkLyEue3sXlyxaCjfT92l8GHHfSfp2Qq6wKO8QGHqHRS5EJgJw7B2Ud2vA
YM1MTVZnX1qVr0QmqhiI0EctjxJ4YS9/y5gBu+fZOBKuTqroPP+I+Ksn1oC7E3JB5QSzukF4Fguq
c3yaJBisbvR/zMPNfINpuKJXopTk/DNONlYL4lJo+m9j8twMW+IB9ZSuiDEG0yoiBC2OvyU/M9Ia
l8Ogu/G6Uv5O+55R6mb5mBr0ZVtezmjcFJrHyAqcKiJrM2JRjjRwkE5F9Cjq9zpmrsy2ZiyWF2zt
TYerlpkhB7QT/YvVL9m5lzlwg/U2es7YkzqvjnZfAFRa3sp6kmLQmImfF9d2eY9YSlnSeFCT2I3S
yxo9lFRcN+NXR2sWuVm+m9OjGW3tPIDE74/DO1ZaFNMfOeB5+SfRPosGPQedWhe99fUH/mSMJcDT
85LJLrofb4p2ahdM0bvcvUlqsrdVeYPzj8fOYeE/aa8ZMs5W/4+j89htHImi6BcRYCimrSRSOVuy
5Q1ht23mnPn1czjALAaDnm63RFa9cO+5/C06PpD8LfhhQV7foqHfWR1ez3FRd4c0/6YEWun61xR/
CBariIvSf1HgrRiVwPY8V5ANVajgJXUWoHVPPw+G6rJJNICHIxVt3gIIN8ow+91efvfSu84ZpmHV
JDjEAkYnyLx17AdQlZrpLePgwpMJW5FTmRSlEvUVu8GexDWTAkJ1fIj+OVpOkyaqytAn6rDZT0C+
JnQrSb7pb4mhnllb5NI5011JQX2lPYxwXJjiyMZC+zDlfxHPYYIbL9PgCaG+hcH8CCwHW+zCkr5N
JEDgX9TozUg3dbxtk4sdPYR3xkuEMiMB/6M8jHplNXuU5jYroY7jkkOR/b6McMnxOXlD4EuV7mb2
rW0B3Wh/Cl8NAx2YoXu1vstIHTP9DrsRve16GuxF2Q9i0eh/fHhBdBZEHgnDIU2AiurFnxseWkIm
Ef/Y3slLr579kLVro28V5dQbl6p4T3uQvq6ffojpWAHGV0kwJzbE5ziEu4CWgQa9yA8S6IaK/ADi
gmUu5406rgrzkRUvhaLTt+WVBdtSYt7I9lglrxkZSsMdDEVrEZi7riGOvNpGzZ/UfQ3+FZgF4qoV
NG9Q/S2sHafTHdQ+MVZJ/Fmk+y75Y8bkKkJHtg+h/i5aApGIMA8plcjYRJf2V7MMhv3F44T+quRb
rLYSlXRem6d4ZJgLQC9fSnNqVfeQpSv7Hzs7zyJXj7H2vHC4ZqDOQlk/apaAtowRaB0plGC/MuK9
5LM14T+xl5u+lf7LZvMd6NraaPZW8W4wQpEdsvFKjGU0YBSE+PMYwQhom9EAMVJaZ9hxclw5WFEq
hNfR2YuI1mYFDb0GrpRYB9waE7PmexN8qO8wR4TBpoKwC10FtIkN8q2o2ck3v1N6B0/RJLsKaRzz
noCQlggsf4ET+GeM1n1ztIxvnUupvvTjNwv1ZTB+iHFreU5iU4ZyT7BClcZnGLDKoeFc9hLgDsZK
FrAxAgU3prpth72MQj/S9qgQ7OEvg2iAsL4maYI1mifJx5BQDSbViMhW9DpQaUcb4simZO4fslVX
0N2jx/Srk4SgeZSxhY3LVnuiJguDzRxPMTCfzknuzucdT1XQG2Bx7Tej4nrGw1deKf0rGooW/U0f
/6XV94T9UzFB0YASYcnLHLmV4Bh3TJqOorgoEJQDg2qBx2JibrJq1J8BRqSegqyJPnvmKqW6Ljmd
wCjrMHmjTVS+WS2WsGKvFNyaPRWM2JqcT/07DoKRVKzpnbEAaNUdzx4rz0y7Bkzryo1RfhrA+Gzm
vCCFXoqCeWX+N+An8aaJdqHMi5ExLCrWVfkVRwQ8nUbhTj129u6FP2GWluFjdUAH+4RB1c2BxAsm
28OyBPzlUcU3GejSnxydfhsdWqaflYtIYzHyGNQwA+P4lHt/EXWfEieuKVyzuGjooiBnc2wY/M+6
0/uc7UC0sQGyQ39vIqijDwJXxxY5rfa0spdKU4tcLyjfTOVPLS61DQi+WMwZ1XmJs2VZIyNX3z3m
HdgQ2PAR7pJeDeJcbP6NhW7Gb1OcegjEM6ALffKET5Mz9EXOtAjzFavLUAYtiaGh4LBMwnGZQBwn
DKEyN5n1JDqeeaHBRx9WD234l0KXNL/RE2DAuloveGaG75bJqZp+/ZJKgKR5axlmnwmC1qJ5+gHX
Nz8FTb899dSP/kriCl8pwb3umG9geHG7W8ETUK1KBCCtjhly5+vIGELgdCuj/hM1MV9bRf2o8RPr
NgrC+pSZq+GELXE5qzcVMPzAM32uesBhrb4fOBo9WgRGFn66D8ErTP2PMhEcvZLGQ0S0ER0O2Euw
+X34GwU8sn959q9AwkI81zYWv9b0GfzTUUeo0jbRPrFxuXoakWG07vnaqvmxfkfuaUk3qcDba3Kj
sERu7lH32SEmEjbqLuzSx3E8E5ZFirKOJ8n0iHdzZaTOoJU5VhT5j9VJIh09aVdK5CDeaUM6ttTV
dGojHGcJWeggffVg05bF2o4IjYVCYuDroDtQlF+DFDB+DQY1dteods8G1jRMzda4Nnz8YE+NIXRm
CsfguOeP4hwFtWZPnwm2rKr4EcG+Uw59661kqpIwWYX4ktOgOxJHLvMXiuN9DE1vOgLYa/u9XVxk
f++xzPCe+g3lXNN/GBLztkcClU4f3Syg6WJL+yVQRFlI4wzyp5r4Xv6QPQfDIuh+cnyEzHtAAB59
BK6QUtUn/UgLNMHYWB5z0SW4w7Sb2SiLQf5UjN+ooBFmRbPUu6dZ/FT6mxZtgQcujXZX8FqqUAHv
+nSCEm9HTHiPCisBT1CGzF+xxt17N7uvKPwiZyPAFqx1rp67SM7AEPHKs0Q2h2efwCfYygHHuqNY
y8J0+/SoD0t2yTWDPn3LJT4Z+E2gjSAEjDlMeTrGfEu/iv9vtFdtfdOtcVEOnxP3E5+ezEEdH+FE
16hjY5axxp0Wj6SVmMG62jFW2xHH6oJ4RDm3sAM3Lq4IU5noGul+Ck+e9B7kL6lzmaSJ+B6kmKSy
zy5h/XCXZXSOa5IJ4EWaKFcr4XriYolTpzhQmcLkWo83VmJdiJ+8+Y0R13WYL8fZ18QBGXUhiSob
KnFdPcX1YWx+lSLeVNzuoL1WE4mi+dd8AMYpZvqQgV75zGdrOiNMrZyHnjS26acZfBdKvDOKb4sR
K9Y2q2MFsczNS0bzggmMPEU26lxQSDEqV7IOZcu8b5P2x6glIJwkB2LbSGVEZdx+QV9AVbaN0t//
i7aHYr0FeAYF4+tViimz5sy1OZoM1NMguFou7i6nV4+eQsPIdJqB8z1fTxDgqF0EczbGP2LAURUd
ifrV0o2dX2rp3HFMk6jScdCMB5XUYAIELJ3jfqcaxMbtQn1HIGb/A7mnLX4nFagMrDygG2gaQYSj
REABHD9HthLBzzT+mIgCWorJtDyoGoLUgWAm9p0ti1ReWZ7KdZ1fTDrMSP/xmVXLEXbB5xhf4vre
Z5taQQ658bRrZqOCwDSeawspgqTELRijcwXjgP4nX3UDSlPyFBuEDVjNKoyWv62Pv/Wu+x0/PSiC
ucVjqiFBuZJrmVwG/whvJWT8jgvMnrqj8mS7FPPytbuZPouChc4Hd6qBYpelQpa64nfeV2hW6M48
zW5CCwQK5S02MEguRbxnkdBDKed0bj/0+gjMPpi2BNkV1jNpdzCuUS8BqSrplNMBiLq2kC84v3gu
rAt7yrY5gKAaScjS2lMn/ZnaKXxKHo4abE4VshhWoREghYSVeVFz15zgc5GT4OA+o7Gyaq67xYxP
tDSgh4v8jURaeHHhMlbY5cwdHhGnKAwaNjwLSjCr2rBIxZ2JQGX+BbX6LNJ7Ls+uPtwNTiO9jIHo
oHVg0WfAix95aKYVeWAZ4gLuSehuko9w+7fUHX/Y+3WAEnfgnnEUg5gPzN93L7ZwIIHU/hLavRjW
I3sCTIGCwTV2JZRTqARlcipy3gtUSYvxGFlvJJZQQ6wIXRXlA/UOuR518pljiYInVMPpj90poQOB
Ub7WbFTdGh3CqaVlPfmx23RXECFUM0diZAteoOzGnk4adFjbtCHspBU3DLYFr08wHgLzM9K+AvFe
T/8G6Wb332qxYY7bosZmq2m3sMeFyZ6VM6L6VNR70HgMmJasARj4Ibx163Jv6DouDEh1Z8GWTA93
GU5ejD46ScEWvmVTvdvsv8NiywCD0FUIMfyHf5RX8pwLgGYZK/86DnfypN1b1JGKMlPcqwUGm4Wq
7FN4NslPjiFXdim1FbTjO/NuIvzpxbgJ/sndsWxOORtAr/zVsP52DEhpwmW2xxoi4bUvnr23oGxN
xQ8f17rldTKsfzAnogkLcF+gHL9yiWDdn5R93z6iFlc8XwC6Pkgjzav+iqtLmJ6G+JxN3wJxg8am
q8CusgsYrph7vbyONmZRbuOInRBKl25fo1Fh9KFhMbwU4mZZlGbVRtV3Re14MEQatrndxi8uXfDd
AQsuJ+CWbedAz1pb0Nez/kePN7g2OotUbvkQoceCB0aQFxMMcNhZ+NaQ35ukf2LYl/IhSPi07Fc5
bpvQQk+Pp/8sFx91XjgAOFDQyxY3xjbkncv7DUnukFUucbQeEI0kCngLsj/5EezkJIEVpPMRW4v8
ZNqx5DYqmGf0s/iJlBz15lXudt1EeGK6T0ny8greuEPMhkLephMxOFxHg3rtlQv9XBFfQlxcjNGX
Bh2UetI814odM9ZIjuqXkv2GmRubFlS8nCqcO3lyJI7EAmMHCYVUTAGQkLR55pwyyDLT8k/tHYRp
Kh34yCHf1rVD8vSiwf0TkewjgiUK6obErZS/Gx0CwecFmuD4naJJZm/r/X/LO7x/rcamT+G64Bar
5+l/wZqs1q+pvmpkax8MXym8hw7wcE4t2aLyq1F2P7rhDWSHaxPuIuRlrDvAUsEe/sjdt66/pebV
QLWK7I16idlY9Q64UisvrEi6mY22ZB/dEkpK1MZkhCvC3tdpzKACrUXtwaAMjviZNjFJwUaYfnnV
QU/uCegpxswV5x/V4gvtClbyEBINFjKLpDrqoXrDtLsDMs114f8ZOC/tADe0z/jsSFANqSrm9F0z
rEi8vdL9iR9zPCuGa6hOneJf4FP5hX07ArJM4nWE4ni8UvxpDFvEm1Ed6pinfW10rPHPRrVRtB7H
tNNk6hYQCS2n60cY+pBw51W8sWFE1lP1hiYJZMEYaituxIEgwKjm+qtC3LSc5eMyyr6aaD8XIkFK
vd4ri0zd9dFnlK0j2kBOH8JvRvEkS1OflW47fryask0XWxkV3JYIzhoKgGYdhg/ygXRtaesH9kNe
920lFwA2ugn2KbrH1lkpnizvEMoK49zLwLvQi9Fj8BXs7fRSdTc1J+rOZX1UJJpjdRcG3Jq15yP2
wpul3ypErwHG16nZmfJFkk8dtz7CH3Y3FtM6Nf7XK5gpUIqhHPeLY+8D1I6ArrZnoz7FDNmV+hy2
xxHAV8eggfwpeT6TyG1liDbfsYsm3DJmNiyqGQQfsOsUQsj0l6oXDN2AeLD3qOJ3BQRqbPxjUYle
jGzCLXmHLnYKFoekVhGJu88tOBvPpj3it4djxRLmo4CjDXlqIXS+2qukXWwTXxojqFxcjO6qJ1ef
KkFV7+Kj1B9T/0XGkUowJT1MfguSt3kx62HLFD/CX3uNE+TfoeJtMh0AcvFeDs8gu/WE5ZFyaNBA
bpvyPno84U5hk0vXY0deTAHGBnJ+aYZZUkuoh1FA9RePgXbmTC2LTLQFydZj+mpdY2Uvjcfe5kB7
1EK4M5iyAgqZUPT/RBZjF8VNst9E1o6NztyL8T9q+EOkzbE1vaNMsPpxWHqC1tnK0UDmbk15WAoo
kH/zWEUdN4QbYHlK+Bw4O5KL2d8iZTXKl1CcC+UAKoxiLiLCl+VKqiFnJBmiWUbaC1W0p63KDsDP
b2q5KUNfSpoWZbhgpFPw6CvFO/GcEFm3dXDIqK0DsAVVHS6E92bojjUtazSQdfhhc+qM41XPfvCn
6707IXVjO4qiXi3OrP3LPEBY/kxz0obWHjUS53PNtTE7d06Z8g2fAd+l30IiOnY/kzIubGPaiYJg
8tn3++S/bGooCDXkBwPdRIZaAr83/neLSXb4Qp/C8w+o0/Iegb2X+YK4LQIYHNFfMR9RvOVV9Jvm
n3yo7IUz/7NhDAdZxZq1BAWAwvSg/o45G1luIrSjGrpOmWXzw6Ab9VS2XawYcC0xediZvGGCadoV
gqg5clzhhZK+eDLjYU1IiYnPuNzYxk1iYFmp+7Jcy7x0NZ7VXN3g4YsxP0bkZcTzKPQweb8UIqCk
GRIttXxTxmgaVyixR4nbj8GzDyCh7cqN1tM+Pczin1YbBAr8yMw3BkYR/RdvG0QLTfyxcyjTvZUh
dUCkwZu6Z3BlR2BdX+hG6Nfg5GbM/XKSInY26xB8abGKUpvhKtExGrCNe42LGWCwYp/bluF0RwQX
N2HnsHtQn0Hd7G37U0keM9ksUUD9WtFyPAXBuaDfllKbWVkJarl1KvkcVu1qKH5bBAPKSjO3EQzk
SXnPUBWScLyUpmdkPKPhAtHFrtwMjEz9bCLKx/waNAxh410oALAWnzLriYxIDqNpDg12w0g/VOau
KELWSvcqJkhXo2GR7ya74+ipBW/4qC2ZJfupluKVKZ+LCf3UDWmAXeF4vXi62859hnqBKkrFe5DD
t4GjyTLoPwZHFOOanaAFXyynK0J2S8v7HppPlWncCDiRoIGxd8zoXfZPNpabsvytCIXhE2BO4O1h
C/B/GRYHDwzLlvqTIVy+hIC/CaNbgEcu7T5M9jMechfjaaFTREKMlZILNqbYiT8l/6qWJ1E+reEa
j25hbftTlB5pYMCD9KE7cT/lfxlaqjze4mVkytmnK3W6pg1leevIuHdAKcc71ltJvVEf6M40YzMZ
6ya/icFJFZp9Z9BYFdQMnpFZ5t1XiiLFz+5kpOJov2bGmTUVo8qOFccuG4DhrvzhCk1BHbaifevb
TxVIefClxicv2WhMrv3y0es20+JpyUXh6KLeGuIyGG8yEAjZ/spjTAm3OKWYGBx9ZHyN32UpCA6l
XKv+RorbwnokxSkm9GHYasNP6m1mY4o+Gisl3IzDr43vLkUMyp+A10Y/ZQO4M85mYnVUfNKx/43y
gviFwUBgtKb8lWxE3/1NS5C7EziJ80ert1nwjQo2NG/x3N6sgRV44jRQWPMBR9Ff1X2jr4qz7Tzn
9NPjAFyEqVFgusVA/42/FK9ol5wz603urx6fbYqIXyDFd9Cxst1hw9Nt/d7F/+IRW6sfG1ZzETPl
CvI9JvjPhtY0wPbQEVsrgQIJkkuIyh+yqsg/LCjGqQPiz+rXqO3b6Gb6e2x/YfEtmf90ltgIBln1
C47rOlwHRNCHSxFtVHEfJwrHBv3Amwix+7rtqyC6Qb0MaIgblCXyfLO1hCK5vX8tYWhjktN+tBh/
FUpWBuDoR2gQ2+ReB8eu5QixV7J3Z4YhzJL81FuKOqfA+uWm4Qan41BfusZb2dlpNDRs+39oodZ1
X6DiqpetsDcw2Fcdo/4pvlmzRL3+FLNX6lMr57Et4XEx42tPcIf/VO2zsABDW/z8tLIsaxYjBbhG
ARNTRaX8NI0s38msHQ5ZRcYgw7KXH796So4yvEgmW1SyHnOAgQweA3rnQnlVN9VnKfys70mEHpns
CF5Sek4uP9G6knxoh09JyjdcARTzModKs6ZphjBSeb8qUyRz2WgnY+L53lQGPAp3/A6njRpQ4k+f
8FQk9vb98C2MRwBaidgC4rsWlnmWpIM1POewlHEddo6kuyNMbpwi4j7le2ako9jU/EW0f2H/rwNX
MkeAJ/2+F6802irjhwd7pBZHXyHl+0IjJOGR6rEEoRyznjlCyvI8m7DTv/pVZsOyQgHGAktt7xrq
kIJHkKYrCZ3JOArjNGq72PxIyXXON+i5kStoD2a0XgbFe4VzgyIWcNPCRFM+8V5ac9bqM2NLanLb
T5Yz8bwaGfQrdlbwTyQTYwFTgfe4ehMmQ7ivKQH/4P1p6UHW9wJhAnboDhVh8MATpg1PVdtnCbUo
jwDhDTTTVQWz+6jzYsSGa81f54+WH+p5HlfvcVEmwU3DBqZSuAxUODGLxdG/DeW9iHUK2C8rPSs5
KbbzmHUdtzskJph/U/jIrb8btE+lh2eYroxvGVEzjJVmPEeYF/PkI8i+I/uq5zvx4TdLG14lE2T4
bAInLeMAJUVKjshQ5fOksKyGYAEywTducjNTs9BpJVzQdMaeuu+7YNeBkos4awmmURAkzsr62a/Y
+O2qlTej5koQzfJnjt5yFFcdT0CE4l/NnDTbS7izoDaIpfqtqhuFNi7xzjHy30w60zemqLSlGVT2
r2xX7LzHjLoAER+rhrMNgqwn7pTwVPLAP+AvmZ9NcE0mmSQwgJvouEAsET/V9qlrjd3Sn/aTfFC6
n1K6kUYcqgc+VhTY7bjG8bGovqR5/9GhnWXwx2iz5UGwsKzp4coq/6WeY/RUOP6vNDi9+GF4nHiu
DsBBU+i56HAC5V9R2gsDyU3LAEJ8xOqyDJgrPBKuCKTnLgYC5SgygGCPUUNDUzxN6b0DsZD4N6u+
YBNjEKl3b/CJa/8ZmyYDThqIdjOgbFB6KA244Hx75fM7IxOcz0BHwsndaV9mfc9afvTk2MVH0GA9
zvHE22nlH45OQ/62xpUgSReHl9q6ikQI9+TxTf4M7RlUY9c9O7C0g/02UJZJ6meoFmsjuY4Y7RpU
uQE/CkERy5jRljIT+Ga5IntMO8LNs5L9dR5ljqw+Gm8zs6FMR0wfI7PMGt1iS/WaH7LBtXXsHelZ
hSljbkS1I/SME3xvxvtAnNgb4eH7LokRmzTWxMS8TMqFDtAQx7w99oRmp7u4WEmG4+P9lfd4DUX+
WTPIjK1HoN+t9g+oQ2FehvyOPJHDoEwPXMlVxGvsjBXl86Ut+X/YtEL3Ie8W9uuqLjdZcCh5z+s0
XQXqTaAthzE4X0RFsBmbe9bc0asD6TyU5bb54lrlHCpIL0oefkBXs0gUCMwrtCGpeeuGK0N8awJc
f0vVI1dU/zJUVHvvIKiW5Z0VMysNVpghd1hOXganDaEJ2M2bDaInQSCLeuvyu/KZxrem7ZbNe8am
U+ZTJQnkpVjcrS2ph3LsKER2cRyjsg/DOwqinL8voxz24+h7rbtObzbnPdQItWPcrCrq8gTqUWZr
e6x3PNgv4yDb66w8t8jmQ//utVtPWWXmPmmaC8iyVcjEKPThIcIUJgOsRcetshheY9UuBQOpyZ11
+eOzMn2k1je8zHJC2ePGlcOFVLRO+Ois7g43dcVoJpvYrkUnELhw57zuF+5DXZGMEqIbJF9LO0rT
VW+Bi6U3ub0OcDe9vZ58xwBPkuE31y9xwR3NKKlyLQQ0AHkJNK1YiHaXOHh540eDhJ0D6SMMfiuB
yNTaA7YrSCu2h1VZ2GuJ0k96USJY81WJxRdiakrhIrPYoRTET58jscEMy8Y77d78fps8gxBNrBAA
yq6oj2iOJSSz6MMGmK+obSr9fYTb0aHste3fIdtNbDEs76eXP1R1dHzo8Eb7olEeCxCbFvIS6FAB
WgzBECoJOVejnaQ73cOASYqPO9jhEGJoWyQrLvcCgh2KX4VpvkXkrtNP34zr9e5HQVExkL3NpPUQ
K7vMOJSUh4P+6OP9KG0GviB1hAymsAHJ9S3HzKTH1zhjDK4sefdAxWv87YLmvSftr2koaE0oUHeh
HQvWVdVVmo7gjJY01RhLOAWzwDVAt8BTIurbk52Oz2AWSwsnAlVcF0ceuYy9IWOf3PxNKbOYIkA2
qg2ukP67Ns9DchIEdbVRwdFNeg6AY/VrNGGgMH5vUMylR7VYmFReI2pYpAnlmgdcRCdd3vr0/uRS
0pRDTygXzHxq41N5hNE/dN2S7ET6UvY/tOpVRr8CGLJMJu00LwDV5lmUOxuea/GmciNj7m/2Yrjw
JUNUEPZpJp307OtJG6fhLxnBpUyHq59Cg9W5VxGMADK3N0aNnhOx4KYDhQXzUN57Ojl7qNHqVYMa
itOe+cIsuUD3z/lS8B4kA9KD7olFZVXF99iYXKMjKWRoHqrxjZHNnXTcSGBh/aUkbgIdtMibxSgB
5B+QsvFrM1Ww/eePY14eph6i6vzDRMxAdtKltIplDsO6Ixud1JtWl9dCvafVRyRVW7154s2uwpeX
6dxZqE3Na2e+2hAHJzMprbuPzGMTyujWU9YTcgElOrX1H8GGTo2oTqUwQCU4+ONGiwRa7OBSEl5e
8fHbDA5Bkwb1UgJSUSBMFJRnsf4Zp9s2v1TV0cd6EEIm1qLskWD9tzHflYoreZcE/aOWOiEFuA1j
ZySpO1EN5kqzvJlRi3gO4NVJuVz2AOWIu18FjboQcFXajhREt2TvJhMWi460g4SEJcydvL+RbLXg
y4YGx6qQjW19aAjVSup7SryEz6lo6e7guxEzW2DAi551I44HeElE6KBfsdhDT5HBHovFEMa/njRc
oJ70DxsipbbdREKV51gEKZRMMKKGM4weB2/TUvToKBizaGRh2WW8HsVPaBiUHSr6F3SLo1uNrEqM
CecLE5cVzsqMLZ8YQ1SLOPyxTjFCHWAoGHhgbaofFRIp4HUeoSM2MidC3pUN74TGbKboNoTsVbk4
YvQ/GAwQV2MdU/WlqmDLJw9NmO0bbNAzMrOd0GwEmAn61vpb8eAdVHW8YF0RRduUAJTRduvZlP/w
x9/WumKwwl159SrOQTa3sMlEdrWll+R9pdYBzuJyGB+dd02UlyhfFdA8uoPplGWnIPpU1WtBeKXP
C1dx640DK0iWK5QjEApG+FgB5w8zw1JNuXLf8UwvI+VNTu6i+ZyiD8U+1qzRRuspo9Zh5Rmx6tZL
b+nbTFZV5tQq52PAvUVeJPtDRi7TZJ3SoVwHTL3C+jj77wsZFVf1G0fWfZxVsgGpjGn4zy6oGeET
ZnTV0BIWlXKWCZ+xrn3SLvp+vsHAeoDnjJtzYBV7Ikft4CNCLK9q6A4l4pkCfgdqgy6NNgkzww6f
GHlwy5RBo4q6z8B+UegaYJH5C+2fMp5+u+OeUXNnkCSHvQKIblbRRsMEk76lFBsCHbgwFOTi/7qK
FVnd+JzY2iHvSxa35V8DZM7kqQBTxkUNUF0LwVeVTtlWGwjeTohQcegoakIPaeZGr459JAhti+9K
9S8i1TEhjaiq3svGJwboRlSI3mz6YedlxTkUMV4dayGznCo1mtdudAiiZpzzmc8/+vxh1K0z2gZ3
QcYu3LBRrM5tFdCWkAGGuitUnS+iAQjbdH+pFp1qXfmVUDMF/f8ClWXL7FKy3jTjTHYBKBouGHgh
utYgPB3wUberBDUCU1PDxkbncu0FDe47Fh8R0Cg1/MEZAVSTmilAn74V+l5lc4Ak1RNXz/ywuoOI
OG77taiTffmhUttMLJJzTK+NqS/9+NPs/jdrEeUtge05EtldIiHsag2IMUktceSGVG69FCw8mp4J
MIBdY0rs72nMBbFJmaYZFvvCiQgkQfHHWvNQK3NveBXGJextdsaA8aDo9WsbDU2XLlPxL89/JjnG
+T/BH3QrNst18Y2a8SRFHwHqc+llUdJRn1WW26LxRf8Z+giLWIpulYrHbF804IC0ndyQm6QeZf9L
Zl9doFKRlwzpLoWmn0c9fWas6mhERLZrQd8nyPEmhRzR+KAHYs5EWMpoAi1sO2b+zyxGtx3+QMzE
mCMqBGqMY9jrz5B57SSJdSfvLEPbx5mJ4aqnctf4smcyGNAAajKrglY53BTjHxFtE/IeePb4X+rm
W0N3Q7Atq/od0BaN0eHQ3yN1RrAuGo3hm06m78ZncRfg/VnxEhDwE/wzxwsFsiq9RxZGIkYgFqqY
pHsUJaQH+ZHHEaAxai04uXO6ExMALz2k/ZutxhjzKM0RoqirnKep5ktQwo/S4joh7bzPEMpakELd
KPlG/Oy3t664ihJwH3/nZGkhB8Ait2hMrPBotQUbc+aRK00Bs7/q7Q/kBFGmrTQ2omvfe1gSwEB1
JXN+S1bnwtleRAy3YKgELCs4smJrlUGhCraxsg10A+Txc/AQn0HoZGvFOuZH8KyX+BFys3Z1LJIk
dPInjQD8mfwN8d026D57Pq076teKfyu9jZAv8rhPq93wl4Lrs0ZpWSIXmXtZtmxKfSG/EvUH0VeH
PEODfpkmJB3s1TwkNSeapqjbKBiGOgZ/Q8jUoDnF/Y/QS0DEGAf2pkqGtMJP+y8v2EvPzLKEirV3
K4ZaIh1AxK3AR2KGMnVz4WOeSuTJMa1uHSvUU8QIpzAGUVPWzgha38MeMFNEOn2D/C1FGujL+dZU
HyHS/SHJV/PvkjJMyRt8TNG9gRDor8vmOLY7yWKetE0fmfTe+t+zx4B/SgRdmlN5uxReVg0WZnqT
Qhcpp8/uR+MRuOLTsYqbGaKdhGleEemozCtAkFoakCsVK8eIHIkcvivmzqOHWiVn/zEyjo7peDO/
PE3xvNCFZVqPsosayg2w3Cd4D4iz+xppApqu3TZ2gkudWZPCMDZItrxTZHPqTCrLi5+3a0SXCY+G
T7zeninuKNZzPgHwOFKpegA6Z0xLgeZmZHfILuFedrxNBsdILgkJiv6BBoKQh1mIjFHcJ9yzY96O
u5EQVgtNJjPMYaUzuG+Aar61xRreix6voTVhGxlZwBSbUXVVDd3GU8LlflfLc64uC7w9GYkyXhTD
7LlzhbYTqohv/pyujl4y21dfdgcWLeyA8b2gzLBJgK617xwXadGcjXZbZfcGTcDwW1NrVyWXUf1O
mNuCbpHogUSf0zP+dUzYh2ritiC1o8mPCYv8mgNbNv9Hi47aa5LPdc2eQl2rvn2gm2ZCJzgrpmAt
RLgqq2mNXh13gzZIKGSeKi1QHL2PUefm1dVP2CL524KMrZjtLKTeVPbWg07lcPZVLPs9V8nAVAev
a3OTWTsLIov5AFU+MEFuJ5vxlHHxo+j+JvC2NXxwHO9E5Jy6wWn0e4nIv7GellxRfl9i/9CER5M6
UJVsCuxDoJ3t5qKbrFfkvZ09BzNZjXTSRvHSFAirMoHbmFtxQpY5aMXEd2foypAcU+1aaX8BawlJ
eRYzyr7f2Vge9fRLtCkzuAwB95HIZuKvI41OjF9Rk4JVfKUFoW0wGSiXTpZ8TUhow74dvufxhiQj
pjAIeTdjVOyY0ineJUcPkWCnkswfm0NipJms6nvVuhpYYRwggMxR3EAVA9/4FpluW/urLIjvOTlu
ymUIj8H0QjQQ2vNEvdErssnEyjdJLbU/2vHq66eSKhyGvDtlG1gsmJk0HYceUtVZoefhW0/JlX+f
mHG0vHjM1PFS+2Srxo5kNC7qzQ4SQcgU3MsojvFuoTJTVCQfcKzVPwU0TdRbuDfXSrENA7bzvr+T
w0vQ/4tR/auFSkkR/cfReSzXakRR9IuoIjdMdXPWDQpPE0qxyRka+HovPHOV7RcQdJ+w99obz2GD
oL21HOQGllZXzl5OpAAzf5rNRxdf9JTCd43TbNdH5ym4efVdEAfh5qh+hrVRXBiYQU1G4Uk727Li
/pL2PEeCmY7E4zcylykxScGbq059jnQIQZDjAxRDqR7bN+3d992lL//FxHhWfCu2tkCnRTyba2Pb
XFQs/HK2FOE2E3sBdbcwzIPUWGA7NBZ82/HVMx4JyAYoOutWmwh6btdpA7SrNpghA5hEgCcYzBpW
vanimhXbj0cjhEv/SSBa4GedtHhQeeA1rhLMDNxJaG5XgHZcNKruPxt8TzTsAndfBW/DcLAr7Zf9
+T1vclbRLj57LhFiH3RyUSVHAeFqW9cLOF+gfxXI4DX+0iZ+bX0XJj9G9K9jhTaIcdepfV4rmtB+
TdjmpjfZS1DLR/guFIPBksSJIoPI3WXNR6xFmJ/8ZRo9l74HbdARSNOZUBluv/VMfze/veVHw2yA
1HK0yiXTselF92i89Z7I6uxtYjdsJp8dwpoSC0+GCsbOqTeQYqQBirfS//X6Uzx0bAkxsRkhKxx/
hbjzM2IMFxjhsbXQlUkGfAHk37o/Te2IsgQgPxPxDmOFdMgvA0wT+NxU1tAclPt/t0oWIL2YDNyl
oB/syNTS8hpxPT6aZmg2FfoT18Snzs3bs+el7Ers5j2HmYQ/YNh5xKKZhg2WAEfHwB9jcp9Su96U
06vLnJdyWT4mZDE+6UCGCeeaEhF5Y8wc3zJxwfGmpVazRwCzFI27jSZ4SJDtqlagl55nIy/RBKY7
FCvpECeK/9vsl7V+d4ZwRUAhrfzrwOtvMh3siYkjDK11fyEwAOuITnlCHnrMtibL1R8mOMZpTcBy
i9xoW6zHIsV+Isa1dK0PB0dryibKu2sFM9l0o7CaZhweCYr7QMLGxOnTDswfwRtbCP4jj09b7GjH
qM5Zu2JcCXjMmOEWouUoaup3DU1ajTW8C/ai++LekohfCgwMaU56m9BfI/ZfQNFwVYjVRAg8WvOA
HFvNLq/5ZBEsXb3hrM3G9rtyIfsPBTSDAnsSGYOIIpMoWGrt56gD2rCto+TrzL1ZPSx3KQdN4WR0
hpgeeGWrSq3Dlvk8u4qY67znpSlqPOJy1zJDV+1n1j0THHQhVXxBJPaTwPTtI7Ny6vGcu68zZEH3
jyk6AjUFmHa7hZcidGsTWE8+4RI2Ug/ph2eX7YaovvkPr11h7fTpoy8wdDKfqrN1SzKdX4wvGA1Y
6+QzyXgVITQKDEaWOJGT2j942UEHX+ZW/qZLo0vVM2vLtA+vHs2nHmCt+AxZj0q8mBkDrNhaWCBr
tRhRfV6sE0zpfr9182OPomLIdlbcLT0+ZX3aSnTbY3HSkI74DO9MMM65+i7p3Ec0NkaP0xs4OJc5
f3d71ZkX2HvrqcbgSwqDgPZcp6Cvi3uLQiKYH+/Ab5GgTHdGBBxjh3z8XCJIJ8b8Kfb1faxnpMjE
i9zM9unEdAWtKPqponvhMezIuoNxxWWCusAy5EbLjoTeMF6DY15WE5aYmcjZLaPUOFZ1eKlH3D/Y
ZDoona7bbg3F9NfJKXnrZwIit+Zs5zXTWyaGbYlBxEbUWLC4Nduby/XoGzS7Pd19FZbEjWmk1P9l
Yzo+1V1/iULSMGHI+bpPC7eBWbT0m2xJZ7HRLKokOtGAfRG1Vd+xHgupJJ2XAGth0HCKRl6/NCrr
SP//SEKm9R5kh1MHmZoiaukjfsi7cmHRpmpYCjKyb8YOci1MN9cCCdt6S82C2Y7hCuhSB9/asrSd
RufbcYC8WmrTmf6XokkNeJdj2/ib2I1xd7BttRee6SzZmWO+WehYuAuL9sBK3mOnfA1pMg0Wu21m
MrPo1y1WHJSXT33/K+D3TRWFc1hBi2CuL92LoeLlgOw7RagDwXk9O7OZ460tqdh9Uj8Ymzbbd4W7
cuKHYKyvkcCYjj9OBJnX+h4rdB+fjgeOpoN4bcUnH1WzJtKXwR3+jdoJYd9gon30UpLdIEj2m1wv
X0kUQdauFE5GW34XY3LopT/rY5d5WT5c8WgLBzJOAxi7kJAwYPy0V79+Ed5JWAXyrQ+/Jg5rwHMo
4XS33rVs1dVB7B1wZTfcwxZau+61QWNFGEoC6zp7UUIcIulvM6tBFsCplo2XUPN/xiqCnIc0eUAS
U4c4F++dj1mzoO4F7kQwsOkglzRnK9W96DVm284+asVWxQGbdJQNFeg4Uh4w76LMb3HqRbQ99g+s
1kUR07rOogauRzjUthPT4b6b1nvCdMpMvjrBqD12fsmWpXsyANuw7JSY+qJmm4xk6bUhcawx/cPF
4L3vOuALuDsK+Tkh5g1kN7KhqfGXg0YKy5uZY7nRnCWKEfz8ef7NrHyoyIrMfmrf+/ajWcJFYIuh
ljbLRFYF7Gv9VcFwbcTCphoU1TjQ3E4jZOTSiZqf9VZD7Wvx8ViMKQqV39I56zOgXCNnr1evJUdl
1XMGX1hj6qzfQusOUr7yj6VD5VK/+LiDYrqX8GB1CGMIAyhs5s//YuzhlgyIH6EPZvsddZJ12MkX
81Z71hcpVM+/Y/VV2yBV5XOWIAZWWIE5r+dYjGIEU92BByEIyGBSN4g1nHva/ZjOF4hGFXkrZVp3
DT7GhIAKRveyZ1ub4VdzuZeDDKRnEG0nttnhvPzlxWj4mdUg/fRIfwkwBXSmDlVdIey1tzGxY1ol
jlMU7+EVEio2f9xke4N9vWQNwR8BR2WMpt7GsSd9EGdcJb7s18YssUWUw57d+m2s7gnHaOXXq6nw
/vXJkDHOEhsqP4LgEpaskDuJQHPhTKNR9Z3rEDIsYPA7CVRBvIwmRtkhvDVs1/kfeS+/SJ7aRS0c
cN5rJrIY5vceBKK6BXCuv9v0hY25VKi9nYrs7Bx2zr0mh6TBalhiRKraHu6leCrzr8nB1cp4t7F8
3G6kopXN2sW7IDLo+t4+xoFosB4asmpd44nWs3o3OjEta7TSWGyX5iEdr4FsDw1xylmtnyzsGXaR
LjLnFKTZNiIiHTLfh9W3+8yzgGB0RKPukzmHzrmVuskqEF0qAxqzz/40toqJrnHzQEPP5mThQ8N3
VjmIvJAjmThiFGPHKLG3Sua7ukc/b42bDMkkmTGrhHrPRdJoetGmbCBr1dXH2Iu31B0RaX0XTCAN
wLUiMBdx+y8rrFPssH7msEr99kZc+dJi693VJmvP6QzQ7SliQFHpsBBUcZ5V8QmAvYKBA7i6G8QP
QnAenkOT3LJNbI0llymhwdbB9Lo1WIG6eB7Mbs4c+Zmzkwfq2Vq/DXH3bFDz5JOgqGs3te/uSON+
stPqpQ0VfcUb3j3Qq+lKULUUVbUy7H43Upz4bQA57XWWmmlUhR5xiybVXY9tLSnlTrnjwda9Tdnn
m2ruemDWUc6TEEN+gMfXwY6cdOIYxHqe6O90W6hS9HWMsFBX0SOSrzIzLo6PDJiZXjuSsHRN0QJU
1IfZeAt0YnLwUOFz3fkauDPOrpEDLcb1lwfmq4nNlv1E1JH9yb7MJAqWcL91nhTr4H9eqLOi6OVD
7zd2icIiID53Ki4xgy27Xnl8YqX22WXPthsDjWZLRb6pigCD4Awc9XPVMA6ss78hmdYlzVJrBAc/
jDZeml9Une8r4Awej1tyQJRgjvL6HcUp3UB74+HHaKRsRHN9N93s4tjblCBexO6aokqDQuY11Iq5
f25lcApEchGdt0wH+jYSESvMrmx74qTeDJW1jkksTM14bSNa9RN9bRpiLyMwarTBOgMBg5sEE7zQ
zROw2aJ52BQS/kscYR8NXCRE5DiUND01f8wfljmeGS0UPvwG2RYrxMVQFReFU1MC5MkD0hrYGgY2
qwGKYsF2Y+eyPCjLAa0g/n3adV3oxJUUm7zZe+hZU0xWJcwsB7c7kA8ox5sALo0r4LHkbyENalQn
XPWMirif8jI5eKRSiVqeKCRR1AXnCLOL3eerMGJfpcmtMYpt05arkroc0D5y3ebWBtpLjfu2ZSsw
YICeGJWMGWdx0K1Y9KueWYgewpkzVgH8FD1XfMNsZVcW/4ZIsIWw0m1oM1dRwb4k68h1ITXxh3Jt
rGSvbkt+A9JPnkFi8I3guyvRkXuYUe3voPogPzCI3wwmDrnUlz4ohhy4lF9sqYw2UTC9+S7ZVqHi
7qQPwurtWF81oLCQbb7SH1m+THR0fvAJe7taqIniMHCfJ0djREAsjQP8BwXHrBURI0OuHByXBYjY
V+uOwWvQy38tSZtJhq4xq/kUkDrDhgiAf9QIK5AbbO0JIXtKKYZfx47Tg+P6P5b9lRRU1VK7+5Z7
UsawUdaAOd1YjZT+Q6g9NJ9QirY9tcFfN/5k0bLlcozlXB8ZB+FrMNA+GuclnvyV1H+V+6s5wU2n
v5jn9U31Z7lqIZFJDKnOPNbaVx59TlqvQPAtLZwmOnOCjL+qaV1NuORDxuaYdjLhiMDGq7HDheoG
ZK9DF9dAH2bfh/XHroBqIk2qpy3N0MMNfQxhWHeZEjd+SicfLJMGaIWnpneB3KnHNNoZ0WnECVOG
wybUGGxW9t6w2l2ZhgeHvepQv9jNuRvY/OiMAYPAxpHNGhW7gwtpCI/VGQfe1tA1pBv+FVYgjG3M
lZTiKBq2md0fJbtjL8GzEGGcNT3MRDn5KMFOoPUwdCSjXc7/lDarOq0/p3HYCSYrXl9t3AlNmui4
LnjaI7kKgBCAoR/HvnoVXrqPvekqTWZoItrZ2MALCMy9zrxyig49uml9JGrVBcngJhs4zJtheJPe
+KDoY0KqrxIfWq2FFMIu4EBETo5+IcWB7u19WDM65neJBbMLyM4oajCLA4MgiSqV5SyCZDMxgN43
t9E9d/TMKSm9epD/NVDTn4rYukqWfB3BJQ2TznSqNnmpPydIHDrfJBL1O5IvbMk3QsMuAdmxqWrU
v/PuAdZM70KTsw41/7XWYB0FJ8aa89CycrE5IxQiXzVAWQkNJOXJuSmjBx/9eZzCN89JuCdMN18M
xqvBVN6sXhk2bUUBeBVBVMmOKkOspVU/BYE/hDlvAff+juUG/vY6ROQXtv/oBKle5ROFPsYiZKYX
FVJqWy6KmByUEZ5aXEYptPtYHArju5K7mruRd+7gjN7DII29Bg6dDTyBOcqQLiGYpkPvDz9twsAe
e1tCNktIJqUhOSXB947ULZ7z0ZbRpmAzPBY4WwcWS8bTHIfTCG4j9HxhXP3kA9mdLk1X2qTrEd+B
zpC6D6lHOH48YHKG+6cYH2mjPAVwEWpIB2Vk3HVjpnjSUgONc+w7slw8pcnCBDPfdnSnaAkc9MGx
/uMg+JK6jtWywtoBf9W2nge93sxT2Nx0uw15t7MbC2ydhH3xGNo3HW9tBA8oGPdGRb2rc9mXsFvY
bB5DvtSqcl5JBnlBxHkNWrw5bjYf2hE0vehIo/MsYlh4LP5aaykoVDVCe1iRPRk6cyuTkUHOcDMI
rY2uGaeB8zgawUQq8Rfl8wqXX8zBAmGzdgaW8U8yExgQ9tUO+nbIO6O2HrLiVvnMl8JxF7N+9THx
ZnG+lzabubZm15wtWqLBGhwHmlvtMoNkPjymo6K3DsW3mavXmuMm00wKLhv9myVe0wqBI/V1kciZ
9cICrDpY8pbDOcll/5xO9sprwncJ1NEr0sOQNbeejYE+pjut5m2b8x8q9DJW8sIvc2/EZzUNp7AW
DITKBYD9VaH4VFsip+DxmcO4Umz/zdkgJLw3O6RxHcp9DiiiSpGnWP5vmzoRmtUO2I64EUEY4Wkz
guy15rghigBBeTQd7QSsH8+wkDrBX/mqVP6pwyumT/0jpPCeRnxTCfifEkheseaT2YlB4ltopw3R
9RTsTL8NV1/r1mtrU8EZEv9BygvhNujlzFp/i+srRjM/cXelKtCrUxKmRnohxeHZVl9l+qr66VDZ
nI+Vc/Qtnbvnaw5zcYDylfbSGLD8gXXWW/8wDeNOlBUwOd9YqZaxUohlX/Y+WQHoFPUWKlF2bqEs
+KmP7YGyuaruZo6gJY82OhF7TYI0wmN+2nYHS7hcIZIkk45CjabBQbEa9PmjHN2tqyP4dQEQVc4+
zF71ACnKnCJCFEIn/HsBLqlSIx6CedFXY0FkIoWCS1rOOjFPanJfZd1uG8s695G3sdg5Onm4MPRy
X4lhbdftIWsLZEBIzBhZ/lVBdlAV7+F8CaoG73C6tgm1skYWIsJdq7J+VcmnzL6mFrhJVawBfHMM
sWXK+7U1yX2mq12UTM9BWa58dM9sgZh8Jwt7wvaFs9majhYzsKATKy5m9E0ZbCNiLo2P1idb3V96
0EkrXZzNhj1Jom875CpZeooCLhPZk9/7w0uBoYf0PCjGw0QLBZ2RdHfuYOcsYzCVkNx76eyUD0uR
JUwBMaQyBNocxoZjYnLGqpvHzl+RzRJG0cYkawmzhC3mrmF2ubp70q8AgLMSYQEYkmarFwp3mX8C
SdP2xTVAPMhdex+bbqly7ASOZDdC6VsDDJq0r4yu1ESGacvqmIbeJo7db6nQbOjN1rAnDsSVF9/n
HiTWm3f6LdYIKcu2DiXJR4kybkDsPelqX0Y1EuNf2aLIF3g1ZylCi/bFKPtLpmNPMfSLJbyNU5c4
uYb94IDcT0KSINh+a8I41X6wCyyxcvrmphkuxjnIHUxUxSgxpJ1dksEnb9MZYO3+5Ua/SksOU5SK
KRPD3sBSW2xlgxKWktup6q9MfdRIpHP/02G0DXv24U+st0WxITyOFOc0/Ui4kcNoxJQzhIdQMaCN
2y/XDe8l6/dl6nZYfAIW8LahZhtSggFad15Ff/HK/CT9ZDFkdzFb6jEletFRr9J9hkO4ZwMEBIEJ
G9+aUpyP7n0mneRw/pJ4W1Tv6RQfRHu1IchEyXjC7LGp8DT47nBJ4wlLJ04AROOWrTB9N4t4oPyb
wQLK+1ciGbA69RjH7CCUeTeJ2dJl+WqHzMgGd9WiB3oadXiCQF1dhRqSwjJwstnxP93CcAKmkd0M
UaFlLH+1KmDZp5gTxd9GU1D+KV66rnPA5sTDOyo70pAkc6Em8hh22HVADFWwiSOClEizFMArijLZ
6GhRpupcjfnVMsi4Qn2Sx9mzb8IhEKdERuCrmoz4u0SjGLGPZfQjc0E3i6gvZEtTOemaCd5+wCHZ
F4BcKuMtzJhijs2sNgaCAfHWTjJCMJDyDz+dzTQdWt1KD7q9PrpMf8pNMkoM8YDAW/NUNfiF/GIZ
KGmio6FKm/xTmPc3GwlwzNGm6e1Zeu61TKKz0Me1mThblXfcnx0OC0F8zcUpXqbgWRspZwZxaT0D
6z8ugqy8xoV1GMNm5+HemtAYN6b2rHkCqySDYaIurb67JBCn6xAmvz/5u1Eia7QAW88zZ7IXEg0L
Jt2UVncnCVk5mmmBQPIgRnNRZ4dk0Bd1/+6n7UY6XJHQ45SoFy2piBHHEL8fSyZE3GF6mI3oValD
9jU31Ocz4tvg6JKbpMt2juacNS5rJSVvPVHnYKSiDKAkGUHOQGc469W55GMLPa/OYBKtxDBR4IXO
oslmLTnaOStmvNhiZucAN+Su0n9GQiNM9mpprO98KCgJwGL4M6R3W7vOHLeVxi+ZmZgs0J858C8C
AbB3DEF/qWsoPHktmu4PEd62iZyXsIoapgv0Yphy0acqFI5QezuzePXmWO8YsWaHjCqe+2DcS62v
LlR+aC0wlzk+ZxeP9TOlT2tmt4vGXiM17A9Ta499EDy0ovnlKLmMtXMe4+LPFqiCcrSZOr2iO0GQ
StibFmTE955vMugxGVZ29I0ZNwQoVdC2YuLe9iKLD7r7KmYBdpNhfzQD99AlJYBdD+diWIUvDJKX
spB4s4AFP3GnPXUlxqHoozfe6/FeldOmDxL2dASlqmI3RzfRUz5ZVrgWYvxtZc2pR6la1RWRnlDR
jZzqmPukh4QOiRwNTEMPOEWEzcTZzijTRy3eTIs3pqZ4sGwBUBk+UgCVSSARGRoSahWdq+axDY9q
75ZogPLMeN9zVo2wHYSSBzu1zhmBO2CabNTs/MkjQHy9rP6Npflq+8Rh0+5rmdilrQ2CBHZlYDib
zNO2DDAX1NhbBypV7OkbjUKY8d5ameoR5+a83sPBgKGLE1dLm30UjywwXIZN+bKV7DPT9t6w4FuH
fPm5UuuRo1QiPRgb+9wAxG9F8dm1am+4tNqZs5zS8pTBzbNY/ubaX1A8EqLwGM/i08akY+bE/E4I
fIg9ovliYIib30btqbVgG3Fz5jGOzjJ+dOT4OEVBWGu+T0K19aovRZ3fNdOi7+8utQ3dCs5yhG9t
civxb+FJBUTz6hXDezGhBVJEnjt3ut5/BZ6+yDA3FtZkLS2Z9jRwj3H3SLiS3NfaDFSgw+qjo2yR
ksWz8GOpAHUGNnlgbntsZHlLYnV3c+Om5VCHJwsoCbhH3X0Mqfp0ZLctx62HPbKqtWXZUQM6pG9o
wb+ycRcTu1mPgYOuMHsypopHA1nCyE+6NZg2pD+R5hGLNPsE9OiHIPJbP+I/7wzvRZX9RwO37Cls
ZkC6cYDFSask4RpNuXVDOHsTMZJ4bcDR51CiGOjVSssFX+Xh3tI/KhzSKQ8www9bGAPMtwkPTlU+
N26yN0g3MkXwDQH+yCIe7q+8+ZhDOpufZq6ulSWeK4u4FTKNTETVKESuXAwDkywmWhrK1yi7ZE5x
M5jrxWOjMSkPNnZdHJyctM+S9rBAGo3MxNH8j9pCW63rD601Tp6Fg03JloCjaGOhiZks+2zn3kaG
8abxkRIh13EUlVZsPoD4QzKCTcbE5jzoTDZzl8OhC9l96BE1BMwbs6nvcWWvDd17KSoamzYZ1nUn
qRFtVGVkrWTOh48iAG/Xb0R5QvzI1e1CFxPtiPsZ5noWGw61AhIWqRH2HgColnPuUBfpc/I2tBE7
ZmtRy/rFaOSz7fd3RRPKQBP0ogkYbiiQsUNO49lvGiBNLYM7euFLhhBET0KmmM3R50ddatn0NPgE
4nmyoDtMN0bbrlxq2ibWrkwtiAjsYQtjBRzVW9HQM2MM72nwI7MHskTZlzgcim0c0rOoN3rNXzpU
fEIozKqS4VgFMR+FPJNHZvTCfq1YV6T4LtOh+TF7dp8mOSrVtBhSlORyOJrsOjX4xTwcmuVsN4bD
2s39lW47eAzFKvQ9gqmBVUCZNWhXEEkvJwgAWmcuXbw/AsqrjVTFZdzVReKu+rRfZt4cC4ZWpfTf
CwtcIGWH2zTsn+pPblh3kYXerjMq+guc4tHgx/jXZyQ1bfEM0m6kfu9TNLule8aJR/htgJ+sAIzx
13QwsvL3vC0p2axjbY+HpnQPZTOdyyy9Zn2yCTK4Y2Zt7yLrEcICslqEsC6DCyToNtvYxVibCBSE
6W6ZjDw3obUo5jmjX55YeP+mJRhcAXariEiGy6buhJITjX0Wn6sQhHpOAECqeeypEL4WnJ2rqbHv
gnM2DApklSWeUSzJGO6yGEJVgRo6FvVBq9trXzRngu7WJaUE0CjrvUyRS5Rxx4ZeSxZF7eHHdeFr
mKuir+hTrfzuKqatqrwwFTvjd8EoYLzWZqejyeJYFx29UxG79JLZZ2u5JRkXHvtavdo7Wv9WjPmX
H6vllLuH1opujLiZKYFnIWESuK9c437/7n3W9m1FGGPDZ4hZm38QEBEcUbyb5bSXXfKby4wwM+2Q
oE13SpdXIbraPdJ//iXLCyZSbROsDcGoKJMHh5Io9pAlVhoLiJDhe4MvkQOSmBETqttEVnCTsHDS
saTJkJLWoxQrcGUbVfDVZfkRff+2JsdAWshhzfBXT9RzaQL+LbRpYyQomP3RfoSe+dk74DNj5Fwj
ZVrYC1SKVNKgxseaeQw5UmJy/aehY9KZw4rJnS5eevq0U5YighpTmdOwaPDhE+PnCbCqVW1+NoPy
5A7ZXyJ6sr7BxxayXCVmS7CfU61zRbyYFu8zYom5boo9dSquBqQfhrfL6Wnc+l+KNrCZ5KXW4VsL
SFjMt4yU1PrUX9giflSJviHolwIf2rNNWnfV1A9WhysThjfhSriSQv05Y5c42d1SM5AHGe7Z1Kkv
ixFLiVnteHiIyLSVmp1RSdesGS8d1GSegwi5DAVrnfcnU7fuRcSBn+WnMPHXWa7/JRq6ngo1kOcS
sm42Eld4ufahGSK5wStqsFujRlEeOiKBRpVplomILb06CMueRvahmWDRxjQPASLe+2l6DAJyYCM1
jPi6t56orgeEUkYcHYRgHZWw+dONCkHxcI/q9hz7d8NMd1LvD1Fkf5MXtirc+FDqXMiVfjJbVt8W
QVYCfRxwSlkGi8Er/4V++KjkiCrNOSY+e/qRhTqxt2hOABQgDrfz90xMj/lRFQr4m16s+Qywx2Lt
YW2VMLqUcsBoK//qANBCqRWXTusvISZLzeeKiK2TA8U57qdNHPp0MCaml/CvL8Btm7ZlYfAbqNnQ
4oTFedCcR8MeS+tYlpg4CwcP8ggaiqciTZl1e/RJvYkegUIL9Jp5GA19Y3UohkYC4GxukrB1rt2Y
cE0BSxn0GyG9T3nvLNmbb92UlDbq5KecqM7c6ACmU8WgIO874y3wEeizTyai2sdrh1sJ0nDm1mfd
YbBRYHYLHPrbgTod0zVRiq2zDEvMKGOUHRsdI3TroM5re4yQ+SyAbcL95ImXLCbQDovm7HFCpLJr
cPjUuvFeGcOjc2flShFsdH9a9ar/EK7G7x1uhAjPKbxddIvGssbVBa/npnUs3xvXvudBtW0n+FuG
3Ltdc5147oWDKiUDBh3aIRKNb88BfRWNd8fyqLvMnMVe+tKVjFxdn5JNXVK/4QTMrx29mgsYzgry
eyfjh+6G+7GbXrJJYxGF/6ZM7hnYhMIGfsHqmi0MI2WwdTrAe+LmsHMCYMA6ouSOYEIaXFgy6LP6
m4Pdn65r7cmZ6l5svdhZWSo9OYRGmz7QPL3zPzx6EI1DPuwcHwIcKs1BfTfeG2fGuxF0d8NjQExA
iGPc7cldRAVduNJuHVCkkdLUceurh4PJzc13d/SfQ0ZuGaHgFV0KCoCdWV/BzGKfqFeW/ZKAT+Hq
gVPFughtoDlq52lATNHzxpSZeIlYHrlYU1y7+kWi9RaKGN/mi6PMKy6dX4uTuIjubKvPVezsnAGu
f/TPSfk+kYMUDjdvBTnYVkcjQ/8S5c3BsIYTIYa4S19sI2XDGaEvS9zuGIs55gWVuIzIEyC9zNcZ
ttuIQIvxqwrYAOFttaC1aJgC2QA/DyMvlXAXQ/GqOQ2uu5ReGlxcZe56M9hJ7aeAD9i2xXZ0gaKb
XUOxCgViavjptrDaeu+lKt6HhEckx9eoRx3NlNQAxFKkJChjLh1sBltFSM4IwU0jt3g34ajzM+hE
8EKSHBAGqOh51zD9i2LkHoH76xiclTkAqwRUIIGCgNE9GzeY/lnTDSs87okaiZ3ujkUCarz1Txge
z4FyPyyuhVKZ716VP9VwHJQXv4yGTVr7t6qLFyEBXKsWViZyYHZFRt5vNHxOIjoaU48DCSuZ5aOA
SNKCmWm6LwyNEZU/08VWJcFYXkogiEs4zBCfYh1khFbrW83tQC2yyogICh0CSFATlSpc6ktco0Zz
vOiqZHN2JBJSo3NIR+6I5mQHzw4GVcvGjJpDhLtW2N/TvGxx3Qu+Deqzr2pwfxKvvUzFPKZGYZCG
jk9HhNepYp6i1PeIuHkSRJxHmn0tvZpt+rgMIENYrElgTDfsXi28QW0V/TRljlSSH7nfjWdSN9YD
cjWm/bsR6XUbkZzAK6K33huo+HetJhcLX1iBvDNz/Dl1UXvKG+6LbHSPU4/Wts3Z07f5BvWUvqxH
Vicxm+gcEfdTbRU5/g0w00kWcR7mIG9gt2vaVypHpId+sBVjt9Wj9uDrHMymRnp0Ng0XbUjBHTVU
atm35rn6MS/ZmLkKM3CRoxdNJPmBvd+QOVhi3dCb6b3VrVudNruyw0FrUuDWzR+mjVtYsmZl5k7Q
k4+WJ617YhgKHzlLv8ESimcqNX/tEcPaKLSPGkU8JaCbPc0vh0efg+IB2cIATCTvGW4aFvMDjsnb
lDfEBoojohL8B2F0qWekmFGxAdPV2e7Lm9UxamcsANqhPagBcojKzD23DX3KiIhauewZlJmcgY4J
ABKg26ds+tKK8mLm3q2MGcxXFX9m1H/XOCuPpsy3dkm4tWiuthPuNbLUnTZ5bUAyKKxEGVFrSAP8
fw7TsJqSvVEawK+IPtmzIQOnrovVDOc92X5zVIMB881qee5xBR1g1MvdlCJC10SBLN86RXp292X1
6aOSV0LHFGHhqQPD5QLwIk7LtcgOTiOaDCP9AUO8nJI/r+FHqnl7AGW3QeWfTA+eCYLYximXcx9/
w0Sy1p2wkZsB9mOHxGib+8RnURGlzi7m8n5S/qcNpNmBVFBj0hJO+ePaxnuXTHsmkVdnKDeyDR+l
N619cyBRVWPeJXsPe5rcJ6lORaThVAdRRZjIIojbh1M1d8vJLlUBhJJqFVUKocUox+KJKHZMAQN6
D5/rMzHtj7iXyyp17nGN8nmkUhjBQsWJQlmHMnUwyM7zyD40sIh6ZvUwI/8lNaFTe6X/sHXrhYiH
X8WoY2g8yKnQIkS4A+JxdMcejpnX7WtH3w18/DLNjrKsT/9RdiY7diPZlv2VRI4fUaTRjGZ8qFcD
v733vUs+IdxdEvu+59fXYtagQgrBhZgkkKEI2b28RmvO2XttWlM7Y+Nz1db1GJiNcXCf290xiOHe
JazfHKyxpHKN9uSXTAI76WZsrvO4DWIuc4PCyI3mzvFiiHgJtmkXAmJQkcduBce0jC6End7MwnlJ
C+LhWmdP/AFEqhWHCMbV1VSBPWQG1dBc+z1GVfCBsZNsR33jwEOcqP8osQYx2M1d75cHtvx9NHmn
xj0flXIAjWTyynMgthXRLdHR82Ygq6or+r2YMjK1qGqiTHVmNGgKBe44NWRKzMl+dhUBNO1uyupL
N6XtzdckoTW67TNYloFr7zB/pkR4wbgUEzeHcAShvfQrtosQtJwa8zKCgaltCp+cV2YE53NpPboo
fGYnuWxasMVFiNjC4ixYkY2suAFuxQy9L7WW86Fx7lWynAqH5J3ZQW3Tpg0xmepj6M111/SPkwOC
tS3sr6J1v5ice2C9QsJHlKVeiefLb1OW1ArF9xSXx7ZY9k1Jw1bE+THATDjlodyPjbds8yh66ozA
8cYyL+A0BNNTMmdPbkueCL16FiFjrbQZVqm27E8qcl/HhDsZyN+bmFP53hn9/cJC5FmSUwBEJ+oS
5a7EX3DWOul7GXof/6nyi+VL7JIZGy7Wj9D3Hivbb3elhbWUGMyTyaYLYvqu0nh5M3aAyGUxTybH
q9410Tn5qocJMik7HyaoCcpZGemX3syv1RLeUeM7ZKRG1mN/jLirIazsHyAdBWBMg21fFBMsephH
Nqbl0q3upZc/WfngoEYcXqnm5sc1aX5oRhvV1XgKGxbT0ax36wRpRzdR04JcTOeFUm6e5pgU7QrN
3EqvK5ZNJYJdJ8fHMk8wjyewIoaOvpMsMBRGuXvPmXjNmaseck/Rt0XO1LoX8WhehhmLY5Cm4xqt
xtrWOQ9N2/EDRrDEqrC48lJzLbNRbThQENUxjTQrZnwyoDVtmw6tHrhFJKsJtnad+8gvmsvRABln
5I/RpbdbG+/ZG+hPOiPn146b/pnll885DAp/hCjQTjwE27KavUM6q59mhCGP3Tcrx4494oAB0API
xvT1OyqRx9ie5daqJyiO4t4axtciqdCAOdy3ZRgdwzGlmFRcNBGyixiV+0JGYX7TB/WHlBxhUoHz
2y/Hq9ZRX5mo75xyWxo/NWgkPhpXCn7Wycw4EBSQwSqm+gcJ4TGWvb5WSOHxT2UW238GDk0nAaqy
GKiTyDQE594e7PEmdyLO7lMQ0TukjB7n4FKK4lBQ7Y3j9McAas4izyvve7IYyA0ClGlXNJg0xGdD
FvdVWD6T/LhTxj9vh/eG6kVA4RY7bRxw/ktegdjTbUpoUr6CmLkLyeX2C+6vC0uvxe2971uaOAXT
JAz3RYWFOSuv7H5+0ySgpboCMN/Tp7vxHft6ase93Zc3VoJ7Bf1RyA/G3/Pgt92tXaszSPlVO2/a
wbmb5+HC0yOU6TfIWVt7lW7QxF6EfpNhfkl88KHCFD+QLTAivN0q0ibO28jJDzVaOlJHu/emrb9z
KMbh55LJMuAn2/UxrMo2aovzqfZojwJkMn5fX0y4OW8HB4GJbMGTUVNCAAFcvKm8+Vx3WXJfe3WF
gbhEk5WRXxrepgt4XHD+XUW1llACj/DYfoV3TCwwHa4VjwtnZPv3dhHgAS7Fj3yh55XC9mggowC5
wnM037tIzlBq0VrlkV5O3GbMdbVK7l9Zfez8kAOcab5447avr7vl2ulW+QmXCHVMCD5PUSltwOoN
yUFn1g6S6SYZHkD6R3TSBd2U+mnRJ9V+cc2pLoldyMudaYptUL6VIfxRay8AaE8kQenwCGxy66T5
LmjhA/hbhMMjVmASfnp9a8a7HpVC+4ork14JXZ+zanzGlEoBMu728NGq/gqklVuCeD8utOPW6IyV
/c8cQvB6FHgEaJ1GxYM700BFpbqmJFznw4FLO57fFFVIEb6E0LADDz32/dTuTA8HDXbPAmgBnk+Z
4ZlFxhlfc2DMuO+76mqu3mK8VVHgc938YQGfJFCActD3EC/RMOSbBH2d58Y3lDZ5Zbn1s5pq+nw+
09cNk03S0Ca32CY63l2ru86Q/Xk4DmPGjLEJgERBzUbRF+zm20Bvi3TC7tJtoBWXp9rneUCffo3c
8856oVNPJJgVXLh3GEe3dK+pv5O9Sut+I/Qhh3gqI6jAmALDUwnSHAZO/DJ73nFqEKKdiVd+Hqcm
ANnsSgSXXOHQwl9MVMYlmygtPm5aZXyzNv/r+rkiOSCiM02XsSSyt+R8SFgGoHd6baes2MUSdRLn
FS7euFvYdIa18LwpUPna+TNMZ4d3gcgy03yNonOmcd8dqJyQfKaG82nYo/k5a+igRWcWZ6Wi+r4+
2/aiKi6Vs8K0yuprkZzc7raFEtJj34ipcG3qifZItdHF1ZDdRs60QYPlfG8o6II+EO4NIRd2/z4t
aD6u2/EuBW0rDiq0SSg7cMk4c75pLvEeRWFHH8tmP6DjSdYuDxLl9FoX9/jcfICCXGkjuK8FgRct
f/VLip6hi8/XPj3mVeSzhXquu/u5/l6lmEmm7xWpB4aLhU+9h2ixhp8wrU5dcs3NrMGWEPgID0Dp
g74sijNJ/YX7DrKT/CKZx3sHDmMZW+celwIcMmyDmBMuDJ9oeaizi8JHSsqVAXhQzfeAT6DxC3sv
mOkXed8YGAfPLTZIa1f5J6s/Nd1Hn90s7f3iXmD/QB7KWxFyersH9kScQk7Nzaq3zswaHMAeXWAm
Zo+CAApQHzQQqR5h/NHALd4wN7TRMyfitQ6+HEe5i8PtVCL4Pi7dYQo5yQyos8/Gyj7DpMItFb37
YRVm0fXIPPYGZl8RU1dGvii2oqWWfw8DwoVePrwFyYOnL3JH4FeUx2JFZsgCF0y/M3Qu2+sh+Wpl
2WFZofxOf0ZQB1oZ0f7H1rrG8nL7zq2rCg5U7V816/SjnuJtnfKHa9/F5b09fcUjmeNYRYkAjO3A
ok7IRxq9pfWxdp+oCyoWkkkyl0AEpLf8v62n8b+UCB25wGHtSK/sGEJsc5kH5K9vbdpKFTdlbzB7
v0WNsnNQmFpvaggecnHoFX8BFr9ZArjm1IHrjsbTWTxfzzSluIbt2ggR3QAuvXrAb7utbRwYkiZS
TNaUJsPxoKavkEj2AAM2BvdbqDjAeNwlbxt1V8a70D8kQBgWcedOp4Gqx7ImtbVPASrZbmnYP4+e
tTY9vrLxRulbZPb1BF+wem7lc4nAy3rM05Umgcdhk5vqrA49rsHv0NDiYZ8A/vS6C489ZiWaESuL
3sE9Qvggv0ZYOwEfTACJ4O44x2BW4PObY1dex+Ilpp4gYMuk2TVtMRQm59YCy9S+6dmQp56kK7kd
ug9wobK7mKIrGthpiUpp148I4GOaM5uOGZrfReiu2R6F/62ZLqP5W+u+gUyt0eaWVFrS6TIr78dR
oKw9JqsTdjqvZ2B70fXUN3dhdVmNy4ZEt0OaANOHxRhcdfFLGH3z8TRMydeQ14plawA2YVeXvTgA
GxiiJ/Q88iZRt6Tc+HxzIEB+uXfwF4Y8n8Z9cZ0fNieZZeu7X7jCSnevxYU93UCWRHOQT/s5wyNz
O6IIHFmOeMWItpzTFxFSLiT5bbrVBWdankh6qrlWkSqStRBsXpp1w6DyS230LGV+l8GeM95JETUU
HSskOvN1PT45lOPVu4VBK+rJLX2AgH/mNiu8IAPYUPl3YXtbzHvFiT0AXAc/2P3SEt9Eg7wRKD0R
katzXC55c9mgALQAAAIj7btjhjU5X3yW9fPIuejUR2O9aus0EIeRkG+nJJ2XnfPa4oyxUTe2Jyf+
5oCR6fM7q31eLBf3E+AaxeaB24Xea8FbIQnOjLpTSz6sZfkv6UzYBrDMZDlqD2w0RVqOzlG4deRz
UsIhOG9Muxvd58wSiMtOhfela28rskrsLwUSm4DreUP4Gpq0gSideeVBXE6IIHHLF4IEl3sVp1sX
uqUXnFu8vLCCuKhtXTaYrL8OBJooil0sLfle+M2hLQDZM+Pi+1VawfQUoYsx4biypHo4jpQBsadX
I5JmvA6AjvPzmju5iL4Sr1Zm5xogZ5LcJ/5T5aDisp/EsJasqN5GPpErdzaIB9ro8AuO9JFYeF+V
nQHTclHxXzXx45R/0f5z39AWOro05QwLmRrZd8dXRSU9B72PtYPbTsWh8srLKgRI/ZZQuH1nmg1i
RFYGqJbzZT8PdGOqQ5fSDd3bfnhq3Xk/U7nlVspV/0vJPGymI8j2w9Lmh7G4lhLzsHttCnVsLSDg
7rGTCHeAzSdHqb+svP0Eeh36sUZ/cdJ4h3xx06KGxY27EKZoSnqW/YdjrhUWGOTpFJxQzWPxZf/D
IdUAPQCD1psHK3zrBI4tjJh+DIFjwgHcACjEeb2KobzxWcNxGiN9FGV9XzrRa0BijqkFk2c1mqFt
QkfgIBk3hhAkesFBWeKPF2dt71/R5STeYjq3auuhGyiU+7g5stWvEXvxCe7FISJ5zolRFgNJgcj7
FcUuV78cPqhdgLctA8XarbaK3oZNDHzE1pON2a7xVlMa0VeTZ1dXZVMK6JQBehY/fUQfAogXGFRu
i02s/WO3youKKHpAs0zfFK2HG+OA9fVhhtOA77y9sBVQumnlHlg0jDd14B5UoA+ZCQg0C5Lv6Lvu
q5IJZLosPPWqfpxrpG4+VeHbXrXBSURwgefQJ9C+mvKtFffVS9LVGLZm6OyIW2fOWn4fv0/+fyog
0Efq2b8cfX2a3GrlHy4YrBVvgCt5oyvyI1q1RNDge3UKC+tW6zA9Bnlfn/ca0drcFghJlX1V1t6L
cZwJZBFTbswrSmyh57CKwy+HONBeGz7uWTp6L0Ql02TUo9x7kwqekTnQWHA7EKoTPVkIiNRv9PmS
Q/VHJ8l5bpmufQvDTl65en2at2Mp+wvbCuuNlsRP6REbvSeca4q83KeWqwyvg+82nDbG+SLmoJfl
ArOMuXF9CokRR6uNaPBT01g8VliJu8R+c11clD37B8IBbqjVxm6Et81rGjUl3Y9c8sqKuB8p5EMX
6YH+eYSngBlIy/m8MGA6Z/VhLHTqwDLZZju84m3tHiah3COyk+MUr9FEyblSGhCRP2GtkHyfOh+u
Jzd9iSme4PU1p4XLzoxAf3Zqeng4w+aVeshW29IhLw3gyaZfswxSmlQVlEbb88ixIJcAg5TBtDID
jQ+i5AdqXFKBSXHt1b0gidNKIDHHHQizgpS1GUG56imelF9jae4HtH8RFoRtOwyHrtLfiyX9CGv6
I3w2OjoT9JPWepsi7H2SJkHR2W9dt9rDrW8iCb9HrvVUKnAoPkd717rKyP3q0Qq0ogF4V14lMj51
Eb+4lV/nJtpWU0QaJWvc4p46DvaZNM+Id5A++sUV/S1Bhx1HT5efcBzuB8213ITHBDxwnOCnJplN
ei2mzvbc1e3Bte3nfEQrifwH8Vm8TRrAjh0GisXDW+IV11yOIcJ5yV3ekGCedo9xy32p9WGsQBy0
Wi4w4jULrA40ioMbvQu0S2Kwo6EViMNg5tH+DpNmwqCh2kKN77YbS+8tTJGlfnOGvu7prYH+d22S
sTKb4McRQwMkT9fKUloRRTkUHLpKryxSsQ8bWbKTdFa9gFlie6Y1G7lVRoOr9UEpUcwgaIW8RM3x
Ea9fGFWWuIlKo4ACd3kAunDjFoUvyZdsIWuwn+qmQgtL3nxDOYstrcwofi35KsJuBD/bGcC7hshj
7LKNpKW50Jt+n2MuOj9slJeEOOilFQRISWsIhi8B/+1aGvCdsNf39aBzWF15ktGzQvsb9BwarHyu
zNco8BAyUATTUX3DXXeAI1qaNmVt0ECo1iZPz08lt6m0Oi78wEW5NHT0JKiJLItDOYiqkmBfKQca
lBdjmg9Ftq11rkaOHiEH/avWJfobVJse3GrTeiEpFWPky3OVjknOLjTSo9i2xs1h0eGgi8gsRlxb
cCVNkTNmr61PiXneFHZUUh5LkS8F74GiH5HvMNNJavkxWcPsTHkfZ73ehtkUtIQRqQB5LrCPkLCA
MgoWVSMUHEb3CHay5D6gg4p8jY02dAVzJh7yTpgKnQ8Itpqn8sdSC0e8uuitQO4YZjfX+0YgywU2
V0eqJElVtWPw3IM/MY9hYcIKJmTgUV9bvAm5GrHLluJwJbPS639A7S+J4Wh7McDTzjuTAmkpisp5
6MqmoSxsp3U2PqUdgiXUcjTekNkh0//mp2BFyfdso058Dx1RT+CLh6TvXxyqT+LgMK8Wa1U21mC8
zJAWItkBBp3JaWxk2nORl1Num/cl8USfcOZwSii0uRUUtnOeBbbJf2TFaBu5tQfNKUGaehIprRvR
UMm1meTeKvS3KkLcpOMU5irtx848osUPNVrSbvGMf4jmNPNdCiedgvOtpCl9AL6+O083I7scuuei
YzsbYzeY9lkdCYLpx7mTivSHXAeUgcfQo791FqnJBF+6IYmx3JmumeNvsTYJZtSWvbX/8NBUYjVj
9ehO82DNq5u19RuHllobcjrc6QhDRzQSd097UuOYpEoohiFtEWzQL43FsSswlI/nWlglOVpzlGj6
yb3lxSAYc3gsqYAf7/ouyTB2Kxxr3/tVOT0rDB2YaROZpF63Q1JaUm1Nh9ajR+t0Af0nMU9L2qAE
L7JggDwUdgPC6Zb+DNJEr3KiHZ+tMUdRLzWdls6zVhlPjv80HKCZrCT+EG0VTJ6+aLiP4vkpOTF2
XTMA1WuQ4dMS0sKfn3PThq11UbR9Uky71hpD017Zrspyb9tHYdPi1MnclQgazJms3gbTh0sM66mt
5VfBh0bl6th2blMchi6Yyi0vW0gNBF1BN5idiJtYPLQiCDJ8mSxnVf/UlqWXY9HBGdD/cCjs9/lD
4dFsLL7L1gqR2iZp5S/w9O24oJzQRbHJ3mQgU+cqTCNZU+ItVYE0bKwxQIO/cUqJy3+2dO6vYb6t
1z8H6ZiK+ZA2o/AnlCJ1hPCYE8NAuazC7ydZlK3Kuwn8RopzO68LQhQFv+Hj5A4lt1lsZ3xpjeqW
NmLYhsyCPE7C+gsCIcm/XKMNHK4ChC9Iz7p0D+VFP4a2Ih1pkrRA7yI7IsNiXnQBcH8QAJJZPhEt
+bO/ni6jntIfwrH8ougNgncUdmb4LmSmiPnUBM1OL3M7VYT0+t0suB/1S904P3ihw+WK78ZUSJYw
je8APJby0lXOWjAAPMLendjJkh6iLHbcSzU17Og1KzgWw8TjKlR3XK92lBZNcmVJsxYBm8a3Lgca
sssJunEHyJD/eH5Yuji75yeOk4vYb9Twrh0xLSe7jDPgXJGDVwnIuRfczdQUNFKIzimO7tLnPkyR
rvD7gwwzG2BaZnG31UseA1ususij1Dolpr7HR2YBODRlYcfUwZamHo5oIv0OLG2CZwiXPD2O57Yr
WiylFpJHf0etVEZb2TWLsdlDcMa9+ktF4ZQp7FJeEC5Cb4oR85L80CrPR8xPcRg3D0iCc4qIc2AR
HBWK1NRfxlbGHKT5jSzKIE24jFglsyBAwBIW4RjTMkKicMwnos1xj5cLc4cS5iqt013JWYYkN5Ul
jBAsZTacp4BpAoc414HiGFznsA1oz2e2N11pnzL2OS9F5dG2GBoMvJyukfRxsJrV/GHVAwHwoW89
N4j20OclSb/oC0sWqaTxkBZZAjXJn0LkzNM0w7gHxwC6bRfGQU1ztAL/w5Sed5LmHSDLELqfyRYu
jKU/V3GEYMSEPpyRmkSKctIyaAlVlxa81ryJ+xh9SDlkkIgyL0oPk2NofeeKVWzvEsKlDwYnh/U+
sQ9QgBvpmh+6goDASysqceG7OfvE1oQx4k1TVDAsNfyK4NLyJS1z2zZ99OFjEO/pvERDcKitUMwX
6LGG9okUkRRfV5MWQPVwMU5IpFwRsHhY7My3c5pLqEsOGaDUrcq0YJWrRErOddR9c5nQV6KtS+db
VLQNh6xGiZy6jat6u4fXZMp8X0sbH5iVIDChI8cN7GrxIQ7ctkNrnItqtEbWC+ZsfSrcupYXdbgE
FQWO0Onm70HQ6OwYu8tMNaboQhrOxuKNaoKuRWCYdrIhIaTjGGvJpUieoiYvuide1TLZjC07N4gM
px+vWbHn5BwNRcBaPalpuew63nFn0lW4bTuN4xWHSv9YNBKoT2rSSZDFY2CRTcaLyR6k+UMkbh+V
zD0LrquqzsdpJPc1pxUVXdIX7Tu8giXgcgSL6HK8VMXjuas4JJ5NSuroyi5qOjQj1cph1ww09Pcy
sO1vjvSWdVMbjLx1giBFVl8NyHhAqXkh97zKIZtoLChmdnbe6LclFimGj0KPwx3118w/5FJrRKxa
d6xNTWoQtJWWP2Yn4G293CleFrlJVcWyOE5uqZiGJczEWjQC5P2cppzZ/E58RF4zfBv8suPjRC5x
AM48+OBcitG55sskN1LIqCYJikV+a3UjLZNZI7Mjfa2xEqQZY0odPQU7RKlwsajMyQ788Ixmn6Sg
yCe4VyDYOtPjgjs2szU6wJnq6Hzme6VCudG5Ne6yshrNWhv1kmup80ltKnjQpHh2XveetlLS5YMN
tcZymDyjDuQk/sHUPXI0i7a4cy9iMSFR8FJf3i/xQoPVcVBN3aTwV25EFSRfsYrAVXG7JARKX+cz
Yg5BgoxCNv5ae818pwOD38pp0/BcB5pCd8iCgloNWT4lXrcuCVQKNYHrdQmJO8BW+162Is02kygL
/nce5m+o4jU9ZlT36T7Bk/fVFoF6850Jzz49ZaJ203qMcZWELFQQCUT/Do/MwNDII7SkMzWkLzMd
1XvAiPVHnFXk66iqiLDTNXGJwgx7IWx9mfQgdRB7ktUrvYiQTXSy8dF1JEhOy9cCzCQQhYfG9hZS
6zoMdQCRgM2tx3VmgaVcmVGYNLAYrWa05u3MKsNf3I45lBw37dAHtH5JjZF1fN5NvWMRt4WPvdiO
oSZKOGxswYZkGcyLDF6Eu4IDpn8WC1/BmMdHYe+wdoJXnaOYlkw7JmTRe8AgMDlquxgo4TXd42Sh
ltrluQZJjcFHWXtWc89cJoNvj5tEhYV/ikLVfYPVPxQkfmMzw3E4K25FzCuLnVoiRbUiBAswqorz
KjcaPjRcXZBxY+pF9xxeJBibbHBBA5eCtOVQKhgtiJ00KZVpBIIQUyJnG2VTHt3PQ2bXT6CVim7f
cQNLvzAhi/YGe1ERb31p2Qh/oylvjsYarebNK0fiU83cjtFr0/d4Zh0Y4vG3LIT1ty97B8kOqLNZ
FERlQOpKb32Yacz5BcmuNBxXBkwsTurV5ghudc6effRXKftW5Q2XHV2r8TQFdpl8sH1mTJJlhlCD
6m2I6JVyIrCCyyH2EBGcjdzxBo6FDdQ0CjpI/gYKZCuV25mX24kTOzqieJknKLgtp/jBU6K6M43W
LgkD/oS03a97dOkpwrlpU8I9oi3T5JHN4VpDk2aiR+0xgNUTf6uctuCAUMcWuQFRRdCXL2Ok82lu
UP13xcKNNBms7H4cKgtN2Vw6aNaEmdQN4RJ6OkA+y+/TwRP6Xrod4lhw1+EbB8Kl2Q10NeQxG6QX
PoWQQsm06Wy7oq8T1QXrwjQFSQBUTJZjfBgQ1kGF7BsPWoOfjVeqHPp4J6uozK9RtVIUjTFInpps
cipec03BXPUKnu5Q52l6UY+N7g4xgpTxaE9FGiH4DXMsaeG6cC19WYAzW7jpWDRb0tLfZI07BruK
TS560WgCfSx8Mqc3m1o+p210KC3n9hBvBy2YqZk71KRSO3sqcRJUrnRpbv5XEMeYLSsWfZxbW1ZQ
OrsftX6Q7UqP7DdcFDmLGQDSeLFSrFXNesZXCDOiDJ1C11HJb2putrTE7XKCBk3RZkmfa97jHv1W
FqGXQ+3gy2nz73/9r//zvz+m/w6/l7dlNodl8a+iz2+x6XTt//xb/vtf1f/7p6dv//NvTxslDC+H
r43QrqO1z59/vN3HRci/7PwXFIw+qyI80RlITAgtyonibZ4GnXv2+UD684GM/fNAOeSY0tIUViZy
ZZKLxs6CnJwqUEYb+HAFzD4yV8algLH++cDqbwO7tuP63Jikq4wj1z//yzecBSpiP+Lc5wQFrut6
iusdUKQJRnAaRg+fD/b3xwnAyPN4rtpmRNf9ebDeD+LE43Wkzo+wZjMUecx1nTNev/18IEf85mu5
hlumVErYqDR/HqkLvZY2Nr0XylYznOpS2eZKOSsjkXhk4kYbq64G6EC6bQ5ptdCbGrypXUNvYtIZ
qqRGVSABYrx//sF+97j/+rnWz/2Xx21pJVyQu6hhR5KkQ9DVKIuafhMXY3T/+VDO+h1/nryulkjy
WFodYZRjfh4rbJWkc0qTsvUiHjbHXvTIyLKOrusKcu27+AhgkvKt43asZVFMwVQI0kd71KN/+EG8
330WrbRtFEssb9PPn2XpxswtNS7mMV1s4jz9nkOhBimL4SqL2SJMpRbzh0F/87AZzJXUpx3lSLF+
qL887IyX26o7bGRBo5pTmKru0ueJHWJCse4+f9i/+350CbXvsU64vlhn/l+GWgTdnIJuIwDUZj64
chKkIwMJtYK+v4Gz4u8+H89Z/8JfflxjG6aSovUiwRn+POCIUEs4EcoGAwzXi4L9BM6Gn1dNBIi2
F3pCv+Q4W5xcJPn1PrmCKEsmMwG1jYYLx7R/mG2/eQDG0ei4ORFz4/J/mWzDXCsuH9hhpdWar1k7
4dHtpHa5vcIDpOZnuX6w//wh/H3RZCYJqXl3mVP0gH5+BlFaeFXi0qloG6f/SMbGeeQQ7R7AsCIC
kuU3n8Lwy+dj/mZOUWx1HcdVPr5H88sL3IRTlZDS7G4Ce46tx3jSGOwbbqDV+0heyvz98+F+91iV
lML3JNOYTejnr5go1qGxEg6gpgiMWmSN8c1AVeOSdll2iYB3/vh8QGd9aL9OLPSWrBqCmSycX95U
qxcm79aXhuXb+W60KRGPsRVXg7J3CpH/oQ2ndDuhPF9LSaI4pSgV/zS9f7N2sVL8/0/xy3RqOApG
mUvwoAKbf+YG3Y/SzfC8VEADOJR9NJiCfgQ2dOEidOxj0oIrK7mUbz5/Gr97yzybQ6jvsz2igv75
8QtsdnY7c8XNejt5iOiI7Sw4B++fj/K7OcXi4XnKcbTPdvzzKAN6TvS6BaFXOY2qckiqCx8ryIvN
P379fCjvN2PxVfR/lgzj+Gr9878sVIZySNj4XKEdb2y3TW9Z+8oKgDIVhi0wIpqM4t9K80pJbKS3
R2debPTku6dMDuk+0hUR0pwDaZzIZ8O5+JbjInW3EaiI76jkvEc1Hxal3uE0ybH1kAfs9RCFLa1v
qJFdoMZ4qjv5YFXUkEFaT2w6wZ6K3I+hSKgraiS8RWpR0UuHFcj7nMceUSYWReW0cCiLY2Jf4nA4
ryQHCXrn3Gym9D3pq4ekHN95wJCSWolNjtARFyxCNrlPwxQhs/ZgT3S3sZt/bzN/nxYpes+awF0F
MyVO7Ls+am7TVr1wEyFU1f3TEvm7V8tnqbY9x/FdKZz1Zf/Lsy9EZnnz+qkTGg/wm4MQejIOZwgf
c104twsq5x8R9SEHOUKayA233D4/0D3ldP2HecBQv7zlvpK25nirXMHs/vmjKDlhDVMRU87Ba0a6
r5e2m4xdtKMqIp3vRd7wen8+5t+nHoeRtSOhhWdcrX95mYpgmjKc4NAQ7NG96ZbceenpGpxF2pse
Px/q78smQ3mekcpWPt/yl683TKG2LYp5SCeH5rvVlPC3WsqUxRDYtL7r8A/j/ea8qTwJzkqxHdnU
o37ZiuomrluLtArO78M8nwHIeccoBcCu6bHDhvwTJTkcUJ8884J5esTsz90FiukmdJb6D5/m7w/6
5w/zy7evJA6UqKLv02uvQ9pcR3AbHEglCXJOz7v+p896/UH56JzqtcsD/3kq2RTMdQAb70ySCrCP
ejk+LInr3U4TmOq2S4t/vOtzhKQ3JzwHxYX2ftmBXU9IRYgGluPcuVwiWhpot6qFrC00U+B9ikt6
mN0f5u7fJxSjMZ9s7i9CsJD9/CUrsaSeF8N2cVzPfu1ciC5NnIA0chbw/ChcVnX+5891fR1+fkU9
h1wCxBtGsfXLX37FHvVtbDB6nbVxh/CxnuyDTyfQn8PuYGN+aLfJ1IGT+qejGldIjwglW/Gyql/2
onKOxpLuHbfccSAXYjUORXlCk2uYvaspUh9igSL9+Zh/n69GKUiHxnOM9oX/y8KgqzijhZ+UVGza
6C4vyfujeOodm0haL/98KIaxfeFwUgW79vPvKPRMV6hgeR+bAWhZn2JIS/pCITPKomD7jwfTttZc
PFhlpTC/XEJ7WblZN1A6bto1n0HPY3+OAaUC7pP86XdbD0Q/z5b1Qq0N34xqBaWKn78YXAJVEThd
g4rEvEPt1ddgMyJkPf1HV2vYg0MRROGGUCpZveLPwAb7D7+tZ9vcoOnBK47jjvrlE/RDgFKM/Af0
ibXjXfhzCn85CQ00WyyPoXfx+XDrL/XTF16HE8oA12cp8MQvbyTht2yy7UCOGTvJMyq0fk+trbz8
fJT1Q/86CqZQ3n1KQLb62xXDGxerHgmRlukoDjRh2ofeQAjRQUcap6ro2KhBj/904ng2RQujuFDS
QTHeL7uJH7UC46NhVEfnABxX04jKunNdF/M/f4ws35J13/hMVfuXClcl/i91Z7YbOZJt2V8p1Duz
jaSRNAJ9L9A+S+6uWaGQXghFhJLzPPPre1FZVQi51FJnv3UmUFkBD4lOmtHMzjn7rB1UoJKZo37U
iAPFDGfXuUr/4oY+GCy6qhgki/+QZjq5IU55kLuaJoXQWcPLLGV6Qa8QUpnPR+v9ZUxWLl26lstr
YJ4ms5zWp3pZ0QJbkcH0121i40mcZF2y/fvXsdh65siMM9jp3Kv0xoGLCdtpAC5LA5eJbwmtG0Vb
Hj+/0PsjI73McwZLl/qcwzjdXH3yssru6VOMhFdv6jGvADZ18c/cNqN9bKOJbq0Q5fw4whOzaRHp
M3TAn3+J9+8A34H93aWJWNikG94uLZ2eDwOwRX/VAMtiIekHpAWrqZ5wDFrqZYZX4zKsib6HldZR
Xfi7MRiPgDZliwG1AEqdRkeTbyEro/kdP3a0TEvKM/2ZTsPSV/vtuy2e6yjedaI9wdn8NIPR674f
U8YJAH2aRnmUIsqDR0xnJv8iacM02hKUOsYXh6fXg8PbBcYkF6rmLJXQLfs03PZSNY1hjm61T6sI
9aptFUcIMEjqZZwfesvUntGz5N+phA9HmgjFjRzr4rK1aSWJIzSwjjdIZA2pe6T2nt18PvQfPBMg
VrbD4ZAtRb4ee3+LWIrG7mB7YRaZ0NGAAbKIFACcPE1nHBWihNrCyTWnA+fzy77bzGzSOYpFSUnX
cAxzfs9/u6zW9sSUPpeNkYReGoit2MnQecKMFPu0M9w/gfb5B81pox+fX/mDG35z5fnz365syxzZ
HcSVVTA0GIRGegdeoEHhU8LsT8Zwlza0SX2xbH00CZRpzzkeEi486JOtEwVB0ZPIQlqVGecmUKLV
NCArLSBsLCG5oYFHubRvDM25cpn+B4nwCKmLhTxYUwDTKF9dt3O7bKMK54uxeHc4Yyz41+SoSR+n
YZ0cYpKi0Er6njkQQmbEL0TzWOk8kH3oS7540z8admJSMl2CFDTXfPvwNcvyR8NA1RxQxV4QIwN+
GgkgFpPXx9cpeKOztow5EfdNYDlfXPyjkf/94idzDnMhkJuc6fFJrmA8m2YyHkfYGQejbbAVCDtI
wZ/PtZMny/Nkr3JeY0ahhG6cbL0hxWi3r8m0tXEa7zMf2urodMWZPzrF6vNLnSzhr5cymFyCitb8
78kEs8GMZFmK2NLQPfkkYt/bVV1Lc5ihxkcjGozr2AX08cUNzjfw29r2r6uSE2YsDWmcbpNuVUeQ
+OhBCtug3ptpQLM2oRo93Dn0oxbvUzeArtIRR12DEjWuPr/pkxH96/JsXOzUFmkH03g7nSZPm4OA
mThFqz29ETYSWvayqcNaLEeiFwJx+vyKHz1mtus5CaC7rOcnjznSg9EHFkGCp4yRnDV60vkQNQZS
1HmcVw3dd7JEFJLWKHM/v/TpSeH1bp05OlUkKumXP5lNMVYDoV/P+GZQ5dsEmfa1oUo8SCJYQl1S
F1sn7LRd0bBmoy/NsDiMpi/eoY/un4iHeptp8BzMk/uXZmI5doco32stTdIt3LbsXvVkgcwsXEh/
rj2jaYXj2V9c+f27RHrc0TkpkUads5tvx9rP8d9AOoczYVeUmxwpwbkZu+HaUP8PN8mhbx5cggJS
aKdRnSwpnxPsMaQmq/VkDt+NKr+x6RRauwpTFl6x7edj+34iozwiZ6uTOVSKpeLtzaXsREgMeKyF
CGeft0YcC1NE2zJxsj0GYd3Z59c7OUYzlbgeeUqD9IpkfToZRq1ONXrHU4p1aUvTdxy7bU5i1oTs
+fmFPhg1sBCCEM5gwzfck7CgMBXyQ+WyLHUNRjsjbqJwZYfroKU57fNLvVY73y5GkmuZBP1ssZA8
T26KpggkDiaJbxp+mn0QYdth4hC7SWZ/NjeMhy1oC0Ba0/jdCWisciu32Vpz1UxYtJNNdiVXg4kd
Ko459nkvxz/DwIeT7xb2F6/yh0+FYabowLMxT9+iUYLvijvoIUIfs7VTCIukT44oEA3qFzPro5F2
OH1SxqHYQjTzdmZNvUBDapGSFVXdnck8bWnMs6Pbz5/9R/PXpVhpuoKY7F1JyZ04SpfIrShEq2GJ
ttFbu0CP94jdAkCFMvgiavrgARKtk4+cE4RIGk6G2qWXDW05TX16iQvYECZ3Gs0Cqz5yrM3nd/bB
83Nc/Lh1ljtTJ1p/+/zcNkKg1pBnRmQw1qsgiaAAGGPT1l+8kq/f+WT60tzmvE5hHUHffM+/HUyJ
eW2sAaC6BCMiVuhu4/e6kd/rARJQYUTu0kfh/1Cn1BW0Ir2ZxRt0RwwuJTu4OIgNgS6hblp5phrO
q7BDotO63Zp1eli3Kleb3AJk5VsJB90We+ySVMPKKZ0nOmjoDkAcDX3XFvRl9t/1DqkAdPVzOejW
LBGyF5kJsTYRBUY6iY4hU6AvLRHsY63F1cF8KVwPr091bCv3z1LFgqh18PeFkao9jkDfiaXnLvMS
CDjQEF+M1nIQRnrMaNTY1jI+d0fIrIao/KWYLH1Z1sgB//ZIkkbifaOgTMXv9DAW+x0uCzkidydz
gY+PlptpGzVJylefX2iefKcDSUKQ2MYgvfsu2WkkNeLysgfQEOFkQoYyu41Qrq/K1HAvaX1Ew68J
44uDiT7vf6dXNTlYM00IMjgNvZ0+kZuU7CICPUw3hfES9SpRBSYvzVqiVFwHppFeDH3urJwgCnZx
O7wSwMu7qcuabZFbGgCYEAKSN9HhFvlmchO7aUtHO9VYbA6VeZXkRfrVoHzwIpNyZ0DI5bnUNE52
9aIZlRptYBb52HtnQY+8hGbcqPjW1Rb8p88H5v3FSLO7zlzI4Kgqnfld/+0NA2KKB4mDprUrIdcj
5UYQS9/0JqbH8otl4/2lCPZ0IluuJokCTkYj1MIqUKWGDqo0wk2CWgKYHBL3yNGK3ed39X6F4lIU
ZQiihW2a9snZwRw77JxCwA9p18MvyMJ+pbud+iKNcRK5MZXnq7zWCzgSCfdkoCqXYKKF1UH3aE2X
W1lC5hpTuhoi6rkYYIztJmVFvqxa8Ep//wZJ2HBzFM45HZ3coFbR05T4xC65EY4HX4shNRLAf5Em
ff/WMjWoOOlSmUSop1uKtEc1dT4+rBHFy2iFnrFdDUEXnHnCdcwLOO+T/q3sXev+87tDZPjuzeXK
lGiV7aDJIAn3dlpi9obAt2Ku1BaNxtCLt6NWQzNdUp7hzzit5+lDVnxPTRzLml8exM+hC1aaj6Oz
AzsF0zk0ZtO4TOJLwpGFVhnQEladAuLRo98Oaey4q4CKTFODu8iy9J98KvMqEsvWB76e3LTTlcrF
phoAu2fxmt4JqvsJwtLizAQpCX0DSD7kyJI4T9+ABRDhjvaMZWpfNPoAiCnEGsQ6KGzoffegASV3
nzuQKllARsfGaY828tk4ApwdpEU19wdBNq2weyhsCJcDxTxPJYe+jcrzNBgeNQ5xPl7s7lkSVkvd
i9jAnnxkIpU3YKdKB0drPWD/0jcbJ9hxcOIwqb+mKg8x7Xj6pWoB33hyNdEdhBX9MocVArhajnee
wkXhPqD9npVmtL7RWwFf51529D7jbpXSYHCXYMhKIaUwbtoWlb1z3mMP3Zfmopwu8Z2hO2Lh6Bcx
ViU5DXvDPY4PeVABTUI4jmOYQ5kpoOlaeT8nDINN+08c9ybzAgeqCWPbgHpxDC+CjW8qflpkOePm
OW6JL9YuJPUUTlKHC3wj8HDPHhq3PJcu4J04viQuWegAyKb42GGF16abjC4X1LXSWRMT0qVxHmPP
6z7WllowtHB9AEniwqu1AF+MnWF65622lckmbnWaSQ+ls7RBg3gXgVdfDMm2B50QV8fZXDFCSYjI
PffvQaviIKVPl7247cs91ALh/sjBosVbCIxAXNrzAF+Hptujv/ZxHAQmrec3g4RV1V153dZ3mzVt
ebghXEmA5nkATk97NCb8Sr8ZFSy8+Dbsn7FGwi0DbIUOXKp/8af7vDkYqJFR/hI5NOd2fIONjZVc
G/GmwyO+4JBUQ6msy6cB9WMV/ahQE5UNdhthiN/EWTdA4XLOELdPBehhlzbFCVT5rOS+KOSZk8TL
gCZYKM8oFG3gWfBzmiervQDan8JCCWmaHMbHyX3JO3bw2wRZcxxnZ5Rqde9SJU8WaOQiwxiQTmbL
0u6zLIdbhIoZKrQVD+dAKncF8M3GXngRdjNttCns8869DuAF4CdB0x9YilHSBICjYdLuwKKu6UVd
V61YJcRijX0V49rWpeqIKI2POD9lchN1jJK9dr1LI1/RN0BzLHzbH4Y3XNFDvtarHTKamPY3Gyba
56vVqQzidR/4fbGaN77f9lDLSEaRex4qwMH7lUXDT48ldU1ocONq2u3clzSq9GgOdK0mgX4/5RBA
7OqL+Ol1+3x72HFIAxBVCgqDKGpPtoTBivyawgzn/8E6yCChKwCrd1kfc2liHes08dqm4fOX8iz/
ENQ1dgBYpk6I6RZdjHX65w/l/d7I9iTn4o3Ll3oXeNJC4/epzgJu+n5xVrlDtHOaAXxpklXPtPLT
u1RFHa4GJqYon1/6/TmDSxMDIVwjka7sOTD7bThqegA7kaPMCj08fFv8oXZFSmtH6tVfHWvfnzMI
IKng87/EeBQN3l5KhV49TDnIvoCa2BylDO4BwKr79xM9RPBSEUzqaJvf5RQNs28r+lvmfskExODQ
RNe6pyI4Ll701Wx+v/WSrDHRLJENIXI9zV9OVpX2mY/SJK9G/zxsy+lscDKsyoYKQ2gkDaw3dY0q
I65wHJMY4wkvvtE5ZtK64vrsOrac3dsgFUwdi0w5Ap+3sbj64ot++D3RpM7ne4tC7kkUj0majd4W
ZmGGxhq48DCIx15X8l6oAbosXZ2YsqVVEIgvjswfvO88IU5+inwY5cHT4oCZ2wYcFoGdDo7maFmu
g56uHL22987suzuUYEenH1NZemsrh1fJhltCffl8ln8w9ajW2SaxMa0a4lTrb5Es6Tv6/5A3B9lO
9yp6GCvf/yIC/+A1dqmDCZRHBGUkkN5OcPDbZmT7dOiaFu2pVToEF6WH4xLNnOYuCvA3pAnO2Xk1
7uyf39/72I0GFFLK3CO1cwojb68cTYVNr42PgMRK7+lnP2In89Cit15VwJstzXkknHRmz9nLzy/8
4S2Tx54jVSQd5kl6jv5ht60bbnmia+w+SALj2Fl6TckRHhlOzv0G/nOwwejzq8rB+xlNKwqKboUC
eS4fnCxcSPdIrdAuuehqXd1mxSSvUir7uDP5w750amR0yHWs9ef3e9oxwX0qUsik79GvzxKokzCG
DEougpaDQWEXDoBwQGjmQks9cSW9tLyxKPz/yAs9AlDh4aMBpjOLcbuBzI+FtBu5f3vg+ToUBpFi
sX+861+gOTuLGgvkdq3fQdIt96gMwe/zD/zeDPiqAupnBPAIXWkUXz2MedV4u4uSPyN7piRVf1Jb
Jw8DNJUW5U5TLpKYsrcZgj529TI4h26NOxQdZ+veSsInM+3GJaOokBZJTM4Hp17lfZN99XXmDeTd
16G0wUrDavxOhVAWbTt5qGIWnmd8s8ohOtSFUd9U+7YY+zOALiY69KUTG9UalI0OgAs1eByMKQZJ
X+o9378ZPJvfvsw8f3/bWFXrBlpYSkAEkyf2auaMedWF0sD+kcVvL4e6xb/KdJIvnsJH7wX1WJQK
OirEd4mDCnQsc0AwJhBXVsIrk3VTCnQX9NZRxbvzW7v8YnV9/1KQDGGjZfFBSfs+ce5Gc/VXIqop
9boHG2T2tF1mcEcnhAcpeldokZ1cerUOIn+avUfsjnxRzyB8cZKa3/o3U+D1m9CiAy6G6tJpKBya
oqV5yg9Wivpwd2ZSgBmeUP8aLvS8UTMN7HkMnsvnq8K75ddAE8tFX3VtdC7N289vYz3SFVbSW0oS
tbL9balvU+0b5VpmYgVy5cJv3HGBP4j2hVL/fUGP66IlNi1SywjPXj//7bo8VK12ChsuLkhUuVRm
fxNn3b2MpoBGU1td+cWIsBhNbnKtbGgMlDUBQOw+v/uPvgbnurkXhKMrm9/JMqBTuK4VcnCK7raJ
R+mkYZZNl7bfBOY67+BEgQbHhAhH9x0ZIvktHYj9Pv8SbweeFRDhESNAJdekxkfa7O0Q4LYzBOyw
M3jDip59MzSJXDMxtauSfrVj5CV9/sWb9vZQ8XpJWnwoSSFBoagqTjZdfErAAdmYj7Qirqx1ORbF
z5o+3uGLNf6j60gTqSLCOMpS7yoIdlBZgK0IVnV6E+JG6Hcu4IovRtF68+a83o0xi6YFNUtkjKdZ
QA/rFRylSPv4YSqWtl550OsCA5S+N/36fKy+uNTp60LvtPBy0xzoOldR+INugrZ4STiOJrdGgHfL
y+eX+2BqzFqRuWsGPgxBztup0YqwFo3jVou6MidIlCgcKb+PFbZkkZVx3hymIPgi2/nBLf5+zdMC
XS4LUeZ+yWtfoNfajioqxbltjBiLWLyBzV+D9z/edCHXr13JP/NirELM7E7++N/H8GeV1/mfzf+c
f+w/f+3tD/33ZfGS3TbVy0tzfC5O/+abH+T3/+v6q+fm+c0f1hmtn+N1+1KNNy91mzT/7pee/+b/
7Yf/eHn9LXdj8fJf/3z+lYbZCreXKvzZ/PNfH80N1ibqVh7ufzqy5yv86+OL55SfvMt/PvOLsvqD
n3p5rpv/+qcmrT/IPSOUt0ipuzpZ7n/+o395/cgSf8yaNZtTlMPJGaHaP/+RIbMI+DHrD453EnQ0
MblOjXVe13C4eP1MN/+QLL3zP7QXuKjg//nvZ3D113701/B83ENOjvjtJKUxBGEhOn5BGYOeK77Q
20nqD2bqJAWIttwas/PcVBTi6HF3rMUgJwOYZ6cw6fEHzb9n97eg+Nb6FV8eqq+lldtKZ8+r+lxt
8XYs72WPf1KKLZS/sNFm7UVhcUpDYl0vdXeKd5HWpw+FN5jf3CBzvtkgCv/EwNS+01VmXik0bkBo
dPfeAE+0cVyvP9hgONVCSrtbF55lfpO+0T6WLfZpPFf54Fhld42bqNp41eA/ep0W4lniTh1Ifl9e
BO1Y/ogtjCIs0+6oOoIQrBziFbOKNfgLKYyeFFQm4n9xEQxWcFYzJjdeDi0HeDq0gFIa5IhxYjhU
ZabILaZpvMow86Dw7alNiwH2NZBWh4wtbMakT71tQzGU/iir2kwtTotBaJi4hHTD3ilH80l0Ur+B
JFji49qNWxqPwiWlquiRw6o3ntEKlgBadsDqlLTGhCZ55Mhrc1D7pCejrurVxi7qGabcMAz4cZWK
ZK4vsPWEDVa5Z0Zkensr8X9OLWQOxGgmeAjGsS4ecCYp9nUQp5cdFkDE5LG7g4+grVJO2yTmI5ls
VZUWW0vDBFboceFs8yDF17unbvrAHE3wxcsjUKlubV753aBfJPpkkSakYfqBFUQLllFKymfRqAET
eCq3W71Pu32H6fO6mazsKrfCEfpHXVItGCdeF9W7B6htak2LRXIja5Cf4C5aLE8CtNK7wWraOx10
28YtMv/INhRf0eQ3YyAyLzrn2J3spB2P39rEmDGpHAWB42RNthd60eBobym6+XsrPEsm7KS2kzSy
bei1+tFrYL7Jaszw5mYFn42t+35dtGFxT8dFtqqjIbj2YQw9MKHGfikCq7wVviHvX592Tty9hwai
trSMwx5Bk3sNEA6eLCEGdP3IvVCeOw1U0sxi7Wl5uM9b01zVsEw3Md0I+74pYZ75Dr7Girl/H/de
Ae9DIFqljdcY16Eri2KlxgpJa5eYDYfIqN61Dc54i6CYvGOhm/FsVdrRhYfnMIz63ogUZNbOPcS+
Ju+jrMoPcAFBOddZtvOKtNrm5qB2et1Nl1Fnl2dtPGZnXirHS0Cf7VqC2qFhdZKhvfLRvvyo7aG8
VaJszmK31GDxN7reroXhQ8ZuMXPwNwNUmS0uj+6ZgnFXr8iEALFr9ZhUy9DsTN8S5N6nWku3dPSB
qqsHJ9zH/SjvddFrDIxljdiXyOqx6QMc+5w6nr6ZWs2YtPmQPtRY2VzHQ8vD7PsxeJBNBd2k5+5X
OaEBz7CnRiEb3oF4rNzxArnIlK5lW8Kj1U2g3jsaONP7fhos6zE2B4D+KUdnwJTtUD90wvAeK9JU
T3Ysy+faa8IKk2gn/Z6DZXmhX5A2yImtXq4dr/PvqEyJhyy1eIdz7tDH0goe4iEwSdpCSBldb0HS
pHiw8HU9Q2OXWmtVSihoVU6mbhlB1NiJui10HFbj4DrzhX/VFZGzlngMX8KnmxQ25aMqNiUk2pcx
CwfCR4hlADb9qZfAnHoUuUmj9IOfawZUsSg45nElz1Hqd/eJ7HF7tciAzJRVGvHbSrh3TGexFmYU
S/CyqfMkooSKjdRMDNUTzvtrXGVz3HL6ykIN6BTuQfFqWLSw2kx+ywC/QS2iCq9rrWZ2tb5IEcKO
wXUeuQxUnTNDlKmpi9hh6se1py780R4nMtgDvsCTVEddavplULT2Lo8Mhg351q+Y4sNMXen6l97W
sIkUftNvpK/1d1jqRc+QRdRapjg6LftJpLglYtcLCBQt0HNflWKX1xMA7FhAGVzFAPnISRS8lH1X
qyNiMgxhRM14v76VfeomWx8m5J0C8XrJK1E/xU4YXOOKOM8wM5jR8kLe97HpXeaGGNM1LyVQ67zg
1/VYSlzyLfgutVMG19Jz+hfagMJ9n3CPKEr9X8qerzYfZnc9YrFjP4TMSs2UmHvPixwSE5zjuuxc
wmaGjFWobW7TsACjVqkLBQEPa/mqWNd1iqe4H/MyilD7JXxTrjyHVK2C9/+64vi5k2zlmPO+V3a4
V0k6Cyeo0x6Qv2e4wYfuArYq1bFQZwCMeLjLNf52nNZwx2FnwjfhN9RRiL28lJSGRAANNCsFr9XI
ei8cMuW8DXyZkF/YN6Cd/J6SZZ22fOu2HX7EgL/Mlex4E2OHCSAmc549wqy+S/ZH8J79sFCKm/Q5
ea9efxqDMmZFzQtxyCGIcRrn49jtg+sKefFSlX2PvQL/T3Ka3TkCVFbP01/nPlOIXgQM7GrBF/Uh
5y2c2sWrquFmeAdcoJ02swkMLn3xbojBEynYCyGT5owdQa1567BxwURorZrYvZj351u/YzD+uml7
nH+3ruIaKlM4L4PQ5xCRULTiJyxZfRd50IBF71hJFhI/YlwnJMt1ric83NcTVDpqbLE1Q+HHTD6f
DqZ9H9XzHWvQbKAozjMfw+KkxRjMosA5Wj1u654mt3ajmpuMBuVd42r17dC32u1oOe250zvNok9G
ircoqu4I7O1rLS3Nyxrx4kXqIZpOEl9Cj4tKf29LVa5yoFegXDJr3wYZxc24z8+aOCp3th7DSOqL
6iGzg+Tak2RrpVVXM81nRLFlF3PGysObJYq/+QZOKSNuvaAD9XZHGUVueZX1neP1xlorBKqqApsz
c0hBQLjCO2v7yN5X0nSv60n2+Kpm4Z8WgOFVWgl9CfAoA9NlMe0E7QGIHvOjgSrth0aMjfXPGGJT
nQfEgWhlR31S6wJJMo7tJvJhkLXWSuZNtaka2N9IKtWh1VS5Kbu83PStb/yicpmtOce5K/RdFEaA
Qa8tbngp2qT/lrDpHd2ud28QolXtOiVjs4f0gi2NG+oLS/PVvVVO6WUtyuKHmqrpuwq18qDLNIRt
nYp6n7RVtXOKWKWLPtCd61yIubqRZeIaAJODSSvpgrsWt3RjUbFc/FJiVKxsdfwnYDVfX1sV26CO
svECJlSiATaIUC/oaVY5VGFKmxRS71jzEuGba9qJOQD4VhH8SsfGuASOlf6QTCycMGqH4itPvLxJ
sIDHJZgN4mkC2NedWaPvPIPtL0Du09B27+IFWCGSq7xvNmqrajm2HVxXMIpoyIoybItNA9vBxy2+
zO79UGiU4XXhXdU5zi6WZwCzYGu38pVlDZLZ2zoU0tQgqeOQY4Ksj0q1XXIcBUdH8o0YwkddBICs
q9MXDc3LBesY/Ny4sEx/01uZjq3jvHj3vWRJz4q5fThKdfsqnab6kRMtS5LIXTy0/BIWq1DzptRj
V2fuBO15LuVremNXna5363wY1TFqiZWg20NVXuVxbVwgm8O7NfccXD9UBgRzpcKm+g7s3zE59HZ8
U1Ehc1j7VsYF5BTkq6khJcBO61OzHj0HCEPGZhFgPhKDjpg4VXnLqqVaFHWD2S5rLSyOLXKvK6T7
GLHEJliduG7jq9Z3nRtDq6ej3jpJDqLehGw6jbRCGVYYqAX9LIJDclom0fnA+g9VO502eEqMK22a
tBy8oz+EG6XKiJ3B7rla4wxEZX2fQpouU4CFC7MT2oWRTU55jo+57HiOfZkusc+oHwGYpi9tKadm
2XlTD7ELdgpgX9uKt7TjWA+w8HQXHwiBQ02HXvVSYk2PN6Qdv3SW2fyq7dwArNH0+ACYht9v276g
rTCpsB1JG12SUtNRvhVlEfRLsxARvWF59t0EIs0WFZLrtpzOQRbiG/2mih3MohC0SHks+qys1iWR
ZkhIl4DAYjlo2ddLRM9LJcDdIbWOqn6N+4z2Qy/VACcIMLKHU6iJdVQmPIGKoqm96Tz1B2zNqIX2
JPscMt6LXER1skxINvk/WETZ73sF0O9iokaZP875EKgfM/35WuYxMiPpdWl7zNl1tLWO4cEeKoUT
LgJNSXstiyH/iXWg/thLZzymNa0Fi8E0cmLCSK+CrWr66ZaAtu7WodOirY20ipuuxgTbwKHVI2y/
eniJK6iNmr8z01jkK6ZAleAEl3f9dZhWbrb2jSAPdyQvh3wnrVyGsJQ9e1hGAJNiqhd12BIeJeDC
C9L6GcikoeY05lcDcpzSF4cgJYO1wKVoZO2OWge3oiig9KsrXixQ5do2wFaxWcV+XmIuTacJ9N9e
jeGiAgK/70rHfgrr3P6h8gZb8NQdkpfUCcJvCUHl00RFilh0sDoQuK382bmz809rORO5/WLKTCQy
k53v7JBSGI6aGpcDYo1eF0LsS6rV2Of0iAr2Beue9wpZf+iGxFnZuonxAzOrOxDU6tskk9VZaaSJ
POsb4JVF5+Uv/kCZEfIe/kKbIkqTBz+NFPqdVHAUHgniaEYO2gwWT99gtUWU+mi3U3fRNdYQbUTt
gDOX4fgtClvWv6kmDe+BZcPHYQQbvvQSAWINi4KpP/iqtDil8u6gxSEo36ZFhreeV4xRhSmn5SBc
GY1wUZfDcAWlXruRZqj9cEujuK8STyfZH1FrqCrMQbVY9Df90IYvvAH2DxoiXSy2g2RYOpUCmJQp
I74fhd1974eyfZl6jlhkE40jFRofX3WDw8gizI2phUHeOZcErjj2lUY37jB9L/ehbvgXtIcHD8qd
LVjnrpBxoZLYfhqmsL81NUvcOCPIq3rqWPIc/OQ8Oh2uY5aT5ZRhMTz6wNSjvrTvgVznISjcAUcK
vXIvh7gzk2VMauaygo7+vSykse4dsNkLjOajJ6csgUyGcrx1kIzi9jNIHNlD6zBwmDnS7IUboGag
8+q75hx+vVi5eg6yN/JYc6KEXlnfR2LGYQbbc3d6NAqsT4uKnXuho0A9FwjEl55u5Ye4SNHEqEF1
ZAWwW4cb0+0DIx9eZC6na29WAhqMREtOp+42tijwh6ejCcSviSGL7zU3dkH3RjJa1bqucvc6aRLn
ESPa8EFPveJcpRZ+3l7fXSqUWTMJhQaaRPeZ1FVPn90UXRsOMOxiqLNlYI/apTPo6V53UyxxWgsz
aRwvni0NVxgPBc1ZVglcNqwJx6UgDg5Zgv95r2E/YxiNy1Ew0885hdcHwEUVLQfFZB3YQuzzkGQt
eWjcSztEHLtGw2HJRbG0cB3NuRFYVtz2fj7d5qqwz2ygx7tap+qR6EvDMx6jpmwOeUWs0ZM8uygA
YJ+TP2vPKUw6G0+W3lEQ9l6yZ9lXAav8t24On9k15sM252MB8ntJSxE8rViQoYBvnNwU3SS/m86I
6D6obcjDps5hx3eLa15Hdy1jZoWmYekS2p2+MgboFTpOJks9TZuzPijkOrLc6Qojqui8zvX4KEfL
W0d4Tp+7vH07X4X5paebDSd3C9D1Sjch0avcm6inj7Qe16LF7jBF2KeyIEGC5ye7gXJPvTCq0MTI
wkrPko7gG5ejaa/FmtybYWYcR9pHdgYQ7B0HKxr5RBhmt4AdQRgnsB6dbDv0Rp8ghmnjAsSfAOnu
Eaf+yOIww9EzjQ+27pd3ZtWUbLTW1N/pdclxdqorJHSa7X+Xha+tg8F0j3FWo3idEs06mlmU7LKK
cq/0/fEIUNm7Y80FEW7lxBACoeK1aCb3gGCCXIpnwE5dgOdQoIuHbJaEDeFP5YTuRTbMM6i0EyC7
cRXXAZuKtBd+Iu2VXYTOjRMQbUrWrXPbM8KjQjup7UkEzQHLmAEwUqBAZRVh0l4SGSlbC/dmQfT2
Gi1FFT5dTjJGzyg/k22UUR7lDepJdplkc6WhfZuCivyXigm/EVUtI5ekEkFQuH9NDrCJDz8UG5y1
EFor7yn+Btd1XvBrqqjmm00dYbNEtfAgtVSYi9f0nogJ7vJgTtT48RxJzWmybBgINtl5zlor8W4U
xOEbrAWiA0YJ9pMF8ffOIP3ypMCar8seDKtWS+2uNk2SxBVpV/Jq0daw0GcmMe2TTjFk7WIELsRO
l1XnvnD6Y+EE7gZQfI34tygPxIX1Xe2obeO3uHmYfX6gPVIex2QYf1QymV0/bP8paztzZdFI9TTk
sbaNMzVdDIPBQotrubuyySrc+fAhf9q9yxQv0oCATQ0/Y8fSzyWiy9nFiMktDM6vc+z2nOMKfRdz
0L6NA+YBBx2SnuQNd0SzzVlnRDy1KsYoBZ2rUd7WFhnFbhhJjGiKYRQ2kW9VknKQqufoHLa5s6Pn
r2ph7mDn8vha0/hbBZ7/30o3r80Y/+fCzf/6WVHI+6sI9IrSnXs3/lWxse0/ZrIR7BJKJYbFsfc/
FRvH/INuNOSSFlorbLBmBc6/KzbOH0AXwXm5rgNFBF4QVZT/VGz0P2jlpYWe9CBYjpkG8zcqNvYr
PfM3pQFsRzGDV2aZAVwUspunBRs0om7vC9LTdIM817o2nhU4i0XL3CWps8inwT9XbdfsHKfob4JU
pIcSWeBu5EB450+tiadpHjqXgV86Dz28BDinUEdXpd3PGQ/q2XNLMLplQZi77jKb17TyzWpTmpoX
7EpWSETAOi71tZ97h6DU9a3rDc4hN6o4JAiM8GQrXOsorGA8DGnkLGmMN/43e2eSHbe1remp5ATg
hbpoJoAoSQaDlUiqg0VREuoaODjAbHIsObH8INn30rSvuJyv99ZruCNZBCMCcbD3X4aqHCWQom19
W9zZOxdxq7xKEus/Neo8HZuhzraZNhsbCH1nMziE6CPb1M6l8PpDwiLJoMvSzYrFYCI6EI5oTYf1
B3Mgcn62y+PPlhM1F/rllI3dTUbp2rNs8uLFEpXg+xR15uNEZCK1h6YwbxZULKvNe9hH9oDQtoTr
Cps8bo9O3eWHcVT0q7IzRhqr1PJZyy39tZRmv40VT9xMeS6vOYDyw4Lv4rIkyn07q0VymDOH0uJC
6tdpLYdTm2rllmqs+FNPCmkaeB61KDP1F5zFWUTPH2VbaKClvhlUlb7artQPuk5/uAV3vFHJRToa
shAnMu8J1HLURg9aPPO7JCYIS5ilvsXBPl81drVsCMTM1ryv5TDyjCYjuO420TJSsxaXn1WlOUta
f3ZahYV0IX83bKMSB3o0Wb5JsuKO0HgKpNXRQZdZjDJ0ClP311T4jVc0y1ZtRXHZjV1+S/2OSgoF
tVnCnOfNMChU1xpuvO2X3g5Y9eh78DTjdaE5/th5dUOXi+tNQakIWBtO30+LG5V7uwVjzUnUp/S3
vyLKAzycJPCQ03U8gr2WYVZQ55AME+sw7rHbES3ZvqT4BFxBXU0GjTi3Q1MRJUtrmGoo6jlv0vjM
JYdtxce3ZfExgINm9VHwCB9ukhxsmE6NCQXfwWmzOv1cWoPXmxtFp7rQeS692G5bFKGdkgpGG6LE
24A/qYQSWhOqHg3ORVFYGCQCvA4TCAV+fFluKZGfl/TCxp+Wa2ca7ggrIhMl5OZIDvlg1fdKRS7K
it1soznTHgrFaW5GQnTu18qLUM3n+UDhxfDIgx/L0MS5fxZWVCLBno1Xax605zZJ+o2LDzGYaAU5
FH1G3yV3dezPedVdiM5wLoHzAIfo/1IohevEccl7xt7CXE7W5OlndLL5MzgNSetNray9Co0a9Ogc
z0vbLyowf4Q4dm5dHsrQUcRI5fSca4XaXWdMV+2RztieLu4F9XA95LCLgwupKYocx8TaQLgUi0kh
RtbsHTJfFG4ie6IwWGTHTMz2vnfi+aYjufxK5xVioGyLS+AaYkxTRpCvSVvodFkb3SGnXOpuoj+K
UgSTL2cz65/bThUPlhIBiTh6nzN3WfWhQGW+Q+Pt3lvD0lx7sVWenFGtN2maGefR7bxHSj1W54Gt
dJ8m8nriPW2dGHWKIsHfPStV+023qfCrSi29kVlblYGFsubLgJDuGeycxN647hs2Hd0MkUjQeb7Q
rfa1gtPkthsJLPNlYwHwoDAUO7XIWDi7iKZQJNEMhrGeUd5bq0p/SpwkObPG5zeeO+chFWEUtpq2
VV/lFL/d6FMrDYIwXNIvlyS3yxCIrt4OxpB/MaoOtEWlZzRRquQiYkN6oAlXXBQ0Qu0TluSgxw3C
hJgN5r1sXPvYW1F7Al2dsq2nK92dGs3WHdhPhJ/dsV4ip1SPS+IZxzkqms+FQalWQH9MItYJrt5w
D3kHI83tvc4TiZYBsgvOMbUq27QavVMbZ/0nmu/qXdcOTKZjlnu7KbGm11qxtMM0L10o0ja+RJGn
7KlWjraoEMrrJScwCTrF2aeI5V7pzux2tLcMfpfyCQb8+nh2kzXWCGhSTY8pMY5hifF0kzkZAda6
jrzVysb6gABs2aKwMPfG1ML7rx45vx2LFNcV439NCrKfz4575Tm9+S3J8FbxT9prNY0b4YMtzCfV
s5WL1prnG9IxvJdRqNEDAF+DghT1/Wma54RHWO6JoAOP+FpH7bSXfTI/a6qsrjPDUbSgoTxsvRer
q2FGeDxwBmVB36XmReaVxn0RDcNDifwv9tNylMcp6YvHgqK/TTrmxG8sij7uUl0Xdxlo27mdcf6b
eqtdWb2q7IuSobS32mZLiwsGpiqjCnbQRea9VjWWjgN/J55HAkyCKonUUxMTJeDLqik2MxDW1uhX
9r/RnQiMpjdfRhLtd2WRNSFkVsHxaSoXdqeOLCiEEwaNbVIfXel29OAsMBKpHCYqZFrBElvr5rJb
ambewMlw5kH4aTeGQXMbIB9liSF30fyaiNTazDydvkRuO38fzWwCzKhAvYk1cfJN18wARXVZvAJF
ScqGkZXcLC46bZ1MwuuSr1NIU04R6rpi86CX2pVNC8pOibs2LLWFhotUb3ZMAfGhq3SVmC99VVSJ
YtzluWgDvADWriWO6ei4oIL66LWPjtbXoTvSFk6Mo3exjKZ10ZeNfbGAB291o7LuTV1EofA6g66U
yNimNG5sdIbzk6Fo1qlx+ZC6bIkOFJX1V1pn9zuAIGKAFUULYemmy7zD12bTC7nX1UbbkSavfUK8
mZ6WrhQ7bjZ4Atk2celnUxGFDWog5rS4Vf0Ci3O9sRs7upg7vbkdWml9VVHdhWaUUiyR9k13Dfkm
qy05SzXxiE6tQJxf/uyGw/IVSXYCHeigLL7hbEEWYuSRafg06oo71Cl6DD03XFLjNnmbeknQwjST
oX3RIE0OC3R2wMrmHLQRWB80Dt0Pipec4gX1sYY1CCce+XgVNfd56tsXzeLId+iG9LPKnbe5Mhcv
Kqd4YLWDt+0SW9+4EiYnoTo0ZIEernLWbxQBpbx09Fy9jAi2DJjeysfIUKdXW0h8gL2TBzIT6pYW
Fvdu1lxxHhpHXlGpkd0oU89sEgG5LC5zrN8wHWGq6JUT2px4m6dGfLaXGHVCRGuET6Gpd9ugkDk0
RZPvrcnuwjS25dGRECw6gamh3Y2J9PmAq6uCPpovoP5umFZmTF/uZO2Fi1Nv9ZOdUUDWG57Y9iWQ
B5iZRvVM3dAU3/aoTk2iai5oo+zB5KkQjrmXnrW13CW1suxCL9jLyia3rjICA7aCF7AFFzO3C7VP
OOWIjSKBrdmlCWXLs9bW+xZmYuc2cbovpA0jYefGkaS1cdc0vfo8U2/5DU0Pfa5er2h74u5odDcI
sR8psduMZeYx7jTfaewD7KvnYmdQV7WNVIk2IzG0y8HOqDsEw9+aiV2dHVGrhy6mgamcy3GDQhqc
mad3EEcugZwTESu1bS4cAH10zAfNCAq6G4IIuYrvOrlNCwoDPCH6044/rzZTmccbq0LnWBXJskN8
YFzV89jv46JojkuvOHzPpOnLHm7aqjUNvNJt7/hfvIPGlLRvOpDdca1UUiBEQACNKIzJ63fNfpfm
HlxIq+f3dl1zCI5mdcG/rjeGweEyWNwH5tLJ/WSnd9GSuJvYdqdtulQhk3V/IXkaH7ulVkMBEg57
13pbgZj/QLtJvBFuam66fqLXsZQaCINotRvF9uY7M3L1wz/fqv97yiYxu6tspP95+756Ger/tUMw
2tdvl/Df/93vazjqSCBi8rGwEqzesTXq93fhpK39hp2KvdfUV8Uw/71dww0CV1mK11BGA7PMmy3c
/Q3lA743SK1Vs83f/YMtnFiKP6mWbVN10WySO4m1DOk3mRl/3sJLF+UAmwv19UWD5E8t5+T7wAHd
0S1b2uOVRBaKv7mKRhR1U9uMB4V03/EGarXScRlXpb6nM0pU151O7+QFST+ZuStdARJqWWOH5M1z
JZFNkWdQ+lpI8guSBfA1ocasv5+7aVZOTh0p3+OWrld84qPxqBumwUI1rbWqWsw2FGukzeyjxAEU
c+OoqnY5Mnr3mvAQGpiN0a415tfEohZcKi42ubFyIHYyQQr8dpI8Jq+XSDQshDh4UwO1m0Hvu93q
5reizDP9VMjYzM6QaZa9NTEEUIxs2xRZq4nLXqG6DWI01kqXwixjSbtTYYo2IQ67Gc1bNmE5hbYa
KUvIJhXHgaJm5cyDEesSEwUjd5jiil72BfIZYLt2yRZoLTWmIavNyRQwUspbgjhWEjJdZrVP7RPy
smZFda0oy4/Mru0YSC+idTUvGDx2yBxj+5PssjjfxZU5L7tKdoPDADzOOjxkV1ifxjn1bstUcTJO
xqqnGlAbKUxFcYJ+QU0KYNuacud6i4O0H47ge1MfNHBRX1U90ZONNcmy9DsCNsIZ3t9GVqAVQ2gY
kwzaotw4i9cOWz0hYMqvsihpAi9bnMIH2Jzs68nVq7OLnoZ3A66mqgztxva6aDl0izmOCKUYmEIC
8QwmfaIZtJeyHFV53YyT4oZTBLGP0sK06VohFkUHBErJM2ANKr2w+kFmoRrLi6s5ypfmG94Ze/RZ
uGEZE/juZl8vuSa2ub4AscvStb/XMQWtvtBix8G7yJdyp/xg4rSs0da2Sx3OmRk2z/Jt5LF93nfQ
B8aGYBZP+6aUy2we8SYM6n50xdSoYVVWeCFZakzaL5tuS2WIGznh2NF8S7uCQc0ZrIc2ftbiZl29
RMKPDWqnNYxtZ3LffxrcRDdOepTWCX1hKpXCQ07d+HGiiMqDYmoz/dYYIYa2Y0FrXegidKv2tZPO
3cZN4fWJ2oNGvx1kQQqvj7t2NC+9wV7Fl9pQeFe2aZeNpPa2kua5b+cyQ/1Aq1rgGA2h2b49Dqz3
zUCkJVRB7i5AFu0y3ueKA4DlO6Ur8dabjVZ8QSZZL3tWuVyePYdq7UOc1mUcDDmIWqAoI0qFjiTl
5eBG2aJfc2f1K1EeR9qmW9TYfEhwnUXJjAmjbkasPtSZWWbY9Dj7rjGerBO11snhs5i6Wuxr9A9e
kMercC9POUc3MKgFiE2sLNt8WmswdcNWvhT23CkbCLzOCumiND8bsJPYpWqRdBsjb2l/AENXlY2d
Yt0A+iN4CRRw1gnyLLvqsVyGZtk5o+d0V90oKnUXucrY7KmTXMptBqlOVOZgeO23ijLnOJhGqbtg
/FplHJYIVMuHMkF8YbqrXLVDCtbbVV3dmBaoU2DQj1ekT/OityRqCtscbogK0Z8W5kiEoiayFOrA
WhQT2lARGcFOk2tkoXp5tBE0LMQB2l6jOqV6m7bHdDEYtganRQwVVF41WEcTzlxHwGB97U0XUrHR
JijnGBpGv0GT31qHRJrOuNEX6cyBxrfQ+sL/iHIkK/SR0q6+pdcZnV7/xZ5U5pZFlsO9WpXTDYNr
guQWjMc+lIqmVC8oRJIu9EDODNAiURdnnNpjsik4xfLtImpDu4PsEdYGAp6ct3bU6JoMQam2cGlZ
fdEV2qhxXBsYmKEmMjILC5r9LgXN9N+Z0axb6ZH3Hf7s8cVnFn9XuqXofWSB5hXdAaqGfDWhu8Ms
SH8Q7dJ9g2dqn3Wu3a8VTShDydzr2KDsUn2YhZ4WF+kS5cRAwFrCiVIYFd1Rp1KpaBU8aoDzjniv
Ikinhel8gbf5dxmwYSdWRG8K9bqS2ILfO4GLMtbK3USVMP26dp5ph58iqb/pB/aoXIm3rPyZEnRt
zrnNhDBGOzQ+CHgopEsgZ3TaLv9Td3BV0k3Sw7B5PoHJUCmKqfK1+Fkm3JkoaHIf7wGPK1tNO+tJ
M1Eg+UnZKgPoi4xJHJl0Gawy++uapbbaNUXJPVc5CH0Cc6Lp+4SS0AOmGycqrfI2Jv23ZsbPfHi/
ITtardXoz2Nblw+1ZbcOMVaoF0OqUxyXak/0/4EK64piSam99CKLPVzhcaFMl3IwXGqzFhVxjUJv
M5sKEAxCoqlMMj+FQeQsyEB1SQBs04myJ+qNDxFKneVAVambbmE5gbgndLvfYebGB2ZcgmuIplQP
nDE1abVVCfBbxq5bU2poxg/TEGFVa8n52oC5G9dVNVpwqG6fd/clZogiQDSR9EEyFcI6GKp5BGrc
taqVjtd2jyoGpEt1xKGIPELScNwqYusatKifZZ2xjkVgh9orwKY3H0Q7OQ6HbleNR6tXZiPQlWGo
ALkETm5Zk9lzEJ7t3lpS1SqI7tIAuyyzXN9R3A3A7vJyhrAe2dBpr6yzPiTZ01t8csdbW/AX7PWc
I4VUz64seu+I8odbwFxJko2jpYV7VUkDZeaise1mKP02bBec5N0YXaP8gqoUgurZEInYPNxMtb5q
N41Vs+pIVMp837j1erpjvw5qZc+3/7MbDPNKtGnY9X+1Gvzv4iWuX/7kp/r5T37fCgyMUT/4sz92
AcP9TV/Levi5KkZYc/VX/UHJub9h0Md1B4u3ZnL8aLj4FyWn/kaWuo0gUCM1gc40958sA+/77vA6
keBL9BbR/qZpENH3bhfgpnfbiFrK5mn8Pr0kQbpxD9hNHqetc0yfml20efO2/G7jelv9+WeTH/Tm
uwuuf//GfgsuXQ55wQWF0cL4d43fA9J2Xq4H/+hC+DFtTyWhjepAyM2/JMCPJA4YaIlKSJt+WznO
Z28YzmYX/3QR/slE+Pb1wKLyG78hNbkQH6LNSrdmZLh/qQjpYgW8ikYB35ksKzkr6ijmjY1i7bYk
vLLycz3JlsvGLbUiMHo5KCSOTtXB0kRm73hckuzvphROH4h1rvNrWlM4V4xFZDvNGowgLRhKYpU0
gHqZ9SBJ5QP/yPIzG5nO/Zgm5tqDPa9R8t0+X9rs1qJEI0zzRO6s1evWJ+lAKVKfOqGsTHkbTT1a
tLqmaLttbah3Re076qm8ag+O3x+8bjQ+YcXoQ1Tu8jZz1tiwdtDRyq8c8qeycbRrYKY0RJQYXcYD
Ibr3gi6DC7eX9pPWRhV13Fio7lTFamB2evPAeAci58os2bAD0zKGO2r5bqnUtIdCdWIAo5bwmc6Y
3aOeauIlJnmfxtps8gRwjOt4YQZovVf7Ovmq5KX81DGufvE6TdlZNOs193ZW6pcIoQTJTUJBrtWj
SbqP4tb65lCNe9WOOANkmpavGOzYW3qtKp5dp4mQtfXGQWV5xIQDbji2qpv4Lt2D5NKO9ilLKn3D
puE2xEvhy/N71OMIqAtd7jlkeQTYWn+EesGNxK4Qlhm67KSy7HvgweG2YAPdUbzG61x6SXKCPj1H
zpr0haCaDDUE6/hg2ui6lV53ilF/EHqRIwv2SyVfVF8Z8T8IwK1vCprNOCAwoqkYr83+0jYLcWVR
jBkuYBZ3GY64O3RzHcZHz2ieG+JSaWNj6/Xx0Xs+uz7DR4Tk8mhhzTqMhjrsuUNthIhdbQI24cuZ
a0UEjjlrW0FLkkqA2ShIJ4nqE4C9hxhWn71Qn0W9l65jB3Mu50DMzRgg0WXe1SH4rkFqjaObtOlT
v9TmyaST9XmYIQG3qT6PyqYSbYsG1uz6LRXo97qA1ogSAklsbUZDx4JU0Ec3aWerLJdLji7t0Y0K
mB0T+91dPkn8c1ChxkGWc7TtsVeGXp4SwJZTVh20zbLcNUlTPZjA3TTt9U55UcyudlMPuCUCO7NQ
SHYZO7ZVTvKTJe1sIxay9/226qsj4wWWnKSe7YuMnp/lonSM3rdS2/skhqpcyPUz0k8O3YKhKdvq
GYbY2w3w4ce5NpZXfB/GNxl1eRvQNkNd+iIYYN2uXs1p33sWmme10nkGL54V2nGu4sJQzZcyq1rP
j0wtPcdOPd1QBVLF3GRGHZbkxaB3R1Qx7i1LVre0rXkXmSKtvdQ1UpY1jyws3wZPRfrbTcUVJyPy
dwtP2vWiNk3sGxiqv+dOZIVagxIaILLLbmIKsCdGXAVKynMz84tMaf4ay378hq62+dQYEMEk/BGy
FWR4OV+GUbq4YGR3UHBpPXXCEI9w2dFr1mPsdGM7eSrnJTnnmgR/TkrGH7/DA3CxOgNIVBHpSpFJ
OTxbYyXTC0nHxUzaCj8Sv8lMja4r0EQzYSsDhsbErYgtrITsj2ATEUtdTG8V5sO4D9Fs8NH2xVg3
+D/LktUcC9JFVpuuRVCvM5wyHcRg42DEftA7TUJU5Fb7JU3sCVeDA6FiZOZtpk75HSncPQxrUcfZ
IVK0+lJl839U6wU3WK8NguBemAJMRvgMA5N5+OyYKNQZv1GA+FJNzLtea7NLIxnmcZ/lWGJC/MPK
BmegRYRM9GLW1KjlnnLPyGCHgzWXp7isBvhLjkaJ3I8EHqs374ul8twPImpXMO/d08lwTCqC2ZeJ
V3qfGzDWwpojsUADz/Xi8xj53MnxJyT8H5+Bf3sNa513mG3Xnr4/P9PbqNGSqeUahDBihdR9Z/kg
qWL9CX95FW+u8M7p3RY1XkeTKyjVs8h0LDsYA4nFAdjy48T9YHT46PWglno7o8y6JfRkvdpgXDrt
o2Y//no0WX/bX7ya9+1XGH5cYcX8fFtGxbp0PdYJCYKLeOwEInA8p/5cdR9c9IMX9T5TjOe5vRhs
1r7jjMjq7fG67dMPboR3w906ChmIA/+4EVYQ++0blyRZPBcq14ByB1O9tNouHLLug4/no6sYf77K
EJVdncxcBe3ylcZxRmZymNc3v/6QPrrK+n6+GVTdae7bCCjHR8fVGQcjuQJ5/PUl3ofn/+X9ejcM
J565qCoMpJ9c6kd1096kiNhyX/ps/QHpp6ERuF9g+twvcVh88C5+dD+s4QpvXl9Uq7XAts/91ywb
gEDgHcP/9ev76C1cv9VvLqGbk5E1BW+hCTw3JXfNaKDPzj64yo9+1199nd4dDk2OBHUxeSVT4O5A
C4aD5rcBMQ6mP4YgSfYWm/kxDj86Jt5nCP/l43t3TmQNIngqM5k1j0OYnQUTxCl5mk54R47mfYah
4a46YSQ1l9A6/5fe2vd7W1cogx6vl057YX+FCY8PnsY0BTICd/P/cy2HcQ9Hxrqz/vljFHJ0lMLh
WpqGPnoSoQS2to0PUvH+9mbBMwMhhdVOM999F4yIlPC6p4UYu7yQCKuwrmBo+/VLeZcY8vMTe3OR
9zd9uyRQEAYHlMiGk5y73ZDVe8Iq+4PWax88ev/+FfHsJeQL4caPPNU3t388KIKwFC5WLjQuZbuG
+YG2iA9u/799mNAP/8dV3p1Tk13ofSx53zTUGSIhOVodXegV9Ou4AVQvveryeffrt/FH1OtfvnJv
Lvruw6rEVJsI5zmCd/CIzWG59LbFNkaTsJ0elE0bNi/xfQbDGOAnC9KQAmzlozjaj97ed59lwvE8
tEDKvtgm5+m791rfAnGH+tm9y0587ef7bjfuf/3C36e2/X4D/fvdfvddaJFnFp1Y321yCQ/JOKhN
IAe3ILW7sWitbZurCQUSEdtqfAAzUIJBV9ODq8p/lj2FBZBnLTyug2jbpGHvfXBmu7oPCH6C8Rxx
JaO1HKFIi+6jNq2/+8a8vcy7d9nRErW1UfH6KiYng/2dhA2/jR6AKD/4bv7tcfr2Uu/e20oTmlx1
H/4QsuwV597PN8RFaxdl4G3mJw+vxDnb4I7ufP3215/r391Lby/97hFiTGQW1y2XTpuOy2rGtumE
5SNK3Pz6Qn/31H17oXePDCrHtXHE6E2iv/15VvQztM0HB+kHl3jfme1ohUNu6/o49JzHdJqgg7KH
H6/iv7WzAumEoa85cP9Z3xF8e+n+7/95K+341z/6A8Z1fltzTIm+4lloqNgl/iXuMLXfTB11B89J
Yu2IuOIe+gPQ1X+jY8Ck3Ur/A+/9t7rD+c0lRouWWJ6vlkXChfePAN1331fyqLkMlo1VCwGG/D5E
TeDJSmYHPKC4FGGbH4Z7nFh36QOa5gTBBw8FDkbxoITaRxPJ+0hDCrwN8jPRaBOQwJ5tvjsqEs+b
cTll8BIJKnM/p1vyrsRA+4CEQtuNZv88ItT+GqdT/90Scbr5EWYBX42naI1diZsCB6CUxW1f4Oz7
EXrRk0m9IcI1fynNKLlAQWVczaSUjiiwKuupKRGC5VaJJa4z9adKjxROJyBIhK9ac5dmsXyiTko7
tKY13BlDme5GVvy9yCzz1KQTziTKUBaCn6hyIN9Co3Ldlx0Abq8P+oPdZ/PWhbkOx7TTL4eYougN
N4i4x/KhATA5qBbntD2VOrE3VjuPu6jtdOrqO6FvHYNMcrjr5JEciSHIZ4LmSekYt2NLa4hfwTze
G4ostmqWLRtBBu/VOFALG6RAAmR945891cJprwcnV8DovLrfQNbzQK9SzvnWzMQOSYhzMytqcQCr
il/Rd+sY/5sqItahG7aEh/aYr4lulmOt33NZF+9djFkD5cASWJBpFyWE6cYZSoW+W32SD025FF+r
OaFvb+xanKzYbXca+PGNkk4yxA4Gm+SBQfORFI7cZDp31lgOxg6oLk/D1BEeYnx3WWxUs4RYowCI
wkqHFl6mrt+gDUQnTpJVgO6DSX2Sj96AK4QezPYmoxns2KCrPuLAyzYd0p3LdnCiQ0/Gy5MOSXeW
hdF/hlxXwccIlzp1fW9ekIKkX+K8t3ZKZC3HkTDfM1159GDFlWL6CAlUMpdgHvBD2t4jGU3G3jPL
eO1VmIoXB6UvAJ2jEjqR6vJKzUzQbmGXF4bUBoDhzr5CStMiNUZWowXU8ibEw1oTlRIpEOle6FQ5
AYjbbRmUXiMtzCdAomE2qTE/M2vMZ34R64DgPZ6DhmDSPqSceD6WeqZsxspsbxISzi/7WpV3BOvO
X0ZEBfe205BchPNePkp7QKsD64HAr3P0AkNt2uH+JCAu3xd1idXTItXps1vY4CMoBqIt+S5OxO8X
d/eGkViX9gxZjA9nTL3A9tKlX+WqtZasevF0N1ijjaUeUFBnaYfY3w4Cd+bduCiT6qPPSmnmNvro
WU6qToGF22jttzkvHVjTMm1vQd3Rg5CElDooTXO0KMYgJzuopKaMnx0bAQS7NLj5lmCa/jEBHe8P
lDZlTYJsuSmdvVycBgexPTL710VWzWfOzNq6BAnvNqmhEYhMVAWSZ6PZmkTmXTZRImiZi7p6ChSC
ZESYCUehPDeKK5tx1JEW9HvjPA8LgWshydfaRaK1ikdGjCw8IrYn85joTtVzZon4m4VVJt7Oi1Jc
Ec9qfNYcskrPC+1Mi08E0fxcy8aEJjfiSVkpkeGkpROOlipOJG7Goe0DvoDOV2zTfYy3erTA1uHN
VzF0NH4n4kG+mjmhDxPy0aeq70DUe8DNvSySyYR5cd2LhcSEY4yHBx0zqSv4bMnfmc6oOanMiKLK
JesvLk5VqSKdqFv9yUvT4okq+A4qIxfJJxzYw86O22JbYCLDDNDP+ezjAFbWdG9FQRA01iaIJwj/
aXLX/jiPtGVH1Vbv7Jyn5TV5Y82XrHeNp67ODdcnMdf51tCCsq0stb2xMjO/pWSw/pwgg0IL2OH8
yF2RGxsFbJpIJaff95OpR6e5g2be1nOEFHxOOiMNyNHoXhqZ0zxWo5V6phcWyGNxJUUfOGOswJ4F
0oCs68oyMPPSpfyAnA8ETCNnQYo96ikRMBVOGlfbGK02G6M1DV/0vs/udTOqrvElK+febcnv5SEF
Jp5J7Zw7dXevJiKnJqcxQvxt+jOCZ8ImIiF6NaDErcsDko+1I2qqDqg0hrsTaFUesK6m94STODs9
acej4Wpw+A0A8xXAM19PAgC1aeOlUfE6NU79LHnDCfmS9LOMhapcIp6s7wrEICFNbl6/4UOMb0rM
BzYwnOXyp476oCopvYjo3hOCwEZ6hcpqKR8MmlOoIGHRv+raaZn3Xtrk3mZAJBciCnOPom7wOOVo
8xcsGVqTbGgLVC5GjCY3Iw7py0ozR/T8hYnxyVWa3ZCohnqTNYQQBfSeL9+cava+qbLRHjl626u8
dXi2ROR3HmrA95ZyUcc6E55nbb3IFieHRLo2VGQXo/AQ064a44K2pjLZKpXXvMa6dL/as8oyhF5S
fnPGJL0T/NKn3lLRuqPD3vPUieheJrNnl6uIA53WU4nYjtOrqlaaWwD+/EuKhvlxkjSt+oi7jCNW
UeW4UHh/L0ZnYEGw7cr2U9vNLii4Sw5CI1SJJETLQIffZg8xdrSnupqiTWlU0ylCvP65FaVxY8qY
LDsjq3dGpOlfZxknX123QDmqlbp8cspGuyAAyyuDqdOGTykdOrRnKsawz0tT/ZQREYAGL4kpHlFL
R/1Cpkhz3SCfJ7qzxc+z4/E3PeSJNzwLve0eqoWSrZuC8e8eh4EFA4g0KPVHblydIKC4ukFBgvNQ
rxeE4E2k9g+K05EeAPeg35ZmYqCPN1D0hItTaubJ6Ok7P5ZCZp+nvBWnLorLw0TgIdJ41S34BjjN
fVLnEtSwbpc60PRJucA81QauE9dP3KxKUNViPlXZPM+nobPyvZJPOCXpa7K1sB7U8ms3yxESTejF
1TjaRPrYPVI+vtOag+8OCdgxYzSaD3xUXcwxWsXWBSpNx9uRGlAl/kJO3iMyenIY61khII6VmUil
yqxGCC0sZV9iqctXWfZOHyDJdbQQ/SMiSn6b4QDJaD4gL6QNj9ArjSaliJC+KO3j18Ztl9t+mrTN
MDEI+3NDtFOgyEZ+WdbsvTlqk1e7wg3MjTtXl+gque7CztURYrxyTGNTQkOZfLClr0iJMTWGwsdm
VX9UE/OXRQysDD0AjyPM0y56jj/jZlM0Y8rzGMW7/MExr1EIvVlOzj/hlrfSA03nB/wJhTHXAj+N
7BQdmZD+ntuhHyUe5mFgDgqmjctosx/2g89Yxwq98w4fFWa871O3qdv5EVj/Y8VAAvtuQU/6mXyi
ZIxBXOb/x915LdltJN36ifAHvLmF2aY9u2lE3iDEFgXvPZ7+fGjNL+0GcTaOOHcnQhEzEZSYO1FZ
VVmZK9fyrPaUH/qTir32QZTt/ljfd4/RId4rCyyyQisv31ldvc1LZijFScfL+Jw9a7eFw7VgD275
LJ/2RO/kjS/6ztZqyXolp5dlYYtT+qhyRnBluqNL/9WiqnwyXSQavDZ4jD3/lXmSU5vYRuQkh70f
8vNb6v2nlle4nCjWenTb+SHqERKzU39SjpLDQNiuy2sE0F+LainorVqahrATL+TLIj0vXSNuARy/
uQzz4tHKzo3b3LXPiRu4hTf/FqvuTuBuLamCkCx00IZMTK28GycBqRNGUPEue6humGCxW9u0q4/t
0Tjv2PqptMOXVJYTBCleDqC1fwX3+jiFAw3yD4MneqrHbNeB7sqNeBBd8OaPgru3UVZvcHYiehoo
nhpggjTe/KtPSl8YbrbGRwJwFtw0hSHPyw5h8tdX/FdFmP8/B3EsRDW1pW71fy/VPP1e/56vazX/
+a/+U6tRGZtBrAzpyuWoojPNwfGfQRxNXagyqLssRZf/cF78XauR/wfsNMTncNojbi8qBO//gu9k
/X9YU4Z0UNBBLIV+3r8YxFkFJlg7BnQB9ynI4gIcW0eJxESYUEpARCAYOkP6fGioOJbC6eKzbFwS
P1thoshQ0VWhbiVTm3q/vSchUZQuY3CwjiGTt/RZY9jZ0o7ZpO3stC1LhsjdoDL2hCjVqvwz6f4I
uimLXCVt3BSJh9b/AhfxdXfWd5Cq0zLhyyO5IInIb6x75+MM/rmag8gdD9JB7+kTHUN3eGo9EfVQ
xwyZ4rYTF6rDvTbjT+5hmNLOIicBB/RfZPTvujkxPF61Fbq8SY5de+zcZDZ2DsZVxvDm3DKqDPyT
qx359veLhQrIoDZ6GEGpiSS0zGj/3udbXXB/WUCsGC42RPMo0723YOopHEsCFkLF0eWPyiE/ZMf0
Vij+GNzCDb09j1ZH4U/2VhdqXTVoMi7LRSJnB71CKYSahS5C8z3vRPrPpgxkxEi2ZFZKJaF+71rn
J6hzqzHc0vFdwCA4jIROVXwAcGdfj8ElzblISPAJQxasOZweVADWgR4oYmXwMMMna/JmeDDtTk87
oE66aM8MUbt5vpMD/Rx7cPqA9cUqV4ulr+LCSiMtqQ0UBn1KL1jT7loxPhdzY+0YWvfS33xDaFBZ
hhQXvPLqI9LhbdWBmR1X/kC1hejwv1I7vh2d4Olrekrck/+c/nb9c245h/YSNIzLP6B136/bIDHk
D+Nk6EoJM+Sy/NxV+S1TTi/XzWyt2qWZ1fHUlGIOWzyRP/g9gLKWCqX+2FjRU2h0ZzXQdrbyVjTq
1A8khZMQdPfKXIbmQBtB58C7pncN/YdOCbdGXDsBw3ndsZ8PDTidGOqkV0EGh7LO++8HBlAdlXK5
R9qDKP0hSHvxvmPgrSd6cfJRJp0tZhwjF6lmJ+xqd6z2RJm2FgduUi5Ceheq8ZaXX5io1AHS2Ymw
078JL6NbPQOFuYHjOrCpq31E6LF9SG8Et7kVn69/vPUb6i3g36SvELUwGCNR3n89s6/7gnEIbi07
ui3nF7/jbYGsL5y5SPnew5wr7BwfG/H+lh0CxuMeM7Tlc1/4CmC9V0CDRy4q9h9bBvehanzsLBTV
rru2aYdJYovcl2HKpVV1aYcRx8bIR+xInXYyVNjx9Zkazp7S0kagkyT9bWaNRIEWJA/7AloUKSvu
NL35kMs/KvEhGHf6/dt2WCBUX0ib1opEeQGq0zfYUJUsnhmqPftS+NpZKcV9pdoL+fWraAmLtwY7
5DkwTsjG6uNx/1ZJhCKI638blMF2RDhNuRzFI92YH/GRd8tjc7q+XqttZrBCHLrL3YwIm2asATAD
QCmxjmDG6qrXnKrBru7kKiB+MrA6koSYCUa6G+zj8qsIKi+DLEgeflz3Ys/IstMvojudq3CG0zp2
devJKM+J8qpHX/+lCTJnshfIclikpbzy3gT1ceSQkX5x67BO7FiNHhlzuLXqYKej+dOCvNlZxuQl
IvyNNO/SFboWRt8NLRs1gdIob6m9GTsQobeX7kUuYZDqMArN+xTiPUPWflp0NdGYh4RHWHrR74X0
QGXFAcIm2LmbfFswgBNEK5TOD9Sx6Sbd5Me9vu2mlxe/YBUVqtUWXUMd21VAd6XJfSW+XF+uN5zT
zz4yqgnlwJI4rSwgqsD02oiF2u3+LM/Tt/k2dPPT6ACNYiJBcPdKRj/FIB9VoYXGO3JJK4xVusSo
veSr4xi5ojRKhywVPzTSZHpCZO5EyOpMels9KieA1XjGAd1afshFsC/0Ir0eDmxZ5Bq66MYn+TPE
xonHnThZ3Y9vhpYkYhnVIolZqwW2VeoPk08CWCgFrAC6cRLbmmEO2k5Vrz9CZbp3L25alBQGqADj
IZK6ci0Q/KHIU1zT7N6lbRp81m8yL4OgNLOlZ6p+E7hKOJKBfN3vrd/6Uv7L3Qvjq4jRzbCzohzj
sLO/Th5yGTdTTImIDoyLJtdetW0rXsBiKYxa8sYjmXq/jFSNYJCIiZcufWEO/qYb/eOoGYedfbBn
ZvVJ0zomXmvOLePF/AAzrtchxHv6C+bbH6uPsl06e65t7e5L11ZfksAJ1ankS4ZS/gW+9vsM8MRO
QrO1CwC3QCQCctOAt+v958tQtUqYXo1cGgYflPnW91/TMr1HVXsno9l0hhYOWsIaXC0L9+nldquQ
rRnKweAC0wcmqT4r5s5TZPOoWrzgFuZE1tYS97PRmMyb8Lniu+J3iIoaJ/BMV/rgPzZn8ySe9qYh
Nz26sLc6qQyYG6bO59PprXlTwL1XlXti4lurw9eCsoMMVwKh8/6jWRHwL5D+sVu1/kHJ58+wPnly
STdctnZStK0AvzS18qZq0UQy/DCGpKjkoVM78H3ZC2nR9Y209dE43MlqqWch4b0KgyIqhQyq5shl
8nv0/EATzno5dHvbdcfMWqZb0gBEpDpmZFgUVK88Z954kp41dMpeU90W7xZga/H9um9rgOnb0ccy
IdNNigPiepU/iTnCi1PDZdkfhs+w3R1hifWMG9mOvX+dcHJNXppaPRzjtE/TEaVPtxdupDG0mc7c
ORk2A+LCmdVKJUmtjjESV6wUyDOQAS3MBLCx7JjZXKm/zTB+8j7EVUEYOvg1OYDQR62rVxg5rq/K
8jvXGcw/XwqexfcG5i6e9AlRCFe88Y/ZTX9CDPthvxezhlWvFl96GzW+yCcaY2R6Bt5IN/lcnquH
yakPnYeCSI9+AO0n/Vx7yVP7UPDYMh3hmLnRYa9usfsbVtl1B9kf5EBB7Ap1nELoUfVIJEaF3ofQ
MCCgaWvMrLq+YP0hy0EG6XvTPcyMAh7qVI+OXG8lnCOxhPaZaThdpDZPep6bToca71HtQUzYueqn
blVElQSeRdorce4Fw/LnF99QBdBUlQm3bKrS85Fojgq316NhMz2hw0PjXpYY0F8/QPxIBOqT6xQA
vcHTndTNhjOEGYfZI0Uv6UHv3Hvr1+hfcXFhcOUTtP4jGoxVzLXU3mWnygnd1g7OTJYcAidxBYoX
v+QilUCK0SpdkFXEt2JRGVmAi61b3w2fjdvxtrXB8/05PJK/uNetbeWaGgCy/zUmv1+ywI9MP8w7
DiJrevJRhkJ10lMZ189bBEbmeidrXxc5//M5yaLJbOkOLWzolyHSJ2U8tCLHUu3OB/1z5fhPkZc5
OPjo2zK98+gxeNxzcvMMkf82uoZlw3Ra1uApgYId0dKhUw807SDu9nM3w//CzGrhUH6T27blW4Jf
s2U058odePnmmX5hYLVY1dS08EqThEHakqDrMJymNvTazt8ZjttzZHUOSTqEhkiRc8UaopP7lW12
e/t4O+7+WZLVthIi3+qFmeyrP1ivsxv+Nn6MPMEpvQj4LGM7HzO2lvRHeGN61wN+z7flG1+cUXkU
LRpu7K7BeqkZYNTrPdeWZf7pxrpYpVXenw5mF8H8FrlmqtyPU/CcKfGNMlsuIksnBZ5we5TkD0Bu
FSdsIjTrVOvLf+fjKpGBAa5tZWEJRD92yuJsdMXOsbiZ2V74uMpfijHJC2PxcYjCIzSe9my8AIl3
o3nvhbN9YiBnjbSSCD2juFowMRgo3QwN74JzFTrGx/Q8u1wx2hful9SwtePsDS+wbkAfdrz+Gbcv
mwvTq5UE5BT57fhm2r8pIIfgQdK4A3QSdn0MdrELm6FJKUpkimDpHK+2HVRBzMnny/VZNr9Pafwx
svbSte3r7MLGat+hlF2AuecoFGA/vRP8aXDSfEg+JUEsnuBD1UaEx1TtB3PG44taoQ+V19p0O6Et
E3hIPURHWl/BUdWVveRhCZmfts3FL1utc5TBojjGhJTSyL+rlQwBI7TLcXnkF9uo1Z7rIX+5vsBb
H5z2DSVmCH8MlBDenwWW3CroHalcRqbkiilyRFq4Uz1a/oq1V5cmViFUWJIYVgVeMShw8BkcZUJg
epb1dudi3TpPL+2stnyHqBBSt7jSGwH8w89V06Hzlh+U6i6T93b/llN8LfgGwPXQMV8l/Sb8+hCd
aXy36cXMA47SBATA/AufjnaUwYgJBUzw8u9XpwH4OqhCEbsMnX8z1fw7EwgIronG8/UoWOMa3nKS
S0Orw8zo9AYOBZ7pjTe6w7NxGLzZHY6VU39HRsCtQWa9hJ92jC539TowLo2uEqFMzVUph2+ZOtvk
wC3kzLe0o6g2w4F53MOHbB3XF8bWyI0WtrZ8YvzbpQpmR1HizdLHzoJahbGG635thsY/i7amOhjQ
jRCg5KQOkaQ3oaB5KMww8Wva181s7dxLh1aZ0GhZhYlETezOReCMxteg+XjdwFuR9cr6LFTCl3mC
YQzSqOY5Em82fZRP5j2olvavyOCBKDuNUxz7W0ZsVFt9DT83BVNCrugmB8vdexdu7W1KLZDM8g/l
7lVeKUIuB70m222ecyTqf4e2qIo/Rwkc9sW4s36bkQJvMXJEMIj/1CENs0gPLLCmKC3MHoT2p1yN
Ppi1+FWzhs/XP/Hm9Wpc2Fpi6SIVM6MEdP4wLftOOehOfMh6r3dm520HfG12777N2KSmDkxKwzNr
9R2lXO7rqFc4UD7NoGj7M7IfD5HmoDyf8vbg3uXRj9jpdTf3rK5CFaapmhkNrNaqp2cqokHJuQjc
60Y2Q+TCtVW0Qq0zC9Wg8sJJBvkoqHPz0pl55BjwkTE6VAaBq/XGsGN1s2JmXJhdtunlCnaZWSUT
vomT4x/RmjgAGyCH/0Nx6uNezWwzd7m0toqXZpbh/o1wsj80n6W75Sn+Cqf+uTmjdU4vaw9Lurdy
q7vbQkFIZN+xF8ZTECpIXD9YQ7kTHssn+umcufiEq1uOYQKhQD2M4fn8SWfKUMv22Pg2K+uX3211
vyEihPL2EoFIbX8cfbs7sgXOwdG6Lx9C+G5O4fF6NO5aXF1uQp4qCHhgUUbowFsOy/l7SxVjvtFu
Rp3keTdVv74BtHUdsptGP+lHLKpHlzmevngMTs0ROoRXA9Rlb+u/BaqjvRVs9kpE11dQW9drmBpk
cgXJXpeJS2euFVgPH65/z23nFNIg8J0K2Nn320zMxzaKIa5zxWG2Q+kV3sxeOaDlp8l74bgd8/+Y
WsUKE5GMlC33t8kQnBgHriF/NMtfyYppJv3t0Co+uroZwSFjRQkREk/1W1jxF62UZmdz7Xy4NUAG
CuBpsNIkdidRYGL1U5QLdjCizKV+VsLxfH2VtuPgb6fW3R4GiVvRQkaajjQDE83D4O/t5D13VldJ
awaq1Mi441f6mfmch6KbP9D/dtAn9YpQ/fTfObS6VERUmDUBsVNX0tvfpCYjEc/3coA9l1Y3SCX5
WlxLbJ5pctL0MP7Whm50wpvKjo4L9JFLK27v4Kpz94ufO8G+7p7WtUKGOrBiaYoCTPm7VcQIMe9x
Zm2/L/6J9jUekQat5Uc1y7b08/uznHhV4SQ/yi+1Jx+ke+mHiBwc02J7leQ991bHBmrBk4lWFKdw
fYig5Zwkjcd9drgeJdtp3IV7qyMjZ0dkqPUuaZx0gP3U60/iAI3WdJA82raT+0v2wAGDWNQY9Vjc
vkg6oNubs6AmZPoDs6OzXQKjRg/qN+XP1Ite9s7ezV2tA242QZsw4b1660qoDkiagjWrhvjVjGzT
nH/pC17YWCWmc4nWV++zUOoR3K873yrVMSItDU/1UVZOe+Xw7ev5wt7qHAmYDIUwgrgH8EQW5dvL
Xcm+Q6b6Njy19wz8ftxZtM1YvDC5OksQPWZiNUWbbXB4tiAN6ConpbUFRz53bvu5+CpDE+lkO7XY
Paur0wXZ53ruRDmmCfqpE/7Qze9IOO/cMXs2VuHYjmh76xU2DON7Xj8OFCxGa++Y1LeyxIvPt/z5
Rcx3at9PPGmWFetdlXwqQGTMLr/zhpeO2luLOngcYZHYfTRtVbPB5v4d/6tDJA+kEu4O4t+/r+mD
Cs+FADBYu1G86ZQUO3t7ufd/SoYvjK2OksaUEF5gkOCvjcCI43AQjv8P2eLepl7lH2YVJhA7kS3W
rnQwkQQF7JzbEOc7MGncyDSa3fz4KycJLS+a2RYAGsaC3q+h0kHHKE6Mz+ez4AR58JQFzZ/Xt9lW
LDKroOngqQ1gQavDyrJi2YKMmZtSfxaij211m+Q7Wc5WJDI8qDJgKzPpYa02Mn97E6YVINOkfDV0
qklV4/VovNSRuRMMm85oDFBpCKegLbpyJhOhAghNvtfsP8ZQF47tp0j5l4PCb7U/k2I1wx1gTQH5
vV+UbIjGvimpm3Z5c8s97Vn/lorxJxOrQ0g2JlgIcoRNhrpPD22XiGd07KARn5o09H/lo+kG+xWZ
ZxoJqyDrMr/MkFJd2lsjgrXhOR87Bmlr/9v1SNu89YHR/21odYdE5aBCqGwujXiUYJ+Xt5ZKl3r2
ZFe+3eN+2wwFgxkFdg8RsWZW8v0BfalqiN0o6lHt/Q6D8EnKfr/u0nK4rA+fZbqMp7BIRKz3Jwoy
aa0NVPwIAadMH9Gx4H+Gg6n+wUZKpcN1c1tnkMX8rQyGFZHvNa60nnpIkBTSps6Q4PpGAOxXIEBw
/jMJK0o8GtdgrQmlO1lsSuoXiQ/N9OuARODQ//gFN/4x8hNUKxG0OFgqsYlUOnNJMlakO19qa/Uv
/FimQi8vvx5SaZRmMDGgxg0hg90jTapL3/87R1YBnVXhyJQGVlB9slUaNWa509DYXPE33TdLpX/2
01kjj8icoMHo+pB5h+38sRGrL9edkLZuUM5/4sk0+bvW+IpZqHtT6ZeyNWzGv+k3HXmd5RR3fmgX
dwaYtiPMrHf6aTop9h52eNO/f2yvYRZpDhm2UvEF+wGmwGiyY604Xvdv04SxnG2Lb6q4uriNsRYt
fzGBmA4SYP59V+u/kDNCa/K/JtYJP1O6A5I7mBgp1MIu6gjt99x4+q/8WM91wQWlM2fC01pFDEjq
/pT1dCct3eybX/qxiucyroNQst4eFf1dI96LjsIjFwzgCVWhh0J1arTVMke42QfTbb54rUVghQUX
SUVWSaMBWc8UDSSN2vSgdW/tLbVwaDo76kftqChfIViC4WAvADcPCpPcCtaet17J+4NCzeWK6SW+
aiuojlVJ7kA1v7Ri9/ri7ZlZUqSLZLw0A2jCl/NIFJFhNu4LDotu2jlX3+Lsp+vowpnVNxQKfTBG
Zk2poS6l9ewIzfBxwan/Ul3durC0yrp1MUNsPVo+m/sXpi60Pibx6/SUnUW3ejSVU5Pea9HOFtgs
51umglaFDh0FafH7z6hnRcH0Dck+whOpDJf8ffHQHftTcpc2B9G/EY6pFxyEnctk84C8sLqcMBeL
N/pWgygxoSnV/u1chyhu924LXt4QQUr6+alElNDW/On0r4MGekYFrIpmLJCS1XY00ITKk4xGedNC
pT9/X9SIR2Xn+N84HmltUaegIsFMjLq6Kc2Epl6caImLLoBdj6/mvFdR3Yh92BMktIIlqJXFdfEl
ncq0tVJ6Ik2duGo3eIogojxX/MLXWt6BlrKUeYiR96uUk7m0kqUn1NRjUG5S+S1Hhe0Y+vXXf78s
OqqsMuMTC1B/9cU6JENStBl5CTYafGLGNHQ3UZaWR2mKs50jeTkXVjsa+lKVpIvTAUTDKuCHFg6t
YDITBPdSipofwJ44qjDZnZjsWNrKzt+ZWkW5z0h7r5oGvFzQEy31ggRWKwc1mrN6ArK68xG3wo4b
2eShxmsNqdz3q7VobMGpxkcErG1b5Y9o/OP6Km1/ub8NrElrumgI89TgIFfn0UEZ0tHDVyWGeHD4
hWYOH+4fS6t4YJabN/qMK0HcinfqZBmnHrVU97o/Ox9sPXMdyKkE/56fuGbywiSlp8d7lZS9L7aK
NUsKc+aG8KNsv5Ri6iX9x7RJHWguds7TzQMBwWXmx4FjAxt4v/ZDpcUVg/VQNfXKzewXtj6UnhT+
ynlwYWVx9+LULnODIXUJK4FieEWaPCOGbgf53qDz1p2kklcakNcw4mqtB8SzNh60sKW6kXdsnI79
KZ5kL4a0CNHdzLWkY5ozCrrXvtz+iP+YXX3EKE2sHsLc1F3odCXtWwRxYIxs4/WoW2teLJUIBtKh
z+G4g0JjXbtpMzUS5lJImKWO0SuPHPNPef6UeIJH/dw1SvpJtv7d+lzRI37aZ9ba8vLS/LIrLhZx
nNRsSmI6fk3xpM4ffX/00n4PgLS5hJdWVt9SDxq/aiasmJ+4AMmcxtNcO63PQC/QEoAC5b0e/sIm
uLS5Ck8rRG+K3JPzCU1ez0Ss0020tL0xqnzaeZ4sydj6Erk0tboZmz6dxw7NKNecy9ARmuW11cKR
ZgJokajP+tLtICU7L9ftleNYBDxDcrGuJIR6jML2HCRs8i9qQhIaWw61pevhuWNkXUmgqFnLgcbC
jcqdIH+qy5TJFcO5bmRrxuaNkOw/rqyLCYMkNp0WwgjWUvpNblHO+2B19ugGJw1ESQHdPRPnfu/o
dnHOFFu9bVU7a3d24tb5D3yNeVco2JZBuvc7ocxGaZKamCygKQxbRvsMiS5pz9UNK6ARVEjQ4DgX
f1JHVLIAGdciTd9crXijfJq/K1/KJyi3D7o7MgmBjisHW0/Nrr+XW1vj/5cH4bzXcNr7IUtMX2z8
1KrAY8XE7GRUXgfbRh9H//6CeOfrKgUxBiMlOfHJ48L+4FfQzVWVO8yzdz18djwxVzXpvIfPK274
pLDsikEHGk/fWbUtTNWlJ+sypAyhkZyUmJir5hBFD5P5IC3Y89S3eyu36+6PoB0Pumg5Y9nunGNb
eSPGebkj2yn/zCNf8UqbRJ3PqB5HN0RQzA68xMnOqD/cTLsDM1s1ioWyHntwBDLutAoMMxXznOBg
uOqMDqUbgAOEKf+Lzr57QRyYIff0GCEz9/36Ki7ba3WGvjO7CpaUW1CXF2CXNiL8Z8FizJxE0D2K
geWZNOOvW9tqt16as1ZBg2rHpEbd8maiQR4EBwSRDwwv/MWkiSp3eLO34Zb75oqDa6RjBPOkrIdS
4mbjNyW4HQId9XRG/tpwJ1q39sPFAlry+50dxoaUKT5FbKn1uHpOhjD/+1uBNzMVnUXIB92H1cfL
QnPIUI+mDJKMONBQxYLpfC9r2IwI9gycC2+33CppiBAlEHuBJq4K/CPO/pAjmIZ7BEeVbyVK7jsB
sXGHw379j7VVuuBniYxUPe3HwZFvglMuuK3klCftWfNGZ4CQ0ymdrrXLY3OrCbb28br5jXtW46VG
44E7kNt8Ff1FhChhGJEFamBF3S40P3TlXLpJJr5eN7QVHBeG1t1IVcu0MNN4g2ST8lUvmztmCYKd
zbXjzPr9XqtlV/uUOd2uTp229E9xiigdg0LXXdmKj0tXVnHu+32JGgRPd7Q/vTKKHLmE3HyWb8X2
t3r8+t8ZU95vKuQa4JvuMZYsIVgq042Wmg6Cu7KtpPmrmQJlvG5xq2B7GRNrGg4Flcoh7/iMymPv
il5+EB6Ce82z7hl/sOUThFy30s7G3ouO1ZaDir801ZLoyLU/G55bjda7173aXLQFYL60qmnurhZN
NjoRrRYCvSwrNJoHO5gDp1ww7dRtS23vEbB5ztNFtpbeK2bXvZegshqJhjLvm//g2ZMf1gPXNOPi
9dE0bP35un9bX5AimcxUADkkpfZVnOhJwYbiGAma5lWRYIQxin+f+NPQYQbHYkiKCbzlE19kbnM2
ws9iUKMt4+dgbE6+0di8LY/XHdnaxJdWVmkAqh5RUWSULfXSvw/H9HcUfj8ribAT5XtmVgdf66tN
VIpJ6tZZb0fGQ1WaTiJOv3AiwVy2ZPZk3mDD3n+yWAuDuMkpvRnM2w+dYM9dfSireYcXYXPxL8ws
f36xMqU1Av/I2T6C8kNEidifdqJr80yAF4tpeyrWsrJ2pM4YyZMVHn3WS/Iwu0xB3Uf3qOy45cl8
Qc5o/tR8b3drFFupi0HzRiHaIMFcH+hDPplqhBQNd+N8qJ/M+/lAbwxep4Ppqo+N5gWOTglzr+63
dVZcml2dFXEutWFR8Phk/OWDKZ3K7s/R749ygFwPukbX432rSwvLHEX05TkNB/EqEovB6ORWI80e
/oJz2c392Nqg/rTYaVR3eZKh+34ov7WJN3wpVbfZQ1Fu7YWLX7B+bFdyNmtZzFnVyclB08Oj1bSv
luR/3PF087sCq2EteU6Qwb0PUw2J6UBYqjFLIVpyU2Zbb8bC7b5mDG3UjoAyaHSo+5OlOXvdwK0d
AvPO36ZXSxo2RG9YJbQp9PZTHItfxLwudlZyywbPd0WC01cTgbS/d49XRBLMy0I20jnVMzsb9B0L
Wwt1aWG1z1tZC9RZ49CKzMGr++DPvJZOkpD/fn2h9swsf35xnFg9lFFzwKszD42Djp5SEoqOTx3r
uhnugiVhX71NuLQkIC8iCAXmGd5bauUqEpM2hNlM1OmyGNZJC4TxoCiR5tXQKN0EQ9c8tW0h5/Tl
Gt7ZrN9xmMb6Qy13jQOxOHMsgTbbiV+geV2k41kP1PAmys3hlHUIsfZBVZy1TiyeLF7T5xxOhsOQ
N/6NPob+oZ+D/jYQS//zLMn+J/770O0kfThBhOEvIlPSbRGyEWW1Lb1C6/PHWaqkQ6mGsL2hmH5f
W715UEcJWjvZ+rMdICCWMoRmldAP/6xw+xYWs0qxzaCl/tjE6JO0cq3ciomvfiuh67LN2lecaiyz
OwUlTTsQ0KFOhRB3xKxLXo108A1HicfqdQqr5k4K++keQHR9DlMlezSyokltYBCZKyNp+G3Wo+6z
FkryAVFz/SmLh6a3i9w0M4fJy+JLnsMo4sRpEH8qCLXnbgqb58Q0WsPOFSEM7Sqa2soZ5qJC2ruq
pK9JX9N7G/xU+270VgQvhzJHx0oLLNtKBPVJpjN40Eq/Pou9DBke3FNK6ohTXlW2Bn6GEv1YeT5C
27fiRG81RMnSmUMoqQRJ0r2sHUy7r7v5mCToSYGsLl+E1pRe4pCt1Kt09+22z3OolgX1Pu0Fwx7V
CZokFZ0YBw2T2umqhpdRL8kOmEdmSKpGdcS+41MLcBB0jtV0POTCVvtKI6S7Be5VnqM0j89DWhbf
FvLAY0ipeLaHJp0Hp1NnxRUT8asQQ3cxhE14jARtOkZ1Nr/kstX9MMJe/QTVUf8F4ebZrYSqP0RE
F3LR+lw/Vmptej5siwc1mCA3VlRrsNkA6vdKqJMvbVFOj3hT/QDMVDpamDdIFI9tdxOUUfKJBUqP
2hy3Xh8bujNCv/7I0GB4ryBT4yETIdzVk988ZoLUPXXVpN+Vgpl5QdX1B6EUv6WoqZ3adpaeU2EY
b4BLmadOsdJTmcTTSZobppqVxDr2Zg/0VLFGpyvDdCk6Zs0p9AvpqS4Q9B5SQbqlluh/mqYYWZ5J
HwHy9E38GPuJf4SfaLQlvW8PjFsZHpiVwFNnhKWNXoSLkNfd0Wh7nq5VHx2lpIchR2/aczyatBwx
BXw+mOzWGpEb01B6i8UiPqZqOh9krZTdKRVMBAzV3D+omTnbuaXKR6UMgcR3UnaCSq+wIy1tjv7Q
asybJ7VbNqlxz1/YnZK5l53Z18I7tPoUt0kVwpIpI+AtQL6dvJ0UXlFvguVl7shSaDlm3ZkeWhjS
SUw07YSiS3Sn8Zx86sV+/GrOVYcekqDcdGWEmpTaQ8gT1eUdyfjw1DeCAY630pA8CrXjCNrmpfKl
zOZRY93lR2Maj1MWumMz3kSy/FhL+sHs289+27KIjLd0KH34zS15gNf5zGlq0QdFfh1985yrf/RS
6nVyd5aq8HPiDw9N699ZqX9IQ6gYfdM68Zg5tQr9qLL14nn8MgjpY0gJRp6SG7FEggbYSKvOXm6e
Fa0/xGMNXBL1FAOyJB9Fp6Z5GLP2CFecYiu+cWj66ZQqhZfm9Q3zUncQv36OLPmYNPldN+uhrYjF
qWmK73UKO66iVT98beQtJYuPgmkc2sSAXyyTfXucmduJ+k++rj21E5zRIUx+ilwdIFF6GtrpJPTG
h9Eqb9VZd/V4kpjKSl6tcJBcvbC+Nvn8oSiUGykSx0NSy4e2Lm5jc3gO4vJc9zq1+eAx6covYp2e
rEkwbbib77kgX1BdYoDM/yKLgW7recgBn1LEZ7aBsmNlh2p/J4rPUwURQ2dl9pRpLwoEbAexkx8F
0foqt+GDPqiqW6r90ywniRco3Tlq6x9CKLpWo5/yOe8dhefjURcGuyhzymviqCFjmdX+FN1HQRJ/
bJowsWWDGuII8tOpNO2DZUDcVRvKN1QfuRNE+XPWoog46zq6K+2UO+E0AWcckUqUZulLiEIcUdSg
bcaVpMYkwWJ8GGvzQUg1jrXyUU6t114bfzfK6r4t8b+kCsIxk/QxwykAvpL2h9EEt1ZmPY6S/wjQ
/bfZEpCDQlvDDgPluW6tk2nMtQ2m9n4I66eG16xTNXVxbMdSd3S0tMSpR61CPU2+6sli8hhYyk2p
+a7vN57VNXYXQkgaDHpuS2IJ8hdVNwfe0NewmjtnbpKjMMUf4yD+2unjzawyZ6pryZ0xmcc4tVov
6Oa7eh4/KXVzX8rlh3SaCjcS+etSoeZqFExHz9LbdFJuqyZ134jQOjP0RiF4pHtwTAL/x1iBalRU
+gpNBoIfRJ9n9aCW6tZw6bpETiEkhyGLQruXsxpxQ5HpyV72kDq7r2btt2zIvqVz5KjcpnVRfSjK
ghISpQiEOyh80/VJW7SP6+KUx6qdpqIrGYhbleH4qRhZ5zRA+DHT5x9BqRdUDi2vL8UfPQqfvdmi
21Wqjs+zP+imO63P5Psq1F8kBAMLfUbxQfd7G4qT5yZDVBn6iYOlRKe0Tk7GwOVOB10rmxthUogv
q7JcAgf2V9X4HS2Cu0lQRAcZOcT7xPBVDEFdG0xCCyhxzaJyLEah85IuebBKFRGxBslWo5Lb6Qgn
W2m5eif4sa23SvkoNlbxmjKw+EegW9ktA/KyK4Tyl7qefYcIqe2cf8OhxnvXNqbXQ1c4l8nsNMDm
v6XqBCkel6VtRtMBnYSbuU6ONQESB+ZzS5Jw6uaydgNhaA51p4OsFuoO+eUGVWkpuK2sGSFCM3iQ
+JcSCcmn1n/MEiW7yafR+T+EfcmS3DgW5BfRjDuIK9fYMnJfLzSllAIJEAAJguvXj2fNYbo1Za1b
VSlVGUFiec/dn3usm4pTUSDtD8tYY4n5pgrC7aCFhKWEiL20b7vrYv2S9vONQRwoUeZhC+eib7xr
58o7omC2pBHZmEfuaDJqa5ZNYzDiB4IZNd885C5vKpxJIqUjxTZHKLT2i6Zr+bVhlOOn29MYdeUE
/IsOh1HDaFjpQrQMm4drRMeBwEac3pxubXfaKbuEIglTyHzb1O/aV1eOGSqFPm2dsGxg2jV35m2c
4nIhtKRx50JhHv1ErmnW9ltO9uBVteOB7jtWjvvuuVvZLc1z4IxjSjkveGQKMu8ldGpZsmwflkPX
wwbnfovhCDzGT1T7zxpZc4jGAmrns2rUdbGF/0i1ytAJrwo1aNrVwy8ETXyyyH+JML6cGs/Aprb3
0uQ7QY6syV09kVcv2K8WaVhp1IZlYMdHsXgPEqWR42ClBuwZHqPv0r/GM9RzzniXdPSCjBg/i7z+
yJP+MsRcpFtEPxCOeb+ETTHZMGcQPyMCFpaX/iHxbdH1/Lw5ywY/M7mlrcseV7d7d9s2Qta5j2pr
DnPd1e9sU3e7tx8dFmW1v9xLGtw1DGmvwbJmzeJ/cJ5co05/0BF5bHugZghE2jtkc37VGiYISKD7
gFkzXJsbmrfGuVOJwb1mvhPi5xQV/g/8YaW2IVXre8QWaOhwHSSRvETB/rw35uj0tEmtXq+arcc2
FLcOuLhlxvL1bnrS5S4867mPCnDDKTHVTiE4fgXduj4Tk3eCh0fBfGjLdXinBl1SGSEHt/6NxrJq
drPkiY9fDnnGFyzBPweKXU3o9AyO7JXVGzyfpX+76+4r8scdHIXB+FWSU41cXIPHGcnBQXAhUo/B
Omdm9xF963hO2nmYo10mSL+WBmGKED+EiFFdo/Dkc5+XInThbLKdfR4mSBOlV6TKVo2jzlxO34/5
ESZtVTBjbN9Hau7oF1G8V8uQ0HTb5/OemC93jGocq00Ztvox0u5dx4w8IDflV+8oxMCwUBeOpI8L
GU571D1sI/ly1vEeWqKM1bQYnP68SAbjQeS6bp+rTYqVxI96cT4wewa7AFXVqj9g4xxNg+t7bA8T
g3G5mHLTQmxhcO1NmjxIxEYEuLw6lF4z8Wo0C3HpIPfXLnERDFMRkuFDwn0jJbF42KKgWDtE0s5h
EdX0quIeGbhN3iNeN0Qc5uqHIgt3HOGKW5PWwVLOMFTTzvaawAE/xwiJn7oKi6WOM6lNMewLWk6O
PNAY4yI1vLL4oeMgcegzxb1l4YRuavqwSevnu2tIFa7ilWKoD397erUxNsO4nzRDZDEfBiRW749w
aRGIwrT3vVY30w5nPASMr+h6YpCHwZIjAAXHhio88BGdfkLz9zAEJHVrlY7MvH2nxzZLlzcbTR1E
n2zKQFvkPpl1gBUdkkvp79jSfBIsZ9RcdRscQ9UWLBmvwUowkI0AFURy9PILG6CYgwAJO2va+MOF
O+h/2yB1W14lbV/OzXSvZ3HnIHmqaW5WpEA3UjxGsiu02lPHcdOG9jeamLQ3TzHTmbusT0v7wd2P
wXvsgq1C+uiLtUmp7Y75eRh+0Zeo/3DHz5ELPLwoa5ce6zF8bifIMgg8FiaEjb/5EAxblSZKXltZ
nyanz0HTpFs3pJ6+6uXq6CfaJFg12z9icDarXPU/cd5VQbAfFdoM13l2ZnZo+HKK7Dyl6LEuKHZw
CiQ5xg3yefwKuZsRRCgjCCMPgjvYW6TG7a6hhmlNfGncH9PgF+7kZXaNH2azX0evLgQSq83YZq4v
sD3Q8w9vXVcXAfNPg0QWJv1iaImWeCxY/9C4iIie7W3CXrz9rqlx3Ct22zJdJOpFNxtOS1NEKG0x
2lWu0QaHVZN3jp85sCVimO3u9HswipvYGfCup1R593CHTQVsD1qJVoMdMQ2EAsE5SzqXbPq54w4V
u0ptt2PXwcjIxWVHa4ynqSrAs8UoFgzYWNl0cZawIePfTb1xTzy4D23pBDIN2IzcAoyDHj3+PLXv
HdD0hOqCD025iTtvwNEfl94c5Q77Jbc+j3Y0q+FR91cPDuXihBg49GBh3gVKpnTQOULZsjX5mEN0
bm6dbgJ2zxi76tkzC28dP3lQ9tXKCjlUyCsqE/uGLIp0bNA0mjA5bijG0ylch1SSnwm/X7sZBhYd
Uu0RL+OLq+ncMmJNEbfDic9Xt11OQ7AUgSRnE5LLaBl21bzlk7ZPZENKN1YXYpsNRBjr+xz1Vxkv
L2PyGWAACf6RRcvrALnK00nh6A82WQj5TIftWMftfaTCx43B8I2rV89HyUOHomlhVIiywUHMfZxM
IHidExxzUxS+qcKQRKNwc3Ti4KOjEDAPHY67Ywstt3JftmMEVjDd/BmWxE/z6BWEPSXL1xYo5AI8
9tHb7oZ5IO50fMem057sCM5wirFGsEVbxWF7Hl2ZmR7HqF7wPrBjkIdEaogcQYMFmHTSw1IhPC7t
3OREInP28RLqRrK8DR+jZH6eZnxqeO0igrRg3acCCjVtWVK3FySkg3AN7p0FSAJAj6H/in2ewf2l
jFCDt53B6Pzeolc4Q5LwNPbTCYHO5TCPF92RDIRZGtEiCpNfqPq9NA7Xu6GnP+YYEBwJhrvW6390
rn4ww/q+e833t+hT33G6jG78oU2iHzgPDoAuZObV9j40sM3dApT7LUvSUaMoFe3vZtM4xH0o5tpu
ftIeftithznfgvjGr+MDYogv+GfUTZ1z0ygHvNBNMiik7lpUwLg8pb4zrgP98XcGGElpex3WApG8
eB/t76BbcjgJIkE3OnjTeq03Vg46KpBJUXLT4rLBcd+6uHjmwqp/AtZPbdtfDNL00rqfcxXPedS/
C3VXs/ZpUvPnWi/ZmDQHCmQF1HmBmzaNmt/BCutJ9w1G0SjieAEw0c9jvz9PNYpdrMslRO1sjmEv
bzrqX+wWAehbStVhcfcxTd1hnTLZIdQpfh89TPvvLQpskkE9hVz27zkknjXOFyCtB4d2RYfL3ttg
9L6gw1iCAilyFTo15EvzS69xrWKDBMOTJ35xnCNoK0sPf2Or+0xN0YM168lx/LRJfg6+h0TO9oYu
d/FMUnR00MCl/eKlnnNPJOrfcMLL95Mpr3lfGN2UE0lSrnBlRAHESHZ9nBk5KT95Wok5oRB/jIIX
4WH4QLATQMp8dZsipI97ggA15RWxOgR4sXs/F3DOyRy93Oh5eOmILjsVHKl+biP8qGeHuzCYzhNs
l5DGncs6/MFi/wkT/WnioR4V5uBw8n3ciTNp6Q3KjEPg92+R+z2/gUjCILn12ZOBGxulzVHOQUoN
TUNIORqgG3TJML2Io3QqajgzJq0qYjGUDZp8pX76fVQh/iJr4BiDMyWz5NG4uhi9i2/9o9L6l6eK
oD4IF5RJ/Qm+huAx2gNdvCNC64pu9/Oo5enomEO9rKlCIB4i1HPiTLmMLqNEdvtMF5SN6qCxA2L+
Gk4Tlg70vjh2wv3DqQMk28mL6u1FxE2hLKowWPYlEaKgPSDDGpcIfBqCF9pWkChnDFcl/mMH/cPO
onQ3Khv9Xww1hosjK0Dzj/b7VPvqzQOJV9fbm09JxZJnucJlrXV/Oo09DX5TEgCHQf3iDjhK9/08
OLi11vXobmMVt7LU2OpA9NOFB9PBWxOc7T464FbFb5apKx+cCzK4V7TQ9lc9Nse1Hk1h6Obl4+Q/
wCr5N1xOaxj/iCtGCVFUoVHGmPkv7sL7J+wfSLw8shrfdiPLbb/wJ4yIPwQQFyU9/UQ46Hf+9QQE
8Xlq4EtnS0quzJ0ep/gBdETOEHVP3jpcJ2Z8jzyLhh32OF6HVG7ccAFFXw7eNDxT1AI0gY7OuXHX
LY/GsJobWjLZHTbze4It/xA7KeLks6gGetBmMWQKpPupZxiaL7og+NcwWtIF90LiAMb6bGq/ZNH7
NC+HOLnGaKqRXVW2OEUd8tvieQo0EnDPiXH/xs2ACYMhcxUcDVhwAqIGfP+wzjGQgOlEY6fSgwG4
dhvNzY86xLt2eEocrJyeH2y3pr6Z5CGOEVbusxEI0jfo3r/T9Q4L+djvex5RpxTLYbEOktveW6TV
cHcCxYJEe8BYkazQ7B/jgR5i9kZofdq66fytbOcIYHE17AwTUnHxOYNnJdwHYk8OEl04UsXhFhat
j7LZn3bomecYW5CfGrikhXrHUfj0rXSO47sWLIaZv+ARQGFtRoA/YhwvY1vJBnvgHAeLC1LXQE65
TIeEe6kb3PsopYXvp6G6GddHwpyT5D9qE6eEQhY/vzQDuMn5sUXfrvFg2/YUcEAW4h5LOm33JP0u
POSO82p4lT6S05NLZIN8mtC9kDxsDp1z+EYZlQYKsH11wVMIxKdu1zMwjNT6+B+YLwXvyHj/rfRa
Oca/qF3+sNGSRZLkPISZnWVFJzGILmCToqk5ri6yqIM71d1J8rR0ulLza+2ZdPjOj0YDEz1H8MKc
dJPNdUUc+rGQHqk6XrGzqei/zWsG9LTAmmR0TuYXXyLkACPnLIGHvqyLFSBsSvQBzq6VM27FiOK5
DZeqbe3Jmees5nxKfXS3dkge6mW8GSSuEp3oqu6aUmFWNkrcx85GB5+rg4idhzrWlfQpdFIjODOp
HhYpwQEsjZvCQ6IyCGuyxAM5FAE53L3CcaWXqT48A6wsPDWdIrr6QAWmGHN54VgGNU7GIChNA+jZ
7pHJukE+1RFOambD37CKaI5iCHMl7XPAMQItk+2SrJuFK7VwqpFERbugP0zEL59uj2ZaLg38zWfX
A6A5nCJPnjVoqgEkhyN/TS3S6feu7L1qiabHHjOJQffBNIK0amS3bU9JNxabN18HwV+kXB9wakIe
D4i6NW9M8vPOlodGTietPTS0X/tgDv7UPcW2xjvjSxUB+p93Xo4xhiwb0G8jBUaKUs3KpKJ25ngW
DNW8EeBMEu8Nnru3y9ohZHe9HTx6AUBbIsU4d42T9jUMCkIUlWvsQLgOtSRcIErIGbJ5ZWfIox7X
tmsqto03EDjmhMWf8ajBLyBUwK8zD7u3R71m7e+Nj4CxYkCI8sh9oF5iukwsvnH3MI8Fv7RLBC8p
WfXrnLez87Ku4zew26UN4XdRjZSorT/FIyt5iAti1qc63AqZ6KIGFOe5eDHB07YhAbQ1T76YMzZ7
+PEElcu3EbUt0NzmhrzL0Ry3BtJ4L8lJYw4JOqcRnk+p2/d3gEmKLolx5n5ppzsxGb0sWpQDvroz
rN8Gb7fbRtKGJ298flnauSR8P0zrXH3f8ouS1bAuhfZYtkjxBBVPOUSYLVS82Cl9dD1svG2+jdHg
NnNbdkJnNax13AnHCqqZie09wGH/EIzYSGNcuqH4ZSlckLHv/O0O9zGs+ZbLRMEQeeNVbGPasrM0
JO/pmLkDigPfy7TfVk2znxK3vVvDrkItWGDcLO0AgtGtLUeHIkiZXWoylaEHKGgHNRecmAWx1NRV
q9UVkVrnxkdMvF8/7Gq9bit294oXFvYo8sR2iNa60OFXP0BmYocDrUE2AWIKjby6ffMZCIvmqz+r
QN8PLS1krMp9CDMmwgITcm91gPcxecdFtCez1nnIZLa049PECQBRP3fhnKPkvdcGB89FoSxb8jRt
eDgMgaET5Orf35zUoAzbghCVE0Uza1/gOw4TjqLvE7zeHi7VTQ6T9SvthswzO0oGWhq9VAvMBxvX
YM0jNd7u993+AoOBQ42zCDagJZ0kaHT/qZZ+GgcsG8xvb2iztSOgHvty3EgZ4KImc3OSna38kT1M
JiqDWZ4T7r7RYDn1Ut0SszhZ65JKA08mFkJmuZzbub3IejrAfwBEKxDx2qucCe8g3Cq6hgd/hZba
sJ/DFGJ0BNwPU91JE+AJpgMOYU5Li4Yg7tOAiIL781kDQh7cKJ/X/gHC84u3mxKsfOZLcUPJUvBt
e/bEAKFBjVi34NrHfYOHMx1wUJ4n3f4Ie3FRDFxR5FRWNtm6fzTgp2AXjNL9NTJeaVt4VwusTxrr
woYo6UlS7l58sbJ7JR78HmZ+gozwJKh8YU2M8AHl37gE1/gSV/vUZwBmC3dWNzOn93FgUUKM22Pd
oLOY0C4p3pYxV/ccvhbHjqAoBcSz44Pok2l6CL+B12oVnTgaqGVfl3QL42utge/R+KblSqcWSwYc
Te7N3oG77Zui24dZMKgsFvShLkIg3KQI9HeV+E95bIMs2oOXjbvgILc7sfBPSNKe/CmYMrc3b97O
V5guD2GFIMVXXtcoBFbWZ05Hybnr4EcEENvL4Evyo4uHl10G4AEc7/rtxQPODtDP0NZHtfmneE1O
sGl/w3K7A6x5iht7HztIZnCi21kwVPaD86YEEhQj9s7q7iae7JiGfCkjA3vRBYb6qVHJj9VfEPQ2
fOFNmVTveKSxeiBwz+QS2WJrF/Ypn33n4DDvXfXzc2/R1I80hhRAbc9i1lfWGQgKsFABCXQ/Woxc
lnvr9pXb6b1qm+VGBaG5Qr+KA7dfX3fpHNgiXiLJHgaBXJOejbASdN7XHamImGaUqb9MXy61fbrN
oBEXF/igil8cwY/Ntv4GYEpTSEcfTAvGwogoB2w14MGoHhiip1Lpeoc9hKwjdMGjDQ6KAG9OlhRv
KE5X6cs8oLvKvd6yst/1jQ4AKoXNfg9c5W0K4U+2qITlChrd1JndT4uB0bLu4le8Y0SHuUe1BxAa
EMqytgVb4E3jKYzYdiBoNde+9bK5r68ud45btO2V7cWxTVRuVnLHPCqzfeB+iuyzX2CyAJ6T2k+1
QVKEdZLDCuIsJVGPob8NoE2EWx6dp/O4Dcl64/HORcsy6yzZSVAkNPotAvBRIRFTukMIkQ7EovdG
OnaKMN/H3U84mlVvudJGveFYe10C1pe6jZ9xQXmHgO+f1DUyrXedFJNMfiJ08B5c5K1vYIWyyMU9
hH5ztjUinFStWCr4fk8YvhMFtDgIaQuvR2GKZ7oe6n6t1hH7JEQvPQQuGME42NLZWn4Y1vCByvFd
sLgDU9qSYudwnU0SqBGaEJQSg5dhPrjsFmSnBN/dM/Si/itm+O64dFCuYo2n3WxumVQiY3sC2zNZ
vzYBIEIABARqCf62Mvdp2JIfPaMi22d4Iggh2IXUSwhsEoVjPQYPdRSAunZYPiPYJ/NdSHRYGP9A
vs+zR7jIYFLQZqyRGKsLCPgQPBuoARKMl4ruDQ74cBx0UWuPCv2tqomf+Tv76u04ZsaZjrMaDP5M
/XJGcvWiBYZ3PphzJFxR4JEB0qJ9J8BrijpwxWhW133+4fbJg/SnNutj7PJxMDVIBntmfgJ5yICd
BkcK9IHjQ1B7+DUSc40zGCSnqyR0BkcdNSFaFXS8ZHQR4iOtvN3dDvdhPUfHcMFi2MGzHRPP2WFG
5bn3wexvR2sJqVyHYDFxh0D9wQbsdzzr96T7LtW4tkeXtOjywzFevoQ7LhgE8roK87rI7CJm33JH
0/FDjPh3rE+kW0Wjc0zIsJTCw8xx7DfOy9TUfTEituJIp5BXkd+8JMJ376JI+0Bvcf2B+YW7vz+h
E9hV154XhwG4wwhBW0kUNRXOP/Ni1TKdvX1Ql400yaNdSVAiuIu9IEEiyXaP2XQc8f24EV0WcpzD
fOnme25UfZs0XGWt9KN8aCHrYSMqoy36NnTs6gjni0LP4WweiN9kPnJOMSkBbeGhsU37aGrplTVa
VsiEIrAgrd4LL5jQOBmK3ssN2DHkdXyaoQJ87ie0cds6yJNxV4rdH4MmcslwM0Yr9hbMgvN4lE6J
5lRVU9KJEw5l/zI1uy7rJBwxoxp4VTuZrVqMH1Yji+B2CcznuI6RuhmMaSpM92P0uanloVtBey31
Gh3w6IJz043rvemnIQObMBwXBdo63jy32ALroFSnwN6SqcdYsa7XW0smma/QuL1xYrybCZwytvqG
U69xkgLEQvwS40A9Dto6xQYJC56WVea67LO57h6dLhzmFJV2964SKE1LPNoNy3zTtzz0Pl0n7rEv
9YJKE6sjiTcojNagq3TiIpZgG8gFRzm9oOTpwUCAbDEEx5q/jgnWybK+JM0Sn4eQDjgVHNtXdWz2
4xxuXgiFmgOqAc8bVKwZcg9xfl9z7zQ/TRhu1w3eHPec2OlhCQlKGjyW+BfKPX6e94blSVCzL7mL
4dSMyWBReVjc+1xHwX1iHXlvHLKgs1vMmJIp2cJUI/gTZJETggz+NulO9vbg+NF4rkUHkbVrOzAZ
K1CRx9nvwF4to7EPtZQ7PKswlMyxHhxWgYlSr4NwLE7hiBfAbOyTnwgikEsKydzeUYyXA4wqAZdB
KtsN4iRal4M7QenwqnzEo7drKy9LgGe4u6h+8TubDieThZgStZT4cL2mwWdEpkkxNry5d+X3K1Be
+Axrjwb9dl0DC542bPiQrctXol2gDNg5BLw2Ntq7CAWoH4Hp3OcpUuCX65qLOB/VsO4HZqA2hMiw
Xp7EvvIfS4/3mHg1bh821UB4MYqFag6a1vWTBY7/3q9iPNt49MAkIDHhS/Tz8JgEO/7Csm7gC5DZ
vXvZglypGkJXfAPoSGlyDRUC+EaBrqbQIK0eEtr7ETAtEOy5H5p4PEZE8itd1xltrUfVYZicFTj1
Evl91k6Y5ktnKUYIeqCJe0ncVZa4LBvcAJLyz3FqSJetvgD+hZsrcgunq5MdmgMP0Oco6AKLJ7V5
z9ALMXDOvagRm+QFvV/tdovB4tAWuj+2aXw00UTQQ9VNHD8wT3QPI4r7KA37JIF1OyLTgU1BwquP
odfOP6zq3d8wD0IN4nscQhrpWRLdaZyefaYtcXGtudDgwMUD8Mi5SeblRyS9xGKoNhzsHSPdAA1G
E820TCK+DzdstWii8HLffNFJzL5yvwFsGWlPZQ5AROQgyRlDmzMPelFALoyixqldMHhblGzP+9r3
MpNQxf1e11irvBG7q8/R6qEOs3I2FvtxgfPPpgMOAS5ciDKyRoBCpHGiqZDOxFTeu8502yV4fykS
A/oOZYBUmFDlXffoICwmzGWIZv6IsXi730A5l8DNVjt0QSYWvjoYEX/v7iNi4e4lIugl70F+6ege
dqejn4mwS+52jPGXraunJyMDUx+kUCv23MDBC0+NezSJoy9NbOZfM9XWS6HCBSYWhR0HXmc9FzNG
Nrgm2kY0w8iQuOMCuMkeWpKZQK/HhWlZum5Pf7uWjT0Ea46ThuuCkyCg23DmgRhuSEPnwnQYUEXP
2ASPMwX/MUBShPFm69GKtLN7aHB/PgjBlTzYYeoudCHCFiFfpU69BVCCcGClh5YZUrGuaQCeJN7k
Zl3oTfchhstKsuxyyftJuhWtR5IhuGp45TtF42oafuYdxqct+OkzrWfQcgveehQCJaVCLBWEWwie
52zCyJ2nXyzUC2m7bd05HJv9OG58uQ/CNjkujg6ATPnNg9c59YExvRS1MLhp5ShePEiFq1XilmmJ
CjApCLZBexs7CpChZ2+lQDL9ANgCAT0XdJBS6nqiv1c125MLdLlCi+9kUFisoF6WHbpY2xwgsQFk
MwTDPQ5QDItui6nosIpKdLqFjBJAw6g6pyA2tp9iDEOR1nKO7mvf8cpdeLxoJn8FY5z0BbMS79FD
1zBDGXbe9kmc6oXDBhX660e54oSZ3ZBloQH62ABmK3mD4TleLx9+N0CMpH03D7Zordo59kBWwyVe
uGAAnQAzgxx4RLJAndvZMDpzsvi3Vvjs106GjqfLNJtnl8jmtoesNMm0ZDgnR3869cTVT7Wx6Gbr
vjW4KBr3XeGoPPp7SxBbJMDvLhGhn0he6N6pnkG81Pi2YF7WUs8dvAzWOKLvsRyDuNB+rX7OHt3y
WruiGhKLKceodxG/F4EGbRPDvwZGm9t60OOVhSS69YWLbYEUS9ml0O0EOAY5ZC42bib1vQWGETji
Zp53kfSQv4nYCnAkDCjU2Ab2RwhDzNcedyseH1swRa9QlvXZbIa4cBV+CQABexZOQ9Ae8vrTt8iX
hXBAoxscxmMMTPBxtArpmF00/4K3wfrkDK4LoX04L6VRGAdgO4gJikGFA9PImmSzT1nqB2S/SfZt
AKGebOLN4/P4sChCTLYThjJHx7jnNrOQW0gW9dss17YK2bC4WEbjfUsXF4qGBaZE0JhcO9TsL7H8
PgfHiH8EK+X37dQMDxH4xAvVy2xT47jhXaOp86HV7EN90XBHpTgDvR3qSQWo3gMY9lm3IRTXK4qK
n3FL/F8wDJrLVY0AGCFuKRVN7HU0anj0xsaeoRfcT3MLRykwRBs/L7Nos0Hyv3hG+N/DR///KEqC
ADMXxmwYSsGf/8fQiycIxGQKIwf1h3M7/YCQBWI+TCac0RpC5ZRHQN/T+hNaa56Cfb/84wpd/GUi
5l8G3jAP8/8+xB9jShY3X2jd77mH0hzJISrJZ30nTgmM9CFCLvzjmm25+L9TpPewJtW5yFUI805b
Bnf/+7OE37M3/+uB/DGbE+jEI3WAz7JPKe7K0su/P4LIzPfoVmkuzj+DeORhvNlzCIZ/hAVCOxHD
C4QuR3WTd9ek7IoRee3y1s9DCHHSruIHk5kb9df5rn8zq/ivJ/fHaFSztb7ad3xadfk2qwheGzyn
OE1S8DmPf3VJ/J7J+1/P5o8JqYnbfuwhuf1+Txfep9BAg/+kn8MHKtk0TPfM4qpHNf2yYQN8tY9/
M3X4lxGt//q6f7gGEFhbjsuGD2AdezXfiuopgH4ArPbXX5bBX77pH0O/8+RMUkBekAv00UuNtQDx
yfCXubZ/GQyM3ZgCAYBdLTqMP77NLggzmmB+dTCxLRrlVto2ClwCgxDJAfU4UfuX/f4vw3r/9Sv/
+F47q+vEGHyvGq04stDdR+3vD//72f3rbv6Pr/XHKPPeT8jVm/E7GnWzOmeq4PBaNvBv+d+/5m9f
5Y8B0lVPQ4IZHAyQNhIjVkOZ/M0Y8d98tP7zacV/GG/0vfDgxI9vwo/twUvSGrEl61ODLguWQWuR
+CnfT+3+c/iLwdU/Zn5/bjTve2kgOASWb38msceMiQgFMiabD1Px7UWwuxBwYQwCU2jH6P9wd2bL
kRtblv2Va3qHCjPgZaVr1jFHkMGZzEy+wJhMJuZ5xt/0t/SP9UJKugpCUUTp6qlbphdaJOkBhw/H
j5+9NiH4slnLq2JLiqUAj4D83Vt4b1m6+biLz8n5zdPvMVkMEdkpVmWP0MFttffXw9fI34TLaq0t
8Yq7pi4ulGfe6rkZftriZEHD695K9XGAGhFHH7n8FpXDpY8G5+Mnm2tm/Pxk2+sl0o9FzYNRx7xK
nQKQRbyQ62LmaX7AAT56kZMp3toIrtAR4PIEVMLYhGsuGyrzYMdfw6O2pYZxbbR7FANRv42N45x7
27kpctqZk9nOtk7SworYLKkXMxJ3J1nq+uOOnGtiMtmLIRhUCvmZhXrwrZb8m8QtZg045t7WZKqH
sUbeYWCq599ND4DjQrkcvRKlZUUNA1dgq+hO383vrmefTZHRKZq6Oi7R7wdJoRZoniuejTuj8lbW
k+ouUqkJ/7gHzy2Xyh+tTJHh43BXGg8FD6P+LszudPW7OahchDYzr+rPDY28Q0j4Gl73UAUmo6FU
qFRoHM5HCVWBHLyJjylJtCXKGd4+fqQzUKuxKaDXpKTOcBMyE3mrodCU/5Q+davyKtmwll0hDvTx
usGudNs8Z8d8ZnM7Ew29b3ayeEhYCKFFp1kK5ZMHyqCAvavctW+MA753s+bYfx6W75sbPz9ZRGKt
86jqpzlJf4uiz756I4IZ2zt9ro3JApJVJsVS4CCAtyheTkpcaqiKjLtM2TUmpUga0k/iYHJvxGS9
X1NaR6V2barZhtyER9VAjK4QSdySs1hDCiXPKOmKvHQhD0N5jw6recYH1V1DoqYOmYTAMs/K7nPA
DclSDfuVH5GeQgpSd8qV7bhiW3mIKxLdki6MQvX2aMSstUEeYskdpnXd6WZ2SAoTtH4TBlsXLdM6
8dFUGkggt5DdTM53ht4vyAE0OylX5BsS0v2MNccPeuz7dXfU1ht4Y5GGUv/E/XO9TphFWfkr5d7c
jmoJ0AvmegySRxIwytALKvDDZflZ3njxoiA6h8Hgz2HP/ryAvP8Wk8UxqJ0xp4Z5eli8OAhnvEBf
fTzTxr/w0XNOliipbi2HejtaiErpWuVeYEF1XLFs816+iDkQf09r172UrDr4+nHLZwbmaQ//CQPo
+1YTZPRwnICI7dCFag/5nLPGGVzrux6ckgBNUjmhHNGKR6HV936pbeqt/qLtJFhh1iPGJJ/lS4rf
q227mMOhnNm737etvp/elu5WAZlSpre3kA/KJl774SJ/rna5u+qWRGOH4lbeRUtjTx3G3+vcSdzV
lXFTB6qMlTk16Oh0zeCxTG7/nTa41LWVEcf9Y+U5Wb0kLZR9rUbSnQ6UGWeD9SCqfJVa3QxW40wU
PfbjHw1NljC9q4bUGbXjBSI27P8cSmZWbKpjJ9bL6kVbx7NL8/mZ90ebk73OdwO7DLuCU/xQX4ky
OBhyf/y4/85sp+8eazK587SQ8ho7llVRlKyQlDkWhyS6V/tvH7dzfqL98SiTKS5iM2y1inbs5Fvv
XqeatxT2+uM2xu748zLyrzaMyUEHbAGw9o42hpLUN/nQTGjrVlBC7hy4dJ6JeM4cK96NiGnSaRhw
aEkFM6tcO1sqJy4GJKKkd8Q23VAAQV37/uPnOwNyet/iZC7LsRznltz6K1Zhk7OMtaMm9drblBtz
IbxlfGPuvDWwqplmZ4bhlI1jl6IqO4tmvX2VLtIfJoPu4o7LZbipq4o9Z3bVGofDR69y/Eon0zol
KvNylVfZHhBtlPkyRtFS88jRBq/oAcHKor2MvbXynWJfE6zdXz90vO/qcTyffIG8US2HF+yvVAAP
guIBgAB/Gcn2vonJioK0rSvKnm6N668h8JaGw5tqz6yPZw7h71uZrCFmF/RBYI49ucwuXeeqwdZr
3T7i0HohluEldcdySunxaAN4YW6oip5/mXPzcrLGeF4ZyRThE0fHq+hBX6IV+SpwxWxX5kbcWmtr
ayzVXbQ1/+Z6MFlzbD3sdDkU/kozKNNElYoEpHe+pNXnoM/mVoOZETvNspRyJLdtw0PKB/E546bN
W2mfKbE9hMhRls13Z2FQc4luZJHfI4C8m1scZhbYKW6Nmv9GeCqjSUahZzmfKT1Z5Pl2ZimYa2Wy
AsXI1LmKMcfRNNpXJit0Ku6bdlVRX7XK9yPmFw52OAtandmmzEko4Sk9+1TD0+lb86C+xOsExSMD
eEwSdy/u0luTO4oOc3Z1MyvflKZZdUkQcinlo/dAieRhQ7ruAorFZnp17LUPVjtzstjosRcDSKBX
0+8UfWHhWu3U+3pV7vFK3szNirlXOFl24iLgcqCkK6sU2AFR4YAQsY3n5sPcM03WHVHqmOKVKK2t
e/Xg7/KttHQ26mdtGa/QfP/d1iZLTJ11kalJvKgKpcTC3w07ZHC3/gMwurWznDuizyxo05RKIoPY
4Tzrr0CkUISNrvIrRXvLhiICk2rUj0fHzPuaZlaiLJNQJKDhjuWhXQhHcjYioADc0KkN+rip/+bA
+a8Iyprco0mDYuWwaseMBzu9rWxFvVRerVfhbgt/PR45/a1zH6NADfc9hcfuLeIANBzH9mL2lc49
92SpoQZMNAUF3KM7dHrB/TgCFG2VbsXS38v1MjEXxneEAupu7oJoruHJWtP4uUhTmdloOMfMsBZW
86wayvrjrj5Djny3L1uTCEcPchu2D9Mw8KmcX8PTolJVvKIMNzajK3AICmOFCM6I17q7Cm8SLLTm
zJzV8VE+WHissStOohzdhN9AURNRzi2AJRLHOubtyKmihfnir5uLnqqJA6bOKDE38qXYjpX9S3cZ
rqLtXMB1Ltt2ehKxJutSHZLepb553Fo8lnNWQZRa67bbRByYSTJ3W8SoS+8YSTOb2swib01WqqAW
nttCOlt13b3ccFWP983HL3uuhcnqJMVYuWhjAJRXQ/zk11m9aTUr/cu3AYwoAYhUVxTDFj9OsCcv
swenZ4YW49b1MIbgDjPPb6nsmlkjzj7LSSuTIWNGRHK9xbMkoY3AkUJYf25qjH/iT6PypInJSHBt
k0KrhKkRPvlX3craUHHo3Ig1vJuX6Kq5ijfSl/jTx69ors3JIMC0PQJDxnYV1O1e8eDt5M42BeHz
95qZjARX69PalBjkg9ffK3r7OTHCdWxkMyfFs8HoSQ9OIt8kcaNUjKd6fVvsy2241bbovudtH2YG
w4/Dx8mQizK1qtSx1/wxJVJDMFkFm5gLDTO5bleQAHfSgzvzps6egjWMJmQLbwvT+lEMctKoLteo
fKGMkkpQD1oKGGVALbfMGpRnhkppdiC59QXfy7oRFK5e6kWL0U0FJ8aWbIdKp6y4rX2Fa347s2ZC
uXFoTofu6XebbFpKI2sWslcWVDhMPaLtINmASUH1L2ZG0rmu1yxd0TWBd7M8dR1O3V41asEkadAJ
5+kdIt/VXx+rnLOpvhK6zmXLZEqUKhmnruVKJzcuZH9nj6lfEC0fN3K2w6jbUQzSM4qtTpaTPkmy
AV4DneVLhxrLRYTh0aWZx9dKPMz5KJ/ts5PGpgvLYOeDGdOYU4JfhBVmSd8/fpyxT/70/nEGNBRK
ymRW9fcbatp7bapYvP+4RXQuIm5Eie27bdr05rHzjFcVx8qZ9fJ8F/7R5vjUJ/MhyxNyk2NWyOpN
hI1UdqoG2hLzXi6S7cePd26V1E4eb/K2ckjaEok8LiSsYaWmXynZJ7n21+8S0bXg3sH/poEX4SQK
Be6mu3pIJ6b6g1uiee53hTHiCef8X8+OB0z/hGHZFkUKk8cJ3AQer02CIKnchoK/0kDqnxjXf73T
dBlLesUyqYKYukUjH9NkGce2VdUGO921D6pffdeTuYKVcw9z2sxkGKRZp3TUdBPGOMqKC+1HMcjZ
vzFbT9uYdJifYXz6w4pYAryfKl898eqrJfUjM9n2c+OMMj7ZhCttyLT4fkibid/XFj6eK1NPt3k8
XNlNeN00AIA+fjVnc7g6V2wsyyT3relJDgyHDquQhgpMxOyX9ohc0/lRpNevGgofu+VckvpMrSIz
6I8mp+e5bAjMKgATS9q4XRub4h7ZgrSot+lRojxP2qJFPLjLZovGa43z9uPc+f9cbHDa/qRvK7cw
+9KkfZljuXZR7eJ9vafcdab65/xw/FfPWpOd0EmNKsjHUd/7CpLZ8gkW1uPfe3tT34wA845EDDyK
QfShciWqfRqDDxg9G1JCB33mGls9t7qfdt10iqGwcxqd9qoVVsP75Esno51f5VtvE95691iwrRDS
rmFAXFXjIWnZ3dQ3wXNZL1ADPCN6//j5577OZDYiRNEUdCDErNU6QTwb3iOLX1UmzItqZg07e1w9
ffTJ1pnYSqU1v47aYg84Q/skreM12jIYNeONxwriePEYbasl6Ud3Nod8fkH4YzSNXXGyx9kcNDLK
n9nj0gYqZQBLhZr1diamOnvJd/qUk/A8cWI7TMcAQbkun/QlyL17a61sB4xfyHJs0bHPbKhng9nT
FieRuut7qhsovMN2aW/H+luweVH1owpVWwKPrrhHAv4wN3RmZuf03rstEuHnMrPT6CtgZumSe8CZ
m8VzdSynC9301juuotKAzjs+GpTkVblM7rsL5OxbBF3hYs55de6JJuuNXPm4n4wrOcXgGyuJx9j/
/uP5dnYQ4m0H2V6TCVAmwZ2ggK/2UjoNvRnKoX4t2tcKhePHrZwfhCfNTFYZmC1j3QNPYt13K2XV
5otmp22dBYLoS31TLJNtN1MuPg7radSqn7Q4WUgkA502RBhqXTN4wlxqNhcYCVCiPjhteBsnSr2v
81CFp195xpyR59kKhdPWJ0sL+lApwoCHcQK85nO216lBdxCib3MsatQHjdUcerWytP4H1RHjqPjo
ySfripN6eiljjLCCjDgmqcftw4twDJVXwZq7jPXH7/bsID3p6Mn6gvux2Wr5OILcm2zQgd+ImRbO
HQZOO3OyngDQsrqs8AOKxwqgfIzU/ghORLpU68rdZ36DxezHzzQOjj91IRNdYCmJ5HsaRMfAsCWG
hb+q8x64mgWoSl/YrKEfN3M+bjppZzJMYl11w9b9bTkhq7FAZqgbjBT7UmenXXPGX5IofVBXxTKG
v7mwn2dLoc727sl3mAyXJq7qzOxKSqlTSFEqfNHIeBZV+5w6Q/nv9Csnb1mjrAXPrsmbdKtWjmIs
MFaWbj1bvXaUMZZ1fbg4H3fs+fXmj4amASnOsr7S5XSsurWijbpWdmKt3PavKPuwLkoOyXHuev/s
kDlpcRKC9mio8srpeDQQ0H2LwBrvFXeRV/Hdx88215D6Pmyg+ty0nTFgi+O3QS1WcbbXvJnFc7b/
JttCrmqdC46BnN51+lS+WDt/7ayaJcxB+VVZB2uxmgvhzy4jJ/032SHs3PvteKSl1yl8qRhp5scd
N9fC2LEn8VYg5CEUPyLdor5R/WAJJfvLx03MvZvJfDb72BqosQhWqomhzpWiNwsTFezfa2QyYau0
UAbRMwDC/jYEbiXDX67nZurZVeHkdUxW9bo1i8RKyE5ERSwWLm4okJKNZwnmCQKYX8Oq/3jt/tN9
S29+XVnLf/4XP7/iJVP4rldNfvzndfaW3ONY8VYdX7L/Gn/1X//0n+9/5Dd/+8url+rl3Q8QIP2q
v63fiv7urayj6kebfIfxX/5PP/zH24+/8tBnb7/89PIt9pOVX1aF/1r99NtH+2+//KRxsKYY6z9O
W/jt46uXmN/8X/FL9n/+95lfeXspq19+knTxs23L4y0JwkdN1sfFsH378ZGh/2xbhqEL7MF0WN0M
syQtKu+Xn/SfoRDourBM6r5+fPbTP8q0Hj+SlJ9VbB0VwX+4+5mKMH/6/cu9ewV/vJJ/JHV8k/pJ
Vf7y0/v4iQSVwPqYXRfLSK5ehDyZLVXQl5Jswsx2dRtBkvBAI1NUXmKtrqWHoC7Sa6NOtOtWRRh5
0k+/fZXTprFXfrf//mic1kmV2AqdoxqTNa4taisHfTdQWqLVL2Zd2s9xHmaXOHbFMKKsCHM2UMaj
9Qv6Z2Cjw1XdudZnPVCSQ4s7UMPkFoFN9V8K0qgatFIscMFykcf0PQQCCZ9SDtVDFyWfJceQnqGi
q82tI3pPHyl0ipEtWg1wxSI0B3HpQhdIN64CQGgdYFCAgtX3wByxxQEmHGSrbO/1AsHFRqnN9BPl
9wlckqR374tGzb+lTazC2FbFN530fL4EmAWRU8/MiiJSoCx5ctE3kU8tgWwrkE/LSHc2dq475sYN
saiCmgdOpL1OHXPkL/euWT7GELH0JRwWX3cXyMxNiZKngIus21ZBbi01Zbwx6jrawA+vrmy1RHyc
JBEAHXL5sJQhItiQEXVrHQQ6ReS6mrufC8NCR6k3UnsIe6Osb/y+MNqjWxcq7IhGG8oDuYKSkh+Y
w0AYyKfLiyQArL9GoxxSOpM2Haxa0zXMpd7rKpQdDD5yxMqdemcUHRXxDankmrO9Zt/APkENGWrl
m7CwvV/kqaN87p1IAhbb826wyzK4Gs0AJe/9VKIuR66FkJbAJpSrxuvKQ5khuxfRkOVg9CA2EKTp
3dbNlXYlO2n9uUgD49AjrcMxuXK8J8kuvDsHduAVOXo6jrJ6ca9kSP4XGBKGiMTbsMxxV0DkDm0t
U97c1FJIjAzjn1TcotwqhQirrULhYnSZSB6Ael0fzZljkBDxMu+zlBI+PY7zO/zM/HLTGH5zLNPe
fwFz14Ef7yDoLQuU2DJ0p6oBn1wMkntoctN8iAe7bTmtWHa+7Q1X7b4UbCD2ytOyiuKkRE2/1YHh
X9hmDhAQn5kDUIpUWpZO30Zg4BOtXhPQ5t8yUUWHcCj9dYAwFN213UQxXN0mhcAXN+gYe8erEYaq
qRcASitiBY8vVX0bqrraSYUFIsix+y2Ar2McG9aF7mN/Cucf8W+rxo92YetXQwQ/Q0oN+wlFjimD
2bHxd4oZ1igZYu7hF1GLwVGF8tSywku36JKdZfSuvbGapFjDRB02aCWQ8SYZ0mZfqr2vfO5cIzGX
Hoawip49zw63euqlG98DT+xnnTiUvdvdJE1rf41TU3jr1pEjyC0GPRkowNFJrIebSo+lh05vAUoq
ef+C2qLbIAnprwYj98r9oLXp1oKrfue1TrHDXD3npBhQsVDHbQbTF2+vhWQISLdp6l6Jpk4f+ghb
KrzVQODp5XChC2Hda15Ww4VMgksp8uJ7bEP71ZDZZbKMmd+XSaspR1VXUgivvXIJcwerhzAtdpnS
pJ8UiCC3COvFnWsrBUXXSmke6rgPVGCPjv6qgFctF2Wly6sas7mdk2bNQShhuscP1DrYUR9x/1fm
+z5Nq8euVQOYDL79TY5t+RACJoCFotTVpVsNKi4MQVJcl3bQ3OeBlH6KQ+6HN0Mpj4oTI9A/ZUov
H6QSE0LFsIadyGWsdEK8fJQgRkOi4VslZ2ECHqWgF4fAOja+F195WSWB5mItMNd9pRgbz7YjIPZ1
tYdZJi6iAaMm9MlQ0yzSeEmQSM9FZ7i3FnHDEp8geR/Xg75uPftrohbNMlIa9SjALh2jos6OOtLi
LwGZD3AzwjtoUJ0eTLnQ9rEn8EkxUcAUOcj9nGuqC9WtcW3DO2PL/GJEA3LZQOtiFro2F1Vm5m+h
R1H1q8rFpZGX/aEBFnNIFXWAuAAT6Kvsef6uSE0TaozGwwy6fDH05F4Ux/WYwiFWAIZjQj62sxah
qdRfeiEGjyyi3mtIcvgYOY1YNkncbgfXtPYF5gbfWzGkoDE9GXsDJnJbiWTZlb7D2yzVCyuSi03Q
+upea+QKo05M0DFHcV1ofUYvH/M0TQ8Rrl6rzisg6hpBUj5WXMxeAnUbtpLKbuPkXXIdtzAS+lhn
bQAQ9JimkfLNZZHuFxl3e5dDX+JJmJmi35uJIu/4jtxJFolyUyqZYHbnOoYGKbZAkYQKrQerdCgY
lF80RY9eXDUr1nXZd9eDH1W7yCzcS0/B6mPwmxoYCh44sGmz7KD3rkjA8WGp1SLY/yalDYT3GOzd
LnaVfFj0NZ4ZTpvDhLfrZM9Vn/pJKIUMu0vPAc3pxtFnvb3QVdxlU2yKAX1Z7mMipfor+1zwWMmV
uClr2f3UBJ4PJ7p0b+sqDA5dFFXLsuy11dAk7ghWp07VksGADJm68wu92KaD0u6KLtCWqanDiR16
6K0DoDfJcwBCKEF/DButBGtsyZcQO4M7XTObp3RoBBZEpQnCigv6ZA8zQ7EWnDH1+4Tdjf2xs5nC
vtlc6F1KykXXhl0B33/lQquByqIEywLvkjWPln/TJXDiINtxJaSDH9tBiQ4cUPzDENkVBmJVJBZ1
7Vuf4gDwSFjSOWGtU6rEnfiVAS6RIvGKRrpIdheJrCbLPOBeyR1U+Sj0lhgZf/uD2cIpM5OiWQAo
cR5gU9lrhq2518IAMl8WK/dlW7rfg8anyt+tnBvc+JydcKV0E8pGex9GsnUf656yjK1Kh0ntxrzu
TtoA/sU4KMfzRiGYubddHARyxQ+3qSaLT3amtC9WDZUuN4184+BnsbGiNF00eVyuhjCJL6paHV5H
bMC9kjvDg9d61qNbRphvSEH7JSXUxZShblcu/K9DDl/jEDpVcWPlOCs5RWR+sURf4w0Y4Nqr6sFO
8yt93Qu3/CJBXn6puly7cAgyNr1cN+vSj8pH6Ky4hJlqBWnOy9bCT/zrDnbUobbBJyZlmVzgYRjc
eBnMWrupo31aOTGI+FLc+ZIfrNusMTCAMtQ1qhJpKYas2AVeVBxi+HYX5RDnOyVU43WGpGwtOzqU
wAzX1rBN5a0ZRXCjSqXYVJ2XXjmtmh38rGxWUQ76jEGtYtPpqrvcclJQrAEmklEQkN3K7etM9ppt
xvxZ+yaOYjp2mGDBZPiVeVt/ypzB2YRD9ORYI++4yJwFtKSMqeq+YaZo33tSZ1xUnV8vI/Cih8iq
lWPJOH2B2mStRVjjtSk3Ry/GK7a0gqdaUp8x++ieA02FhtXY0HX63LhN81ZdarKLnYoi53eq0UAs
9FWQmXZDc3Uu3dTYvO3kwIcz1IfSVZ2pKttqI+NgVlBBE+rZN7mqtKcuF/WK2N/eB2km7YXUE/O5
SYK1XcLt+RVsMHErBAYYXWHhz9EgenwaGjc+irLXseQaSiikuEmsTdOMR24XViGFbbRfCsvoLtM0
lLjMZRheZ6k0XKRFFj+pEkg/6D44PdnO19iy9OsKyvMBI9gSSrfTFhhjMZ9H/wP7UrOyeFeA8biM
zK74ZJtWuJHbIr40XdxuJOHBdGox0o3uqlak1yDgenXlu3gfrrMmlTaYAHcZYZ6qHugsiO/8gWxR
KR120+iVCzBFg9wtE8E6XGCZucUgmCSfp7U4XJn13uVYBjvNq8MLBcDTBde9+p1Xyv1D7o3GObAw
MUOLMpzE8LO1t3Ksel/wEzMOrKmAwpmL7DNaVry6+F9FWCJiPGtawr+Rk7a6tEwzeRz8nDI0dxDR
xne1+gZHk5LjTN6kAdobkJGLwjdjYvhGZt+vJN/cxcpIX7WEY3/xvJ43EyPSvjS1tLlVmrh9dQbN
fyJF5XVLt2TqcVoxfGNh2Wn8YoLrvKb81b4uBCNoUbi5+tjImfFN4cAHFRMe+re6T/giveO/xRgT
bUUW1f3KyB32Ok0PSkLJuGkXYZOwKkiOdRVErXGk8/PXwcPgVhm69LKuhypeR+htwm0mG9KnNokM
FM4Vfr6Gjy+Xwza1p/69D3F7i7K7Iqqw2mNNK1+9tqtuFbNzv4Q9gSU2FH14RM8qPwyoW158WS9f
kPIQOldmorGYCQviu9rUibGP5RaPkMSvHaw3Irv8i5KB38/F1EKSmsYY4se1w0kKy/IMTjWa1gGe
L1mTdXzGwq2a93gW1DGxwwLL6xqPT09PH1vNh8mWuV187SZ57S+cqsQtOs806K4eDNmtHlVVvS0T
rcNe2JAI3T8+x08qEX79umSMbZNvqxq6PsnppXoGGdIlhY4LYLgVmB1yGkrbG80xyue+KrWl4g/y
dyPMKihzud5gfGM3HeRKmHSfdZeD7NIxwmTz8fc6k10wKCpVNdVUSfhpk+yC7bbwMEef1LgwghdX
g+UEsDjq72pJqy+F6ikveIB4x8CJcLn4uO33ScgfXYIFlEmfWKQ9zKmkhnwBZ2yPhHepBNVNWMnK
g8Ahcvejlf+vE2pg1cmAfZhPwwnmpTzNqP36O78l1AzzZ1nYsmxBZcHnmL39Xwk1S/vZQouvmMqY
tjO08V73t4ya+jP/XFapB9R0c3wvJLp+z6iRoUNfqfORbOsWevW/klCDS/Euq2VqtmprqkzRoQal
zdSmxYd662PBZRv5yqRCsE83YwpC/RJqhhpjACD7Qll1flGwbTROFfvIkfpcq77KSdi2a91G3r9N
ndBzVqBYwv5V6s3KfzGtwIrWjghbzhFsxKDtzSEXOPVZemYl+Mb38QDr2I7wXOxkDvcgMgUI3r6L
IWqruVyqnxNblqQ7z/dEss70TAl3YZla1kWQYki2INxU7twSkPNbAyvT/pR0MafKaGgMjg9OMHos
Mk0HPzhard54/oJK7ba9BNOqkHgJbTXrt1JWKfpVAQBQfcNZInKXtj6k2p4cnGXeBaomRaTZlKhe
Ba7lQm1Ncuytk9quSbAko1F0GheFeTuAlR8DAt/EJFjbhBp6pi9aIGOYASbXcY5CIwS9DGxHVsbM
Bfy8xaDgWPQiZabrvHCLl/frtigDBT6q5lnDa4dLvNjUaqNFT9Qblg2y0ywNkC/EXlfUt5LtOdGN
0rp1qi3ILSYye2Jn4giOhVjmQqHP96rVUJH3xQv6ikRW6gu92bSWxxEFl6bOVJ8Gcm0hhB5BduRZ
8JKxY1SCIlNv3URzo6MhlXq8TeGa43MXNn5/A4p2jMXLvu5ynO2bsLxtfV8yb7Nc771nzdWcrMVW
zBqWOXkZg3xf5JcvAZgJ6Yujkeq6K9reqr5YGMpi9efZUvfUqmluQZg3XD86smjD38dBTRT9MrRZ
A6H01UEETTY0tesq7TWce8Hwhk1GLk7Itvsip7rAr9jBZQbCGGEELFDw3mWs3rdDLg2HUu+N6o4J
Wptw3RO9ardKDnsYc5jMd/egkitKNPBMhlCMdQWUWuaLDgeSsCfRkRQGTZ8ZywR+gvbSJDaB98Jo
XI9zr8nv6LumzpTkze7rEEM8TpqaszHDysYFsSi9jn3ZdiKuMxNvCBJ8KHtQpeVA8eUqHCtudpaA
cnohCTPmPtWvOYvuKjkN3c9pbteEkjYHk3VhphFesUphuJC22z4Qxle57uDjtm1kK5ekSLXyIuzs
WLmWM6XwvqZhMf62F5BdtvUucsSyzaQUF0RZ427rS8p+TH6yHFLdvJFrr9EwrmrHdAzg9sI27/rU
CdLXQgRuu3ALN3V2Q1N19ZNfGFLHRSnXpbuMnA4FSlFQI62F0W0dXIcT4UEeRIKNlK5ImRYzqlON
wyWzScYZyngO67ayH5yqhiy7tOK+xLlKiYMmu451ybSgbWKBDTxUxXXuRsSSGh4SD3X71VC1tYMb
dSy1L73qath8F5rtk0y0gOMHPuDOaz0buvrgpAMQ30XCXfKnRrI5f0eOBqwc5zX/FZpa7X1qvJyD
p9sMMjYx3CN1T2FsOXr70LpmocDwrwA6P0YByNo9BjM+pRo2mSb/m2/ZgWUvy45o59WMvBZjp14t
q31rsMwd+0HtW9wkS1FwHk9AaQMZt7yyXnmtZMaj9VRkg4SX+gYu7mtYCY4SduzCBV3CHo/xIjZZ
JvpHDLlB2Wt2rAlktZnsN5hBpZF4tjg55BhsNh7pI1FLVnJn4NTlHmos7cHYplTvfx9SsK8g/L3G
LfdR7HTenTdoQjMWqukOiliksqFxzKxFlnZPBgOE8t+ACA7AXCMCoT8gQQ26u7ABwi5h/eaowZXa
d0NYuHu5tiLlVnGpI//UtCKTQEw7bnqbicGMHlsMS1sSDIQUl42ZKd6apy/snZoPuXZoK3inF2of
h+nOJUuacWT3OCpuklzHU0XVYz/62vaagy1mVGn5t9oQWrSUKtmsj2HY+So+w4EPaJ8VLwyHVULR
WkdgD8Nd2JuQU1v32mRBkByqqmjcy65ok5pMikXe6SlmMS/SvQv3KCJRRXaDO3mnIvsGWFKB/N5Y
Cd8bZ4MsSLWVZZaGsPqFCs1ereR1qFaW1ssrW4nzUf4jaqUKntXAkML41+LOvxQzHf3XIi3T79X7
G8f3N5f/z11VAqsj3vnvI6tfrzer9B+bt29vxUt0GmH9+ru/X1laPxMJUSU2hi+6ZY5cxN+uLHX7
Z9Wm5FzotrB0An4C398iLEkxfjZkYjIOaGPcbY1FZr+HWApBmyEbBpeW3HjaXG7+lRiLi9P3MZaO
gMa2VO5NOW5wCzpe0Z5e8mP6PrAXGfmyw0aXg45CCuy1a9TAu0DJ3nIxksS45SkxJXtBfpk3Ys2F
wEWlKBd5wLUYZkvHtIqThRELcsMRVpjmNmnZQmz7Vm+1C5IW69pKwIY3r4XGYcsOG1zMgm+BIR8G
tg5hS5gMI+Uk7ZNgUxrBKpWBaVjtFZ7lT2pcPLZRfyGV7j0u2hsuToKlZkSrXI1uOr+5aUsPA1UA
GGm0Bau8F067iQPlxqvNW3xktn0mtkmlfbdc/7to45tINg99mQ1gz3N8m4OXwpd3hFkHSchf1LS8
Vp1+qSYxlisuGOYYj/qCDIkm70JPbOsquHcEBjhRQhQWByvMGy5rB5qvHjRHGTfyqBr27OWCm7zR
jleqdwaJ3KovtmR0b50y3xpVTZqmWUO04wIrvXPC4CKpGnNpCIrdbO9Iccw2DA3sDbOL/8vdlzXX
jSPN/iJ+wRUkX7meTZK1y35hWLKb+77z19+E3NPigdgHY8/bnYmZnpiOdh2AhUKhKitzjtBYaUfK
3BOU1xBTvFkWiB0YZJeOgy/L3SPJFR8Fgq9lRvYi6A2auLnuEKitRQmeQ/AcTgo54LXo5IrxBM0I
F4XznQ5F644YHpZnkIf0e5nUO5T7vUUeIE4nQH62dUH4AbLGokOtvLxtq9iT0vFJKuQd7i5rmJZ9
Vc2HsJyhQ1t7tVndiC2khINicmp9viKp8BOYsK8YfXL6sPQR/7xwgNitXN5LeeyPWf0cJijlmfVV
R7rjINXQB893xRAi7QvFvZAUd2LfPyyyfmeIOSZBBr8eBOhwoaciEldoITMQp72XIaZ33XwNbmIP
3CgQdF06B22n21oV/VBGpWRppBFi7P3XCAXEKoIGHfiCIF6yOKHRHJFQ4ttW3tjpT0kgeRMmq3Ht
/6UGip9qENMORgibR8c4lY8a6Z8GiAg1PcRUg2XXFpOrpOlez5tbPBB89Be+t0kl0Pscf4pJnqET
+7WVC90WEijjwmWQ0+CkNWYAhYAKE41pcFA61LDb7mFK+mckt9Je61AbF/X+UMtgYK8JNF5roMsS
Uykwi6yiW6BVsoWX0+C0cfs4T+MLqOePSo3RuzTSbVEYoZFUZxUuiqRMrbYHQVkFgeDUwF+MWu4A
TVGNwU9N+WiY4G0EV/WbOXTgsYH0mhshCbNbvOptBfhES8ET3JKaJLDQb22ue+THFhnK+2mB4GVq
pK+Q1sXMXUfu29bUUSfIMi+hLYM6qnCOFlzdTQFwQJEryk6EOB0S2G+Z0N+nHVTIYwEtmxqk9q0W
/pzS8RRX8XdDxbsvKl8msfqBLoxbNy8tMOdVFzjVqPgi5VAMBdVWS1NEsR1vLwHX4iSNXlJJvYOX
LaY4VBBgQDkUzwHDeAX/1ilfcmRGGPBF28JPG8VuyvjUmfGxLlMfOYaNH2Qn0gQO4MW8zwblhE7F
fZTrbjuXJ62JPEloX7VCw5+LAogUtVCTNuiIikNmSFFAMTFpqTwhVbojP7t2gVKFLvoygRIWCMNB
Q6J7WVD60pjswWOIIfoW8rXNvh+KLwXkr622rm+GPj6MSP6QZb6aUMUgRfCMtoYH9vHaSkSwq+Pp
GC/ZKUZSakMd8AveT1elgcycSD7R8FcBaAAtg+ZTs4zX5ZSiIizfTbLxOubkmUz9CYLIX/I+2kMC
AS/WSVcBC6D06qp0UoblZIAFn77ZMMNQUZL2oYmgrJiK5lXRQMjLaSC9pOv5lbag5fT7xZj/PxML
GZngpcTC+h7F39fZxK9/4O9sQkE2oUmovCBxMKCUQcdp/pNNkP8jGP806csPbTao63xkE8b/oYAm
rys9q2zC+D8FlR/8kSgE4b2Nf+6PIVAEaYkOdlHUWgkG6fATGbRqIYDcdIQkvbVURXwFykD9yZy6
CDdBN39p0KfyMTiufjHUxrRX27SBgGIqRdQynQLWML8HoKzJ1nkFtN3Rx49HS16+TcFXIiGoDKF1
2Qg7p/HJCrM+XU0hOkb0wRobK70ODjjJYH8zXchoo4GwJx6kG5z5N6dD3q3qKoBdBq26YYbwPEND
zyQUxgpW59vBWZzRx6sJ/PJW7UDx7QB5WhfakD8uL5UlAflklMFMqsKsCKKgwagPuIZXeKiVg08/
UKz4G6VtApeSs7j9STh0t+IuuQJvIACWvwLBGcpxjWtjMJXsj2CHvOfeEHBX40eMYYYq3IgGVQ0p
r9d+ajmWNj+troG4XIV6gK6wcyqiKqAlNyswZQe3xmHax4fhudtVrnFDhy6aK6gT/iYPwK/lrWzS
1HzVnAi1VkvzFNULeZiXbyYkD/eAbbQAYg3l/vL33DofuoYSrwaEPtohrOeSasH4KXwoFb9BBrGd
nkXwe1y2wZJ3/FqPIat47oCpFMjK8/Uo0FIkWY/P1TkGUANQFwCtwWPriSZEly3NBwDHG4/VW86D
kjN9k/fAQ4DIRwAENhTlZ9rAWO2klALPg8IM/Xqji9mpd05G3cXz189AmSJwSDY2/BJ4e7zAaG1a
wuz9uTlgHCB7X2Oh4O23FnWxIlRtI/EBqos8v6TPr9VgBd3TlSn1nbxltbJ8VOAihIBKzAIwA14Z
+pqvuJXPG0JjRyuAXtQVSYQ1RRWBV2L3MGyiKKxQALSSEyCVwhsl2JJ25VV6RX7o307KoT/Np3k/
PMrPqEfhSHLc57zJhE4C2gnoVKPLJOH5jc7D+abWlRjIStxTGNHgBYuvaK+JCiHEmRxGo7EHwvmI
7DTj3wZNKMdg6cAgMGei1THiVI8t2IPKe2i/glpw2JcZVPd0yH2mso3CvYUiIfrMw2HBU8tsTS82
RCuFxGVcqfu8fQbDaFJVQOoUnFHL9++6+u7sj1OYZzkJWtQJS/w4kMVm1uKJdn1oH187iGO5kTdY
8s3wV9JY2dPklk52W36Rd3g2NpxrdfObYCQejoHyBXLU82/SICFtZAVlpKTdBxJmEwF4SHsQL7bQ
MQLSTk5HjhdI6rnD/1r4yiRzlOUSAKc4h0n1Ci0ZEZ2Fa6h6od4FfDFG2u12LzsZSBs4AZI50p/M
Ms6AoV59HFExsLIALCbxV9RsnFJ+XUIeA/yGIWDDDQRIRZWRrDAf1oS2ntCZvQ5SaciBhwsm6Bt3
XI6Z+XQ5HNNvw3iQCQuKImkq4GYsqUadLO00lPj9CRrYd4MYA2ubQIwARVHAILLkPpkIZzZ649uZ
GtIwEShohMb3ML0KVjEqxmU8GuDFzsrbOLnuJsJZ1GeH1NB7RHaJO1onIssJoAVmiIBMSzPgbQA0
Utv1A8gcCbooZHiMZWM3pOnudzcSNmEN/Uzwk0gssH8ApKSC6ilWpcmPSU0OehRfJQIm5436WoT+
/GVznzfx3Bx1oNUmtnoUQWEtw8nPR3uBKK6hcnydSQbg65oikneyFSKjKsn4OuQ68X/WtQbPMK7Q
DgXSPoe8JcZUnN9eiiKia493iaGgzMgmOJNmFGFSQaQwkB9LNd0rSvN7DAO/1rIyQXdztVspGRpR
qkvNgssA5UIWD+KPb5eX8fnIIgBKCv4NtxZl9lmTBTk6cTJEPIwoxKy/EqDkQk4o3oGObgFi5zet
4c4HzEJCDgpOfvHTpoG+eOyTHjro9XjdYzjVFrQS4wlj7QodgBeXrX3yNg1tBTSzRRSSQU3CHqje
zCIZyCUR2EmwFtRPucGj13hHh5wFIsaEfP6JwACplEAsitZ8ID4me21ll9uxjf9ADQZFD9AmmNfl
YdkBQ3YLZRqruZ09KssiH4tH+Tp0gBxsfN6o+KdDAHYexcBIEk0aAWphrja9Gvp+bACqKhdIdEKi
Usp/YJgEr/N/+gIb71J2/h2nTNOxtRg+AjcPwYTO+eIBrIXOZ56NVj2PqLmQUIcuZhm0YI0k2p0c
oOJdo9vmKq0I2Z+pRHkUF+A1MGPQ7jVi3jvg8/WK34NKAeBXigrCJZbnrlDTHO8DPJQpW4ZZWgSE
GcG+csfSkj3KNGrueTvNtclc6agdlks9wqaRWtMbdBnBfB8eMEcz41EQfkl20aH83ZhNl4lnjgHC
HdVAReB82zNphIhLiBejokG0TPs5BCpKWC8QmIDuZeNe/sj0Dzt38DNj7JU+dHKXJwGMAc9yCCDv
DFapByHPfSnR/zKE7lbLBgDRoTl52e7ns3tul8mYmx7lXaOlRQ8z9SYNQPbI4CSAvKUxZ1ddhB5V
ZCytaFUCmfjpMGkm2HaF6tT2wL/FavnSAHdmJRnv2mUfde9HB/+lyrKMYpfJ1j1awHepOjGeGu+P
utyF7oqtQkBP9EpP2POSl88Bge7mhzkmIMx9HrXoKINddSpcIwkcosFZiojjLNxlsachRmNZabCs
zhtdBRWk6Rhf6a5qUebk4pH3Vt12ko9lMSehjrFkyF3iWbc8p8pdK73+iRP+8+ez7H9FDlQ1etmj
NYXpcYm6bzLUWDiOvh1BPr4NWwhSMe8ydBqMDB7mCO5UyBhKga25GLIFz409goV+p+wvL4xrlPF9
AK4TiHDDIRrHuJ2hixi63bE6QlgCT5DGnnfSl//RIpMvBZh/mxKCZWq4FCzMETnxATDczsosyW4f
5KPg/GYN6u9DZqCgDGynJrN1r6HMEr2osEhhTrw5vqVDSVpxf3lhn54iNBqjLm3Q3B2ZBj16qyQN
uspxXOQodEEPHkLjQeaazehrSvVVyXRQdleYnblscdPrVxaZa7dqQIIK4AmFChFpn/STcTLjkked
uxkyVlaYkJHX5WJoDdalVLd6KEJYGZNhEif73DQCzC1yNBHJyqe6SI3xSZVWJmNpj0TKDudjH/OA
0jwjjOeFYzBOSxwMAElhaDTrc8jyDSpxa2Ma3cufhmeKfrqVM6Rqq0lpDVOlgpgHvTqglq0FzO2X
zWzeXKttoz9jZSZowIRrtDBTaajw1CFoK6GXQd7QVrSS8bWs7oWKl0xvhwwAVdG2kWW0QRi3q8Uw
A5LIGKzs1HjhNTkUXuSRHwMo6uu9eBJ3PBXRTT9fGWQ8MNGqVKxRurZmZcZoYnoy++rp8kZufq+V
Cea+IhDAwDwsTAANcK0lxiE1QFFFZPuyGbYC/ysSQSMSkGITz1KWIXGQhkptctip/5IPfwtFmm7v
6X67V1yMVzmmw+Nw/5cP9mGUcUbQfGdFigKf1brNXnxcdqUd++EJb/19c0stAkT5P66TcUxRHsEg
U8JkdpJeZER2MFx7lKp+OWDmYFls8YTZJZ9HOchdKuOb/dJWEzTm6VKhce5IO1pGrJ3OTe4oaw5q
ureXV7rhOAaATaibGDgQQBedn0AlmoHArMGAYvSRT4iwqzJ1V6rhX5fNbC0MQoAqCvIq4OL4n+d2
5BnYnZr2x6CJ1kNWS9kZTgHGdnuxA6QH4KQrfN6527jRzmwyfpMs8TLFRgVqRtMICwvYGEhBJeIE
EudYzcxHaNXXJiADnWLw/IeeN+a1YYqoqKBGYNCzwvhPP4FfViqwXAhOga9StUHJBZysisd06UPC
3pvRcPGJl3rZ1cjttNCPdsk640VLTvJJl9MZEuogtt3FCxDfVm1qs+QPaNaFNupoMbRlJlMR7IVI
6UPXjl11nGo97CwpzmPCCRwbboaqHEGtE69acF8wCa4QC9pIwg4QyDazG+kNo8G2kvAesZtWUDVD
112jAxNMoA3SJZDLAJM5ej8btiDXmqvOlQCAj7x4lx16y7dQagRLBaCBICRlzg0+vKajlYZzE0eZ
q5ii+FIuUe8bGqbSYi1od5M8EP+y0Y2LBNzLeGoh0huy/s56ubouK1UUDJEahVbQISW6k08Sz3Pl
Dd9Z22BuEg3dMhOcF9hDATqucvRT69ND0DaPeKQc4qTHDHPyPFSY9RH1wU2lqLDVruHJ11APZT14
/SsYf4n1SZKKKgcx0wS2hlrBGG++D8XGMsWXP9hTE6AEFfqUSH6ZkzqXcZ9mGg0SM+ZACAg1Oo6r
bH41TOKA8kbWUV9iXEWJMXc8TbCgIsEJ0WQV8Cy6vIgtx0dBX9YhFk/BJ4zjp30AdLqA7Vq00NJl
sFdgrEB8/d+MMJ4RZ9lUihI8owbOqbzSQxlwN15hdetcYZAJaq4Kuvx4h8AxVi4uynVf6BVmATMo
k4MPJdMVqxV+6JBvWbgUfFvbpmiqKKOaK0oS+2LN+qpeRMBWgYaMrNgwraj5EY9/Xd62rc+/NkIP
3GpFIP3ATBc1sgS50xu5M1a/J09GkzLMDCMZw4eX4GTMnmF+R09E0AdaU9SCcrWxwFSyxxAMJzRs
LsRElkCBQxKi+PlCugqIsjEFElACw4NkdB7UdZzLe7X1QVBK0lGGlYEVYKNqt4RNIjbGZClRemPE
86EMwtYKyUh+2xC6eqgoKxjkoeouzJnMurSLBhVbJo/aTSH2j0negphDuf/d9cCMhrY5VD4oJIwx
Yyxh0AYAqVpdlB2kedrVBu78PON0yT9v27kZxsX0mAhgEICZpm5+AEjmYr7sliQ6p9/9OamBGfTz
UJQnaI2yLZZIrAci0qDcdtFLjJF6okQ/wr72tBRjLYqJZ4D6260jGFzZZJHvM8a8p6rDh6rqGe3m
CGDtMCWcA/T5tqFGCGQ4oE2qIRyce7YRQd0vyZA3BB1Se70tD9D78xppugM1GU9/bvNj6RTNj2Mk
IlifGytQO9JysGhZAOdZUwZezCVyg55Tpvp8WLEkpKB0pkGCHeawVrGYkn5B8X5CUe7GrLr8iImm
0b/s3xt1Uvg2OlMSfBwPQnbn8JjtBmFSRrxXysWmInomdDXJW39SQKstcMUeWfgSrFGDCEIUdAnW
OOYdYYRhaxaVjGoOWiPdSYLUvEVZHMHG5AJMi0ThurFDj/cG3djOM7P076+CuBwuoVCHMCs3GDgF
RQdFu1zeyw0nhAlgDoCvQYLMpgkAhw+moKijJc7fCuNn3Bk+iB6i2NxftrO5FOhUy6oGjBnujPOl
DHKhQWgYnyyIw1M/zHY48RoSm0v5MMHiYrR+XkCIAxNpO2FcAsDk+j6sAtssQufyYj6nC3AHFZQB
yIiB9Xr3z9V3ESeMb4JRbLLkufPlSbvLcs2t48ZrpdrRQZh12RxD4UcD+bk9xg+qZm6MBmrf1lyb
BTC0/RhLCjhNhsi40nJtBtG60vcnEARotxhpK1CRHpZHowdkvWxeVdI+gWYtyawkmtLn0VCq1iml
vgRrpzSK39NMKIw/+dyrHWJiW1GHBYkV7JAK3WoFLOWgIbq8Ke+32Hmyfr4p1B1WH0FOtQJELzAx
vQlvQmxJkTUVV2A5GDUH5XhQpEu2eUh2GMIwoJcYWZiLFI/1s8CBGWwUGc5/CBP0Mn3Wi5qutXUn
R3TB73qb+p2FQXE7OMpHc89rm2+HIxWHVQaEB08yJhzF6MyLUg+LSm9RUGNr149glxx2g12fuu/J
rvSaK7BT7y5v+cYdArf/MMu4YQ1kY1CBL84iQWWBagdDwottVrxk/B2R/fnLfthhnGeqhBCjq39v
qGBVHjHcqLdKnzg9kMXzfroC1g5T7xW3eLPRlMfHxBVJoJyEqMh2h9tYJco8A9FLBUynfYrOYm6n
dk6hZbc8+VAa9D4t1NCBThUpjzObqMl5vQSiYoL/zKd6dim0PUDgzsUzbC9qZYfJ1IpgmgIA/X+1
SyVgYLtXHRcmuvoepmO/XvaS7fOwssZ45zC3edW0sNY5o2u+JF+br7Er2L03QL1EbJ2GX8CkGe2n
jURBBLsoQRSIhReLalDmRva+kfFuvoqg0DJ60a64LWyu7iTPFrOZkxrizsTYF5Yn2tUPZSdQkP9d
cxs6v//AhjOulsXsZDsJGiaX6U4ab9ryNmBCUiXfOJ9r61QjI0QWALALYEXMqe6MQtRR/P3lHBoa
mn+pC4R70ZxwjBvS3GpIqZJH7iGnfyz7ydZmmUNeFMOQjCXMGlfZA+btF6CabDAl2p2bmnvJxXSh
x/12WykCXr6aoePSBpCY+XZhVgE+WuvI424MX/FQGYGmAbK45GlprMkFyMVJ/OKRB6DePIBru8yH
zIcadaUGdqnUhWxHWKiAK0r3ZUfc8ZSeN6+HtTXmi4KKKMvVFtaCK8NPEiv6KrvKrvSDB3KaPfCy
oif+X6mybx0NQGuQIIOmCDM+TK1Gm3V1nFKQAfWHxdM96DOcomuakmNb7ctuu+k+K1NMPmkaFVgz
E5zCUAndqgc0OyvcyyY2066P5aCYChdeZRiTWIM0c3wPZM7kJF8BM7lPYg9zrBEQa5I1QVUAsui7
sLUj84l3+DdfOWvzzDMe1ORDgEGb0Yr2GsrX0GmE6sW1fKP52qGzxePv9/sJoPX/+XqmyBwOxUh1
oZCovSjAkC1mNWJiDWNqXd7WreR5bYY5CymIKIs6ghlz+SJMb5kagSKl8EvjkAHCftmWdNkjMZRx
/gm1XBfyYICbgOKu2ucuhivvoifR66AIHvD8hfrDp5C22kAmpFXyf/wl2Q/77D633zQ0W6pHXodp
O5ysDDGpbyyVKQoTWNUMjtF95VE14G7eTXaJwDnvCl7zmv7wSwtjMlx1qfpUf89T8uqBVOX3sF9u
izrmJrY8Q0wAUQVhVoMAC5uGe+LLbuoGexy35a5+I72lY9DFoTGat6GXgwnqF+deksldqsQSzFZQ
5x5MsPfyhsg2L56PLyYxoSSaBEwaZ7DQiAAXQLQH1J19YLjdFP4u0B5vRYLc1dSM97kMxglr8KX2
WYy3oqy9EAlMKyrHwPZSDPryAFgUQwTnmxXMBCzECbLzRsitATykIASyxyyH2veec3p5ppjTa4Ly
qVpkhApItaC/dQ0eXwh8Gw+m/Va/zB6VFUvvedfntjN8rI/ZQCXKRbWL6CtnDryq7DDuPzichW37
+YcN5gBLzSwPEvVzjDP56bG5kY7DLoQKr+jJDjnKu/HZ5FRr/yVofNhkDnEsqBgu0bGZrTtTHV6H
AMO4B9+Gmxzq55L3Kt4O8x/mmKM8p3KfjSbMSTeorBehG1/Tmdjwm47rs7PqF9CugthDRSiOPd6B
/pe4/2GdOdFVr4OeZ4F1GooL7+MRV97wrs3tdAuI8b8PhMqcbczsaGCkh8MM3oLG+17axY+hL4BY
wRlcEc+d0NP2fJGcf8kPPuwy+UFBkjyIaBWKgmDF7+UAbWXDAYumC2o1EfzR3PfI5sscwIJ/lsqk
CGE74kRSH6oUmxzA8GLnxBbuwp/qF5SW55fAEi3QiifQF+VK4W2eSxk1Nx39UoziMsstBzNPwbKC
HHq8C5NXE+wGl08lzwCzOBMk1ZEW4UUigONblgQ7DXn6qNTtPl2kqzUwsXMSDMHMBpgYPJrPDbvR
E/z/4sG/GV9WduhSV5mrOJlCpdM3HQZDMRfe2nFqZTeGo1oIMNZjDmZgflayGa1XRpnAmVVTm6O7
hsvbtBrUyKO3GPOIpq2AJt6F6rA7H9vXdsdTA96sN5CVXSaYLkMd5kUOuw3qDTpYdN3cj+3eGU/J
LrEaO7N5j9fN2LayyITSAdOhIbjPcAxqTA0oZvhWZi0KjDnxhXbYaRU3ePN8k4mmnU5CVaIfVDzI
NrEhwXUNvrHWm1z6PAcBS4O78eXyedi+MVbLZIJoUUkCGOxgVPUn4MCAITLtHNO+oT1dxVwJz89D
tzRz+TDH5kiYijQB5KYHHPHMFK8L2VFOyy61K1dMTkF6mvwYmqmyPz4FnRVyn5TvBi6czvdLZXVq
wMoZ1jWNMNF+cAQLlZ1rxTcPucebKN0O3aulMqEGTNZQZEmws0J7CHwUODF8eUdOZWyNp+5bDYI9
/uo4x5NtWoDau1kU6kK1m+3BYl/etXZpY2zCmt/Et+hadkDKzRtp/Rcfeh9bxOgaGpfnkaiT27EE
RyLNOsJdBInP0AWp4r2MOY1WtLj3/vY5+cccq1U3CW0nCnSRtPZYfNWP2fvjCJrJhi06tDfY8caS
ZZ5N5mKSqkBIqhg2B0/x2ttpRxMssYX/UKXo0euelL/oKaUeK/v9zrjp981VxOmHbKc86FBiHpXu
NCuonDbDNILoZLSyfbhr7icLPdFDv08O5p5bmqD++fmkfNhi7jHwfBdjSW2NNvjQUM/KvNxvdjro
B9IbXvVs+zL7MMZcZt0MEsmKVgoDcqxBXhm3X5P4x+VYt304MBIGmhywHlO64/WFKQlDppQzzVYj
xTEUB+T4ku5WKW9cZcsOio8quuwy6FrYJEaom1ZQwTEP/rUWIlq36ON4wQBopHB3eUFbTgmuG0iX
AegOmA5z7no16aANhT5Goe+UfHEalddu3cx7VybY2bYwmdQ4ntPp/ay9iyEblixYC0jXjoDNYfgG
oXRIgDSwoMDyPy1PY85ckA0aaJFhu2grH9hlJ+r/pHYEjTAMV6DDRnkOGL9rTEicgI+UviHi3YDA
hYxwr3rgzeMn1hsHCrZwbjGMLyqERQZpPeQCqn6hhzfeQTI8QfUdDyQJo66jANlS8+Hy/m3VNs8M
0h+0uuuWItFrRZ/pPFHv0hMM2Z341gCPMp5nr+Cz9+SdoVtC56Sym3MfTRvnQJYwLy1SwhkNvPbn
5mM1MRLAyrDeIXzTjMCdhTs96Ki6Gy8ubpsyCWZbgXAAQPbcVJmQqm8UgCiGoXYaUb8zC4zzQizV
EpV0X8jAhIMgsZGyr0asgWU3ecjS7KVNMVIIZG0PaS7wcP+8vP0bpxOT1ZgcB4W5BAQlkypHfSA1
dU95B+fJG8fgW1DVb5dNbOUYgFuAN+UdpgdMzvm6p6gWhT6GS72/908SOg66iNsefWlXPoqB/QdT
cUjfFDBRSRDakBHjzi0uYLhUBqP9NUC8nAIA7H3D0W7jB1B1nsDR7k+8B9VW8g+buO10g7L8sJME
CdibY32GzdEu9s2++xIjv6jcfA89BJfs+G/gzU+3MsgcnF6LlrxaYJBydevjo4w5jctfbuO+kyWQ
u4JwB7EbsMfzbZTMWoEgSoMPN3xPR/25KSunCabdZSsbT1HKpANLBCxC+Ne5lRoM1DialNMHEQeS
NrsUJGXykQeO33bDlR3mZo3ksidRSCDeegWCVtAGQR3QbtzFVuwc6RivL7R52lfmmHuPxF1WJQSq
Jr0mOsOILn6ROov8EvEu2K3nynoDDabsA1Y5M18qWBpeUH5xe/QTI/AWpD6lmCIPo6ccZke2Wtnl
N6E3XeRjlex1YaapsMwTbFd1eTOYbW0RaGFawaDE9mU32Urgz5bJ+LvR1r1cow2GRyAWKFmRZ/yo
XJDFgxLCMh2Te6KpezO55ZlBxv3FJczVsMbaWlfCjrY+7sIvxJlsHS8xqPDxPGbzQK/2kv791U2Y
SFnQRVDHAmYRilgyBth584a8r8XERVHMIl3vsaKkam8y6Cu2ifwjM2WP86nokb20c/RsrFYCTkXA
cTvY0UKnxxsk3mUOGs2Arwz4YGMPsCKKve74+ifPrrNvxgSTSKmDHLQZNAqL9uJIVnZvoK0uehbZ
gY+Mc6VvQb/OzDExZRoqQ4ISIDUHidWT7AO0iBqvfp1iQLWzwMwHSGZjY6byUDrjTtrXnOr2ts/g
hoOmMCatVOaLTooE8g5EFyudwPElleSubpqHy5/zM88X0kHopICBDBBXUCYxq1T6OgCNMzZ1uUHk
tHMQGrvDDpJ50nECTgI8IafK0uzk0B+Vn82VZov/Tdlg26k+fgUTUMVRX6oAa8VxDPz8EB7Hb71q
Vbvch5qFl3+dT9NT6cy7OeK583Yg+McySx+gQzGKJDQQRPvF07zWz+1ZQwIDsold6oEhWePs+PY5
/TDIJKX9LEIJjUbVRSxA9vvD6GIf7ESXP+u/XIgfVpiACmLlKMgXWGkw6GT116jl2aC08xcbIfUa
fOUOxyD9Az+HhQ+DTEBt1XgUpvLvLwh97kMmgWMHknFu4+sdFyy96TAY60RaAWIOzKCcRyGjBOND
MStAZpTidQYx4baUb/qg0Byod3qpUPqc9fEMMocRUiJxGQkwKEPsB9Xu6AWs6P0tQOEu0Li3ykFy
u1slRJuJNzhLl/JpZyHQgRFTcOSDLOl8qX0eQ2WJ4rMh+4V5EckqC970vbRpg3K7gvWJmKBiOLdR
LdCXBfXUr/u3qBHQu2f69SDD+RMUk3Q6l9e724yv4GPA3Cww/IbEPh1SJVHiQMHTYfCkN3CRHEFS
fYh3FCsVnpZj4Mw3qepAuQ+9CyO3km9cuosNKIW8/gVM7FMnQ5saDc9T1e/2+aHEHab40S6/4ean
W/u7tsTENylvVb1M3p9J334RhGKRlnbdOpQgNPvJSzc2P+iHQZlFFZG5naHajKXR/AbqPwVKZ/RV
1mL8eg/UmzM/c0PAVihFzwyj86ht4S9MzEmEMRnE8d3m5GB6AaX8HE8z0IAfBj++513Qm0kjjEEC
EaOquCCZgwERR3RkBHo/Zlb1IDm1HX+bQgCmKCnxAJWiPScG0FPAnkQZaF2wlNI5b/ZBnQyCni90
8rnxtHvjFur1dm1HHnhee6tqsLsUVxs609fLdjedZ2WWOZxqpKoDhLtRUy/kdp++64xhIokzAbXB
f0BL56A1RLFANQ22hJFkBBLWIShLOmdwyjuQXpY2qa3QRZKFzK6VUCRy/oubY8tt1naZU2gIfdcU
HeyOi9Z6stlA7GuJiB+pYggB8CjHnEEYfKlLaKUm0LVwUHDoequA0tGuL5vCNknLExzc3gwdYQl1
WpTm2IBYRJCqlqJoxIOyfgp341UPVv77CVgUTPVr9vRT/zm/6j8uf+it1EBZGaV30Cq1VsySNOYM
o3L4IEipUwKuOkBM67KVLXdaW2H2W0t7IQ1LWFGFCkG201vIghfh3Z9YUVGgAbMteCuZfEAJBs0o
+xAJyFQcDYgzguU24y1lM81RDEgRoaQOsUD2DlE6MZrDNkca8F14C0MwPoducxzswoJ+8/BfsPZt
hYC1QWbzSqODNjxkU1FyBr7F/Da0T12WOkPF2b5NVwCTPSVykUCbzWxf1iepUUfJaOmhr5MFXIwP
uqT9iSeAtOKdxQFvACaASu0oLTmlNU+rCCLxwqkl5f1lN9hex4cJ+dylWw0MOIQ6myAYjjA2O2nS
BYiBKDJnLZsfZrUWZsPysSMtggUMyaEld9O+ng4Z6gZZ0HOeZdtOtzJFD9jqmCLLrBQywBTtNhYO
mATvDDC2zF6/jw7aHvKFl/dwa2mqgulk1LDxL4NJPfsmFxJVn/Di7hUnVUUni4OT3r/WuHMuW9r6
WoCtoxOBOxwjdEy1ae4HbdACpClkzK2qAuNYWnpBTbzLZrYQPugZoTkloi4PNgvG8aBiVoZNqiE4
vORPGUiyILMHnM9t7BJnfKsbhxLRPJlPqRd6vLxzM22gb14MehPKb8HkYoQoSy9NGEYMr9W/KPNN
jPap0OCRS7unmsNZK40IbNKwMsdO+S6Qa6Hk3wi3tykoGF7IAU1/p8YcDnG6g3Cb3aUP2V3mFv6f
1A/WlpldHtQ47MoEC1Wr0Fqa1CoTTs6wdZWsLTCnu4LwnGbUsJDL+R40xVfTMHPKMDwTzLmeoyKD
QjtMKEVt1RD4k3jHmW7DpQ/EHOcwJDlCOLWAJtXsQpjwoH6hmGpoLnBekVvna71fzEmu+y6uEhO+
EM71jkztLgbgZFD1/3VJNKKsIlQWNH060SU1GClQMWfzi7bf8KJbbta/9TBer4lJWqj4ezXVeBjT
Mtks7qTAqjq06gNHB44n+T47yY60fnfdXfEm23i+wVzGmV63ZkTHfaOW2Er7JA3lHwTE9eKYWFHH
cVVA3QxFVeBYA1WxSyyIx2C55RUAA2CghXKDfGrX45VWzFGL+E5axSqgP6rGoh2kPPqbTTNgbFCQ
VoCRlm1iGVoKLVCC59I01ldFUvuKUL+UoexyAt7WdUU5gsBUjrH5Twy/ZRpP7WKi7aj6zd70tGNf
W4ZToRlTAFk/+fMRjAr8nszm8lZmGWcgU5Sb6LfiGCv1vlB1hwiDG6Y8IO5m2WK9PMYlmrxSU1F4
X15+De3WNLdycEcPO92lDSfxVFyHKAqPu9Tpv5Ajf75sy+sBFTDBBY6SjMaWhSPMRS1ljh8ACY1H
olT3slZxLujtvTQVQ6EELp9Gz7sc4NghR5wStMzTtOR66IZ92Ek8tDgN3mzoBf37P3aY0FsMUO6V
6V7S7vH4rYP6Igr6vSN7xrFBsYs7m8dbGP37q8AoBgCsThMWpikhGMeRXxBwnCJkcc7A9jf6WBgT
gOem6ZRYphu4C26jrxWm1CLoNI1fURC1IaMXHfLnyybfiQcu7SUTh1UprwZ1hMnByx7i+8CuHCQ4
h+k0nWjxp3L1xCZ7MEG+tc4EhjrdLuGqjV2BUgJfIEEDUb27/Js2M+X192XO5NDnlZTT7UaFJv2O
ZNkj+3gfgbkDpRL1OO7+loT9V8EmrkXmdKZ9l9aoiyHIvcgH2ghujosP/k2MPCcuyhc+Z4U0w7mw
62z7QIj1RVRr2BvtyYF+oK11FiWXFz1QRkIpcc+xx3EsNnOWCYiqJHoytRs0Su76OxSg4FidmweW
4lIlLt4Fzzky70JdqyNTaEWqiAUsduHrIiOJzA0M1XEbsryNZPK82siBjqJmoMLuBgftGHnoKILd
oLvjQ9fpWbj01Zi408vm/yPtu3YsVbJtvwgJD/GKZ3mXK80LSleBDQIIIODrz1h9pHurs0u7pNMP
20k7K5Iw04w55xhZrTy6dYjoqthqWOkVEG+1IS8TNP9KsvSv//LgflieJWPDzB4XU4+zfQa8ebwM
MUW+s27Ee8O96u/jKX+Ct397fT8xLEj/irmZsKS6GaClBGaDXZtOZ+Wvk21/7PP6faUftmeSMOQj
x0pK8igiVtuJeY30yyN7WPTCJ7F1Rw6CeWD4/T0kMf95c//4KBxwR6OAAfahn40KLiRYlDKHEaOU
eLSEktLfmXX/6Kp+W+Nxf397BqupmjppscbjfvITQuqw2aNAmc6p+cHi/0vzK3SX//83/XgPWt0Q
o32spx2NT6hzxnmURWBXAd9A+HcQ9o+P/LfVfjyIqVFlr85YzcRIj5xP6KUOVvNvEeifUuHfv+nH
GwC5ZdVZC6pMRqHGS3PqNeG1bjqV1GNs8OyG/JcX44cb5qwcRwZJSK/uuQcRc880kn++en8Mdn/b
uB83v6NUtwTFClLHTIjOPBTqgqzKE6r+jbj3b0v9cKbmALC1ecR96/w8gm5UI8+WEpt65//zJ/0R
+4aCHihzwToEQcIfPlRXIZ6p6qg3TJHYCagPou1ISyR4X9wj+TUduiMEF//iSP98Af/fmj/bfIll
irI3kQOxrjE9s5X9jReO6zHX+Fs55Y8A0G/f97Otl/FSkaOB7+sjiWb6KsSIab8dH5Oe0fzxf5j0
RAeqA8YQdMwjI/qBwmQlG9GEybEaemztkXut/vSXA/uTbUKlAi0iINeCAuGPA1urxq1aq8frRXER
zCtHVfE06jUvAAihmh7NiTv/LXT/A2oCMRkVueT/Sp7+eMvjrDSra6IW9tBx0X3NG54erfkQJnj6
WwH8DweG7bOgFuMiBtDxt3+3vUpe6UPbg5IKg6xnJ1q3kEbbzWgOe4xa/K10+p/OBItB1glFC7Qs
kp+zJI7bz0OjYzGhlHuqIMpy/qaw9Z+X/bEE3BUaGHSkcT++x9bX0iQTuhXBuJLxN8a3tdn9xfT9
cQ1QZj70eO1HQfbf96yV3Br7AedTCeeQ9V0Ihl3IuEMj9Z8v33/adHzLb+v88BySzLw0V6zDVi0w
5yIES2zkruBPPFbaDhLS/7zcn+/Cb+v92LtiluMiH98FMacNj7KUYrr40cGehzT4G1XA4+H8e5z4
7x/3w390w9zRrMdiJaZdINEO6iTwsv+VOumPV+5B66ziMmj/gcxMY6lUUEQDDk6L+6SpX0qmPf3z
vv15Cdd6yEBBCe0n+YAxI3u3F5TjsuErd7nfVi//1QI/Swfg5s/t1cECTLcCBVEEZ5//vMIfb7QL
blZIuYGe2vxxGEqhc3XIsIIpCn/Nor6HEmXJ/3KfIU34H3Ez2HnB0wuap/9F5H74dGedZJNxRrx5
bB3zxZ6lylxor3HhfLDKEtpWyaBalixSt8X7nDtDv19Xpo/vaqVK+qFZEoo03uIKZT0JPjHUFqhg
WZBDHP5Bp+FUSbZ0UBTQ187yTL1QpgSU15bt9ROUEeORjNN7P6iLFkyTy17ZPIudKkV36lGv26Nh
UH4NBRj4PMGVYfQxKmoEpV5BRK8ETbnjKSA06Pf9OLjZGyWlFhiiNy+8bXDH9Hke8wQUqGpqC6nL
Lc+qge9ds6mr0FJVur6q0DY82bTNmldez2YeL7Sc1RS1cjRVDKZIFlJUZ1t7HEZvGeMUV2suAeo5
TS8Kr6BmUfrEKTALJzWrDbKMrJtMgYSppGsHL9iUY3eVkI4KpTFwDxIPEHcm+nhupnnEEkRJKsNQ
tuYw5a9N61Qg3uH23rHG9mBPFnvDMM5k+YJbhddjAuIVfSDNbgW/d0wHMb0OrawvRLGNSKJB5GTm
DlTOpFUlJl02PclOFdWFry0Mc+zKpIXWrBDfsprTyrjlz4ymSqN8NmOT0JZqG201DJ92TRl2WX3T
+vLU5fzVFQvxVoX2h6xuDlK1DvXQb7XGnPyiXqgHosRzBdtuZmjetzqayinfqXZ16dRp2PYGL0LO
QVJP1LUIe33QtuNkEx8hmba1M0fdgUzRjqzG0BOLiMqDw2qjietQpjPqj2yaeCArrvuTS5GRo7y7
tzOX3vLOQblYleli5Zjhtej7WrCLO9EpUGcV/nlkg2+ytfTHaim8eqijia520KjOGK252gBARYZW
m1rvm1Ne7MCLS3yKv1bivpm9y6Oq5TH0hwHqrtCLyyWHUMWiVScQkYcFq5wj6M3fC1rC6fA681Y5
H3WxfJpaTm7VNMo9cabi1JomWD1Y8a2pM/cdY3rVa/3C3GXXrnbrdxPxa4m62CTQDy7yYOHWtqur
JrRQufQds/9GRVsPBKmjYi3TcdEvtHVfRwYul84wLFD36mQ/ULMMao3bHpXQzVVGfWfNcyhWnNJi
Xqmmew7UCwZxGGiUr/kzFB0xXjbNycQUfzF2+dJdjFmNlM5Icgi/ljOPpGhjdUIbcIYn6K4JByMn
mlKO7rAE43KtVXRdEX7gRhFwUgS6AZSm+wQjZpjVXdg5UQXt5twAeYPVfJJcvlSs2NHJ+FKaOnIG
uu3K+eQMUvWRlyUMG8VVCyQa/YTPmNChWneVJ+ai9cCE9dJ1ZKfL7N6y6rAaddLq+dai9omM5m3I
is28rkd7rb9KfYkUyW9jkR2o7VxHsOfmLqqsXeVLWwln6hzVzA60eghEt+y6etjWU/OtVoglu0Ml
ooL7cvkeyX2qNU83PcDfK/Gaj8o9r8yHVHFfR+7iNciOjRfaRWXx6jbgcBn99cTdk/6hnSQ44jNI
CUTGp5Y/WXmwkrf+Q1thFoPGhuYgg5rcS34zL6BeRIzO3gd6N7UVFv9iQPBNzYN5OVE9IE1AjIji
ejUemnM0Z189ZcfOfMjtPY/MKxDuuG6iVJuFBhPIrIDGX7U7rJA31TUkAO5GnrbiNqJX1FCgc2Aj
tW5WTynQP6Ao3rzgjEhdPqGRds8U9g6RjwD2GhPF4qJL/gwSK1+ZroMoockQSjU7t+DXdxbmzYNz
VqbCy7vpyMApCWmjkOaar5pgk+SB8m4wtKmZoJSOa/QLPBuA1AYSFjyaX9h00dotKjR56dMt+pxq
ZaP155oelhztwkjO9yvx26LxiBuOg18r4OCBvtAdDGUwiUMJkRrNCQwsaXf7qQZPQTZHI5muWv+S
ZygE5/keHBcBK9+ZM8RK/mLqmMaznhWn8mAEkMEOH7Wz19dbbnW+qh71oo8VEMiXXteEWZGwKUFF
bGlTwwmH0jfBBQU73Bpd6BYSVQl/bnW/NzLPcVrIDsZT9mR3n7jh6vhV0deWKB7cXsELiIw95ysJ
luw6Wmiq0tYAesQOSBVnWCK0vKsXo9usdooD1bam8EkdDGPsWBFrnlfMt9pjLKxI6C0a8r+bKcmt
mMN8VLEhrjMmlIHDqrduTTt+yIF8yyC3EkZu2gT7Vu2LObGecxZZdR30Q5FqFUxiKBiDtHRQIXJ2
v/tirw4JHX30mmGaHj3bsQbCV/4yVkG3DL5ETqc7oSY/SO6T5rlF8ZMcuile0QqYHXAN62+r2s2W
1/AQm18IX5QnzLTYBbr6t/W8Y/YmY155UdHkCo36JiZOgLSNs3Suwh7J94JxM0N4pPdH4i3ZW64G
ebYF1YYiksbYtE4w9xc99/l1dkLRx2SSXnYY5piO1xpQVRstH7kS9uSU0aDDmHYeZ46nzZu18ti+
LyHBqfoND6rXXNuUFw6GGfifvavFZR09uvL0iG5zVEkgzSn2E1yekwAvLRU/n6KxijvUfXPfrXY2
GBWoL26q2FlVRJBNkwOjh04NjdbD5Z30Q6aGGjSFx8AchZ/hUeuK747X5RlTd17ThLLdN+Cgpoem
3Jt5qvSwQ0GROf5gJqMSWPNRDlUwTBtBERLYIUX616A1GHA0r+6dlSzYeX7oxKav0Z0NUyH8QVzR
oCXm8+zcFj0tRQyxtA5TYW7atiCcyOOO595KjgoiAnXb1nvaxIp7zMihkE+k3zdG3FuphWuR1y8Z
fRq1qMxhhgMd+uNqSsoxAFoGcbTS1mOmeWw6uF3jUZjHfWm/TFaEzcmcryEPmQWG90AH5CxPBm5b
nqz1SzGo/qh8FQjKyi8JkEUJ0Z/ia/WbXqXFL3rV5S9ieHT1IRzq1vex20JMdLF9vYzFGEEMi9/y
PJyGBTfkGbRsiuXjOa/Xx7a726FIWvSlE9wvmtj5qfoe2lABoxa/siKayrh/svFfyNxwP8tia5Rh
4aIXc5fZb2sVa8VGp4fqBvmFAWQONHGnZz4i4Z8D5zsXR+aGmuk1yrnv35cidHIf/yfjgTUdAKsI
OJ9nDK4oIJ3I3FSzvWrJ0dOWyOm2UCMYWJpbV6e71GsMGSPos1aFr7E3tmxLY9dbn/hwMacukGNW
B4RmyTReFrsJTCvUYTQHf5xK9JalxpSgPO85S9xhzrjb6lD008dYaQ86XjLErA2CCzpgbvwo818S
MTb0c+TzOJvRtCYOhl+gKmraupcZuW9l2II4yw9LBbVA8EiZNBC2x8QdLaoebw7z0PmG8+w6F+7C
wu0hRoawzGEhhVcy4MkU9zoXOzdL0R3jFU5SskDXZLj0cYMuVqtmCQLQwKG/ZHGtlWuvFqHRYV8Q
zvK9WqXg63ffV/Irr4bAISy0e4CLtQ+zSem5agwILl1gVDIw3+QF5vN2fRnn4NZwDmzy8S9Nu3HZ
thgjKj5r8dkV8VSmZb+1lFCdD4YW4yBVA3nMqz3uZxCgoPTqqoHFTw15N9yglceyQdwkpefK4+K4
CA/jeiRh7TK/KJsTMYagwCBUMVyZ2wXuUidDeSvHOnbr79n4ajv8kmpNI6Z8dOqtbO/a/LHyIsnX
BSYWh0GUg6pZJzFDz3wqL+gg8i3W2Z40UGQy+LjPVBp2qrbla5OYmeYZ8pdRwu2tVgAGvbDTtDdh
yKhYjHDq4Ahr7rEas8caco95uVrGbVg2GlWjrv1g8Ar2ZYYF79eAK0ddHiwrqsYrBYOWjsiq3pR9
mBfHaQ1JdcLl0MeQLIe8xQkeFtDuSLFhJBFN2NupraYzaaJFvFZrqKIVHOfGSoIgMs1kxPuwtcrA
dHIoTRqeWT0RzIwM46bBazJfzFJJcj1cpgphXFQZeugqdliQqGmOVhdDvbfEU7f059I45rADKh0D
QKM43o2CsorBoUGALnfaZD6SESULx/nsIlGj76b5pmW3IrNwEzVv6q+P8ANN3Av0eVT05DSV5jet
4vWgZ30UZIdvR+0g8oy4woj6MWrFTqqB7NEHhfQzX7HVGBmAm2Xrjjnbagr5eiTdtS57tL8mvQqe
Efmmmb5YW7+snqc+JDqa6URaGX7JzqK49TLEyL+NbMD0XfnVyrg1/bEN5+quiilWtV2HX6FeadDy
Iym3HSyl2AqIMub9XkFpTLsz6ddtH7TYyhHjX8xBrVV/GFF3J90Cd6iMeleNKuEmGPfH2+0wILMj
Ilo4OjOWjVxfC/OgShUzl76hBDWtUcNM8JWIkwO18um606vbqkWGGtXwhogNi+CR8Ukl1do9tTek
C7hW7suW+vUjGN1O2WUSbyoWUcoxIev7AC/SfMoptVfpZ2sfdBx72Xou0h8GcQ/eZrdcWaAPPwdK
Nx2k026I3fl6iz+LegooESQs9+SqSP2uIITwepufV9A1eCtaMQKiHhWN+O7iXHXRei2FLXDDpvge
1hj6Owi0wwJVlBGUYu/UeZZ0N40nZ/mchqttBV3xUtlWOKmHtt06w4aQ48xONX8rOhlkxLeV3ej6
zE1chXvKFMP14nkz+7tZawysYtyyChu+63LqPbRrfg3k1hffsr0sYmvoL8q8N9m+snYdojfzw8Zi
acE8cc/tgDJ/hkiCewXmoZXXdoBgWTCCgtXplA1dhngsmjMZlFgHfb7Rog56MsZ3AThUZIU3DXM4
5Z9zDWGhsGteSJYoSJOds4uEPrMZbomFGOKltPwO7pr46kXL7qUM1ZNKN6QN+X3MPYvtRoKpRgsh
h48fRmBRR6uMqG+taTV6CjQLzvp076etMz56Uflrk4Nb+EFLcW3sdH1F9CLyxDw0hwoRaIUYN4Xn
HxrQjNXIr9Di1oJaejfrm1kPpBU51pbUMe48NZ7wC9RLgLAqt0+IoTpr0wC4GdSbXoGIvYJL6l+0
GYmWZ4LY/7uufEd+OGD2b71ufEQYF/tiA4MQCdEC+ksFGyU4Fprd8GHZfrcVBpw99Okl7qsL4dTK
V7/h4uvIfH3QL9nbCUPx83EtI/kocegbMCNaVphVgapv7O5EnuEOVSR39/wTXXQCBpb7gKpe2/us
xi4KCBaonME/Zt0JnlAGawKtba+yQuN5hKOSPtru69TJIvK5FsEMlzCn3I3UtHhdY5J5xEwVPXFU
r3dHr4eEFziwkct4+XJjMuHJgwIPWXrMcAO3eZv0MlZEzG96Ax5yxJmOh+/NkVRc548Z80Tgecku
en+1l4vxUo7o4h2qlxJExeAHMv2+CKxtM2IyGRslvpcmMudDV0TqpXACXPIFGcrYhM5n/YVyNVQo
j+h2ptlhRUCOKM5J0CVj0Rg5oB26CNmz3bJtMWyibQ3NK/RNqURNGyjFvdS3E6eBU/jOyX0qjuro
kSYVqi+NpCs9eoJ8mDv6zZioaSaOzkcRlzJw8BReusLTd7z15zKCCX5Spd8/K0XStMf21bK8+asS
IJvGj+sBbAMENOrOk9/auTlxiMiP3lClPYCbdmfukXeZsYV+s2id7k675a5v0g0L2trrj6sb2be1
CZrhXH026KYAZqDHinwsvAqIw2N+eQUH2R54qlMF3Dm1YluRm6O+5CDBzYAuRmv53Sp+afvA5awW
OcUzl+cuHT/FoSHncfLn50xFXhoWlRkaCN5Rfc/3k+ErOyExvGegwQge932p/Lz1GYbrQKr2zOHT
JoxTG78GFAv672rf7ib6rybsRx+9BaPsBpodalt3Z23Gr2KfA+dat7UWKlrsmIkcfNU49i+4n9N3
q/nzDPo0dZNVaUZKf84OeR6X64Hbl2I9Gt1tcQNiXfSs9LuNgxy4CeEhXRkPMgGBiKZFRfHaE8hN
3GbUzszxgiRGZFDvXKE5H1IDPwSvOsZ1jckStnHEVbWvTimjdgBxMHtZ0GvrKheu+Sb3UI3BqX32
LajtMxHS4pSZn7lzqwpPvI8iNdR0XRC6P1l0L8FJrZ3yNdQJLG/QoQGUY/yJ+hnlGLnaLjQFKuf6
0nkVPYjcoB6GBAE58q6HiVj8GqlTYCK090aY6pP6y0TjF/NddFmd3M7TBn96mXaAavRfEyzhZRn9
+VTM51H6AA+EjKGYOW8I8ugIWSm6/rM8wGm7GuSXk7pAbpjMGHfFFSi7IL8a+AWWSL1TDnzuKLfg
BgTD1A6/EeJ2fYTgS9Qi60L5cctu7JgpaQv7Y7Ldusm3vArnR0vUVPvDh9xrwM5w0NBS7313SpsX
YBrac3ZrdA+aizxVnLi/NQv8m+dsO+VXfu9tCOXFNnz0cjBP4CTlSaUHinZGgjhEq35Xmy0y4fo0
g5fsCa9rDfmxwNXJtG2/Y8Z1fVn2bvXp0N3chu20A9gEKT4dqh/FxVr8pjiAWqorcQhd3IIwT8KY
hx2LF21j2Ltsn7/grHvNQ0r/CKowlS/NlCMrJIgpwA0DU0bCpoI6TzqUsQX5kJP9Vroh4naGVH4O
ETFndpJf8xnE6oUdyzdgFyv3+wMkxxaeoMcd6KMl4p6f5/FXbgXsnOle7YLOTg/w0DNyMzNEcEAP
4vZzzf0MHhXZPZTkPmX2BVymHt4wE7dAkw+2GPv0ShNouddKPD8LnPV8EBYEi5IKfmBWthNiLji9
vtra6qeqwusgXA4qa/X6G4oenXGYABJMpxUcc2soiyBXggXwBJiftXD4kjAMPEWyqJUI9ICxfzk6
YDt7o26QxrLP+WOAR2XxdGYSRScj6X1Re+J7hlY598b+cWvXYzOeULx2zxJfaQOjsaH9YvmgVgFc
OAZOc2+OyhfD3r9WOYIRtuVkr9o3pwbawI/zlHYx60PtwzgIqF7DOUKpRtciFNME3fKjvSMIXJDx
X3DeNlomunQNDDdmSEGPJKiGGDWJQUOgvBFpzYPsXivgomJakrkRfjGzTBQzRA5ku3ijoeWE0+sj
JCRPxg7erXlfUTNQvWwNLAmw1lsuahY2yqlU9sABEMIZQ6SxrcNORePXm3xvdC+O+672kdnimCiu
3wA4zK9KzOk+j8D3h9Q+smtWJ/pTbcUUpLfVNYPQ7geIQIHB6U1gwxnTJhkQJXAFRm0psbE+4ioC
7J7AzdBC89vsAMPHZyBwnlCdYDFeF2PTWK8qMkrUzte7sdSbJu+SZX1TF4hM4bBUJQC9VWStSMZZ
F6LSAjwTKF9xUepvsMB4o9rGKwUwZBZ+ZvdgDYLA6DACjQ3t9SEaK6Nl0cOMODjgxCw2bHpXpHt0
7TKd0QVWt+XJVZaNsSiBoUC7WLO81tF3bvdSrHcJODcDpiO09WlsPhwT8LkJTlB6sYvcI/DymDbw
sqWNJ3c66/xFlLq/EP2G0gUQu/qyuh8LRI//pU+FgUN0gPvG2vtSfdOmFFldg9Ew454Zp1Y+s2KT
d9eqiGtyG1v8g74q/KSum8rZIfcKtAnMaOWZ0ogqi89m+JudwlpIXJlejxgBEy9Nfyr5XrMVYIFX
kr1a5XkZEnc46vVhppdlCcl4cCFlNNTgwezoflCa0ERzM2evBruO6gfD3LsB6YVs46rPGQLbvjtZ
g+mJRvfb+Y1n3V6KZ4kIdq5YoCrM1/BwpmoODeXNEUdRp9JJdNd9ntQy6nDRtY54lQZk7qJhdFCf
t2R5ZsRKnPEqCDKdPOBWWpq4rr8qnIl2rNkTA1GwkdJp2rSw+aKpAydDYAJvakp09Knw7NjY4lU6
nx2nzy4sTWa8kho5n8oSqPH4dQ+C2EYmFN6AmlBUaljIkfOsjpuaRCR55XoZYmWB/R3AlMlyFPH1
GyXOrUao1RlZZNYHpT+O5lb2L2NxmxcZMvWQZRYY7V9aMEq0g3hyljKUqAmVFZKjpvTVcV8S9KUi
w1kwQFEsT3WL/lh56Vk023rExjo1J8iNT4BGQMjGm+lYwrlAfjeiMNmFuURF9kqsemNpSFcGEKUj
FwLLMB4uAIOphMGn4rVHdxcEjjZkZoBpkGzURrPhgIMFaONNuEdVMX2Qw3msAPVm0R6q6mnRvqyl
uUDjI6i6bdPu1vqXmy94WJXHkcnalpJaihJpNY97au51PuCi4GP6u17uR1iZOtOiwWmj2nA8s243
qzbvXPuc2/jDMTwkyuZRUInsZfaNMdFnHmBQNrBsSNku76aBZ4qq1wKwkVSgKgN2UqnbfES+1CjX
QfkFdLR6hMt0iUz1l9EMXls1kZFVyaIVW7tcUjbC6C9AnIBrDCV+mbZItHz0NdR4l+qjqWu/dhxf
gP1iwvSe1Hf1KErfqI9AdigSyqKb3kQ2oB4q07XcFBzC6MCyinEqQovQCAK/Ye6MvlyBlds4i1ZB
JphhGBWjcpynrYvB+k7t4dmaHXuAtS1KH0qe4wrflmlMZrTezRQ9XDqJJZI+PYPwJJr9OIn4BNfH
3opiu1RQVbSpZ87QresuuntnHQq/4m7lTTxyO3FmlLSMl9keDnOF1m3yGMJW2hBlrKU9G+NOs5Km
uLTIdXD+nbkldF8siUKPJemDoR52DKmjNogQh5cZll8DhpyaPFGruyiMpHHa93bQNjYSDlni6nbV
p7oUu16KUHfKV3Ucw2HQTvVonGd9ONhCvY7ECYmzL0o9KEoDfa3Q1zUrwBD6ioiv0eqdLOzNVLaB
JcSYiFF8inzgvtbWv3AKF0u0yMdU865qc6o3KElZFPqOCo0GoQAMhmUa1IveqJeByL3BIfLRlih3
YGhgmYPR+SUcfpuq3MeYxEEImKCSu17j7Hi+btQCQ92jMfvjYgUWCg8ITVtIFZatHlNaIuRArYtp
X5zpUd2VvgJwZULXg0TRL7dAKN9YWws+YNFepmE4dPYAVKkOOROBQVEhgZywu0ivmpBTFahXdajg
rHCzYx1WM6xx1icurbcET8nlg987NMwZyNCMuJO3GWG/g9rgah61CQQ7CGX5gh+0DhrbtTqHLsYc
lhCKn1jnW8rqQf/Za+ZXMZyBGkqz8jMAqygkoFjb6dFaPav0nGdB0wQTRDWKBLW7fNnW5K1bAaz5
GkBIFKim+kk3IsKCsfcd9MStiNPCGoBk4xtWXJR7XUmdLs2HG6PYxEjAdQxpqQazllK5X8GZQ5Fu
IMlwnwfjrDRn1g5+NR8RD7lgR7FQXFQTrpdetb5hhBa0p+/E/szdu/nIuc0z7d9nGXeI+4fSgiNH
Lg8uI+Pg9JvOeLVt6RfAePkvfRCBTs/uEtvsiSCIX7sa074B0DIDmR67zUCKcx2OnQOVD1y6sZW3
yf0AQMjkTl+PM1DM5VlhqYvKYol2n1F6Vr8VINAW2xxn2SJHVepjZb8RRO71m0X2sx5bY2iSwbfB
mKV+ZctOI78GlGpMtP9W2tvqHHP2IgHFGchN7qv2pXefqAcKLkLX9fWKhhkIcChDwRKZfm5tWxUv
qX03+iNKoE7xNordYGwzFiFN4eUXR53Mye42qRMNUBEHGr+ayJ2B9NUwr/vcSIT20SKykMO1Kn3X
RLLRBw5EYZAe6+65RC2kd+4UkVGh7gW627vINF4VF6U8YM2GEkpN3/YFglkQW+dQij33SNdB6Wu4
9wm3vK0AGsqb6aJkQgialkJMcIdLe8ENcVHXsxjEG/oR9UFE2C6QOycq0SRE+xwpQ+EL1OryZQpR
67+PZhMMDiB/WXnUwVQlgvJGNQIFpywFCiXY9QXb4nb1vtHsgCF2FbaVcrAydYV6yqevCW7LghK8
gjJ8znmoZa3XlIMHDghjOi3TFu0dnlP/GvXr6p6LNe66LdhCQtfZUSd1yalxz/1ystEItJa7SkGF
ESgaeQRxT2TcNDC3mcOTlv0PaWe2XDeSZNtfKct3VGMITGZd9XCAM/NwJiXqBUZJFOZ5xj/dr7g/
dheUdTsp6BhPV/dLmsmUojOAQIT73tu3m05giOuh9m+UvvWdrreuogTpvNR96ZRy4xfSo1liHkep
GMbVF0OGzwTvENZdnWOlL8YtrhxXmSy2BXDxmCkHU7GgsfO1BbpbBgw3Q1JrpeO3JAjcyuA+GdO9
p9ufEYltqzD23Cm4xVrEzSR/ZXUtZES9NztyZU24Gi93/jVsVAt2JjsNrLI8mGtNz0kHWqjyr31V
u9FcAdW8J0ndVMabANQJVYwSwrde1e6HjP3jtQD6c9Xv73ylfSqBflpJ22dKcp0M+skOtO0wAe+X
/XWfXuultAmk8NBJgLWVrzFESXWyjF7FYtjLcEu1rjiVEQLx8amkQ77SoUWY7rwfS4a4hcWV3LzM
v2TQQVG134T9knf5SfXAj0cyej0bt+0Y3QTs8UHG9BW+p2s5r4xiN1jZpkVg4StcCbHlWi1nKWhY
CamASH4nwyx1UbXpZGMld8lb5dVbJcfuxAo/SX3iDKkBMR1sE6NF0oQ6yTa3dl7d1tLXvH+Ta6QN
AayYFJzMJHDSrrlWQmiR/lOQJzu/8vGUy780U/hp3m9FGlau0ufbCoWDiqAhYXRqBB9vFCufibKj
fRpRMXRKuq8lZoC07SER+ckk/+gQW4heO3gd3sFZ63qD9TTV4WMTZYcQXiiKg3WjdOs4l+Ya5NG3
Po31l3G0QENreUuK5+pjvB4naS+iOtyoPdDrVEKpSBUbOQq6o+hIYQuR7+luPzBO45PUvqghRGyT
3hlh9MkAtwhaKoJQ7RGZCKy/wHaGCuFRbDzJk7jSo+CUjxpwI3t9sp7Darg2lVkdAr0p1xzK5car
hmOnWHPC9RJq5h2awivdKkAPi63iV66Q1S9NEX6S0e/VtuckIy9Sz9yyS+EVSlD7fB9pUJb51Fxb
anWTqJ7rtdNTLCEvaTrvkJSMxeMOcBVJfvSKxh1k64rBIMegym6nIN4EWX41sta0pVhpBXh4ubf6
L0EIDKJTT+VJ6NTgwVpbfbPT8DBwbEiQV8lg7e3+eyKV+0anqLYK463IanPty/m0aiof/iZ7GeJ4
U/dw5ZWcPI+UGCyiI2Ix6Nu8LBydC7BP0vu4npxx2Otj4HbTQ9Fdi/xH4bWrwO7WvJG8u666xwFb
D0SfObmXpF3rgJagL4yDr8tnhZl1muV4Q+QoEHTYeq3MokCMcGiGh9iP15wkU9jtc8qjzrJps/ZB
sbZxDK7zgJG/0ys7XJSdfODm6xjIqlhOoLXXtY5ATTRXcXkv2S+tWu08b5unp7I6hqpA+9MglZPd
InopAcm9/s43HjIS2TD9KibUHMfc3wjYGqq2DqWkNOLTiugy5jLu7jrAdilvUUie1OCz7bMHjAKO
zOmkjVp9y8VLpu/iijNPVh19bqGungblupvE2huQkZEYUYDqkbkJmm5jV3t9cuMmd+y8dtPiawgI
kVG8b6F3GjDZgUmCPbvdKPaW+qqOTmOvK3B8Lfzue8ek/TzQ5AvEUNfH1G+cyDNWNnjhcNLBOFIc
7vCea1vuH+velHmrE3XFI5f51PlH0T+qvkE9xxBmX3NIja3otpIHt8xyRyYHskEJDEO6Vay7AuJR
oaxrZglDrG+7jqH3GsrEdaRhVShQGkLaNnRSonUMS7eRnvr8lISc7+XWpuTo+jsFWU0MJGUma7oi
3A6R4Fjfj54Gwl1uJhmCfbzCu2nL17ZSwJ6TdJ/a0SHQUbWgtxxjirFbb2BAJVslzq7SJlhLo+Z6
/Y3EJpLDyLWHx6HdUwetxoEED7nJpMc3URXusxin3Si5HvIEs6oTcHvR4Fc3NofEj/c5QlK2HBQl
IGp+F1khdQ2wSctZe6IQRiyJ+UO0pQhcyyWvQdvG2mtnM+cRCJlJeyVOwnIcO5kvO12L3CjL3CJE
sdn90Ce+rSTdoQ4/qaK+U+ECNIWGEoMLmpnt4zCSB6CGK7I7jOaPeV1/mSZrPdr2CrHNqgGEl/R1
FH1Tyr2J5oyxK04Bj9xpzfXQML4TyyS9njaVzWCLWD0WuYYqlu7ZeoT4azYse1+qiAJ75pXYWC3X
aKFsBnxNyKPn23uUMSlEIx9Jn/SgcRFcOHJCQcZDtWKYAADMIh6edUZpBzz5Lty10LuNryFuhRI0
Xm152DYJoDXqmVYVrjWrw1okToAujYGOrwSZ9+G2TddDK2CPUKxcyUw7upL9apsFXwetP8Y9ALAn
4zktx7sSAaKH8K4yNKdOdeZG4dDWdI7amwC4gGrJnUd3mNRNzlw0tn1AXXA3TKhGUrTI2ZWXJo5p
xldabbqRSUe//NXSgULWmu1OA8Kfhgy5Zp6TtCn80c0lcTNJ5SmyjE00aCuDB6tT0nej+inoRsfi
J0M+SlmE7NBc52CxcvO50hJXm3DphFAbJ9jl60CbnBL5kw8srFATJYm3M3MdHV6grNtBWTW5fsRK
FKlnvxtR6uFLxGjB4ahzXWgQLhU4VZyvuT/hvE14BYvYqGcZCDgfppr+VjE5zL+jQe5+aJBxNuap
QhxoBuVa8DrqstkBtA7ahjOkSgqnMNW3NEnLnZ9k9/YUyxvb8LdKCs5MY+urb0v3Td+9doJtkTJe
e51jXHSdpFK2kya1WRuAfnVKOtZFBdmSuq8VLirb6jaI3hN3pIyOFQkNuzmS3zN+fBWE3B51xUra
VLddo1JzhJ5t4mTIi7xKuvfyliygVL+njUxV3FY/RCu+ji08wyhVXyy5oKqb/Cs1Ubj+K0NGXIEI
zfan2yFQbiwzuI5z+XNT2buyrh96AWTbAdYNSQ6nCFmvF9Ysw7O3plrQLlZn35UcUAj7AKpsr1XX
2Fbf5HWnOj7vwenC/ID3BFVaX0mrxkQVOBrhEc+Bq0gdDnppooFnaoYzdvqJZo1ZOEf1qPqNv+Xz
DN1GMT1H1dNxZQ7Q7Uae3ZRpr658a7puIuMr9NRIsa9elQ3cZ9Bk93pfVK6sEaRUEOKn02thq5+t
KdjlaeCtaqm4z7r0CaQMArewV1aW7zKv/yrb3jezzNeZrUJ3Iw2yQ1ow++xBN7KTUfaAoeFN79UP
Zdi8lpSgha9/rnpxE3b6dVajPFTSR0/PH5tAP0SGJ9YNovMoQvWF3uzkNyUa2PmOrvzRCUTE96RV
W20EKKNhcq3okMpJlNwFHUKpMjQdP4tQijSvIgAgU6x4K43FsWfcKeJnNNemKh5Lq56lFaa90s3g
TtTpOh6MnVrV17EkdmOa7Jpe4l7tc/ApSTcgMpTnOPB35qC8dXE97tO2T+H7/NnMMOAejeIHo01v
hGFShHpk4qUeA7v74WsmFcxlEpEBASEyhHrFPf49CezzVKH0GW6LvgMzY7qmV19XNTmFVXU3YyYi
J0qTp6FtEa0iIbbK6ptlJNeCHg26ie7zLLulA4O6H7VQhqOg0rPdy9J0hSE/9UBR7lRxxiXhxLc+
KDciDptDHCXeZpCkkmKkvyoawQ8uim2ZTbHnANNBeNUh1WRbXyWVAtqbJgdZ9+9a2b5tW04HtSt/
yGkrXOZqautKGN96Bsigvhv85ygEcXfKyTLuMx9AxxLFU1UP/kNEoXfry3JmrJu8m7Zy5lEwjiCW
n4Rt6uAJJeSEqsnNaeqNKN9jVMt4DTEYd/hRDI9TztANf+Tt9YU8uWNOhkzZhHWJDhGQWuOLbITq
XvFT67YNbfVK6jX02bYVB65kZvZzUdnV8MmMcfqZi3OpKKFgIhn59SrsykTsOBzM8Ktq+C0zw7JK
t9dBEDEfkdGl7A3O8kwZZW+XeJkMAVdQBCGo0aKvZRqmkANTWBzrJBn22LrYG1FwIg4eGGqvZcZN
b3tIntK+/TQGcARVEEFYKFawkSi63DrgQPAkTX6UpS5+7P282LMVJqdVleTQjaO+LqLB3gbY7uws
vZroKRkDTtR8dKLSIllCwDIei0rv3KKtsS4yGfi+Q9wX72wgunVRJbg1GzPoZqXyzrZLi5tNLbej
JoqNPMnDPXsB5N+0u13hTWBZ0RCsdS2w7jrIA74h0G07SsRaHQ0POWzzLNoEmHAMA5f2E4oDpgvQ
RSPtSyP33MT4pvvBRk8h3enwSNBZt5EAXRPizezTFy3HY3FAKezH4CL1VemRp01lcTLg9dsEd7NE
67/5nrhtlOhOpPKD5U0YQmVMOkyzWEbj3h4kjB5ImWMD205A4bQlB27KjCRS6Og0+fVKI/vaKf6b
7RsvWT38UGK7dSK9w0yIZhVlZcQaikCcQM3o80CPKmx33evFXRCGAhNfs2mzvVeh1gaukeM3es5l
Y0/7fkCbR1WNvr3Wq7zHs7GeE8xBjpvqAHRNStv2iL3UJI2Da2nSvfw28g2PctmrPTN/1AqDEjtv
pV4cstgyyWsRkleO1ARpvbbKXljbSjYndRPUeO9fl2lmt+gdhM2tY+nAllbvS2kL1BQU9jZmEPXI
j1boU/DUAt7eDjoULKqZG29TT5K8TerSMnZ60c5XVqNKNTxK1iXIT/Kkc/sxRJDN/w335Pl1ztWe
p0O3TQO/9/ZxEPelk0u54R/VqU1PoWFlwcm2xkl50HxhqjTUeORNOY6DEDahiLO9rOdej+6nQCUV
Kt3Ur8NuTLwrTRUdcxk6aervrViABkZ6xTlZJo2Wb7Q6LsS+ZxEkb5of6veB2SgwMdGojNuwrXrz
Rx6UYJcRPVl0WmSN0u5zDdNQJ9Lsmk2kg7huar8w0qsxSisstqNRS9bM7unsTVdnCmmy0RvF2m9A
vMiuJa36HOp9Vh1VzUvopIklP/CQdtfIAjy5TYZNJmte6eB12kIfgShxWGiVXa+FKGPzoA1ZlR7z
VKPzLOO6bQe5zvm+7K6/EqXBGVIz1URBo2IBCE5eLfAoSrusQLwSIwGY9FQUB8y5R8+NqIfgYy05
juxdYfTVdMsXO4TUgLNpp1kaIO+TlhrK2jM1egzGuNapfTRJsbYKaZXs+Hlsf2+B1IEJAxiqVcNh
NOxiCv4KJXbg63A7tR27Yx0NtRvE2YzaFUr/bJGZr3y5qMQ6rtr+q2eKQpXJ2Wsrf5B9WuTu28iW
m0evxub7Tqk0cCbGMpXld6trBqoq7q1iF9T0G+27tEWNEI+UMq6ZFFnK15sPjRv0ASL2bswn5AlZ
ZUoKFcU4GvverJoe0WVQzLLijN5DTAVqvG9wWJHv1CEbEJ3nas06VYWSd0rLKYHNFbm5aVKgr2Ol
J6Jwhdrx+PnV9PipzKz0sa7zINubw6iWu1wvonrfdEVkXYWTxNloQHNmD1mnSnBIqRiBr+xAlXZ+
BlC2tTJRR+vYsnPo8l4R7a2XW4V5zAsB7ODHKf/NiyqT7/Ooqphb6mF+6tReUtuHmL2jrxvTh4KA
XGnpnzcTkUoruTZ95YtktlCj87CNaqvHonzVBZrMxojzxi2HYkK8A+anv3iNpQ7Vyiv1qX0Uk4RB
mCpgOKdG07FisnK5PPbTzBp6oZrXn6OkFf2Nwn153SvacJP1tjwiZrIaf9PXfqM9STrEz9rP5LS6
SlMvBTPr8/6l7tOehlsrMUyoyhiuXadjzmdKw2AwiakrVR+1t9dUxtaM8gBViSI6KrwJwtBSIxWe
ouynEF2lrz3Xsj/eDK3uPccT+epW7avc2slTHD7UaRR218o449kjTY7SKi+9CH9iiWPRaecPDC9+
w5DXujrqyRO9mROKwCRp6bFgdqq195jwsNGjVsclMJTzB9pgdSB5U2cpKjmQ5oZ64n/18rpSHKWS
Zd0FzhmtE6b1+XNI955+VbSh4n8WUjoYG9LvHqCG/tTOyfOwKPccR0wKHgqB0s22MyV+En2FCqfM
I9oX5TSvkG6w/+P1kHa2tx5qr1CPfhTq5VbPm1Ksu07KX+wu424cptKMTnZXaPiRFXQCOH0Iszp0
OsVTVsfcJpZdxJCivsi8Q54pAuWFok0yRfYQlmtPtmOUEZo3Jbshpx5DVh0ZsPiFCCynLwUYVVoP
CqVpOyT9JrEUr3RFmMfD52pINHuleRZtDDH9myAXXo61lKdHfrRrlSqhHz2igNg1XnYsa6nfFlHW
73yE8s3Wj6Na2kiiyvVN6imGD6Lkg8wCF9VxeKBxLQp2+hDlBex+Bk1WD6KuyXdIvra2WsvDLlVq
alcl08LqXoQE4QioIjAjJe6Dp7DLdfrLlI7MZ515k4ern6mBbbY1GfPRDAa6gbkhpWRXTTF6tKBL
pXYzeGMlHbJM8y00DKlgUEM4hOGTF1VMqtfhWmqagyA40YhkpnqjBUrxZcy5206p3fvf667m9qaP
szxNTZB/rgMZaUDkN9bjkFu+uR6jOrFpkbTon0WA0VMpRtjXpQf0JwjzZPyNwxPob5o3jmzPnR1N
CRz7NNkxSLIapnoMv6hXFR8UWx+7GIvbWe4KJB3GpGqotftiVJ78aByrPVmnarpWZeXa3ra8JFoH
cdAO+TUka5BWKyVWpn7f1GUwbuHqzWbfjLjrupE+9AbIl9WJg83zhOug1gwOcVL45c7mcMA2qcqz
8glc0TKuhky0sjsOHn3JvulRR9ZSiOw9Dbr+h8mmpMhSVTrO/HxKUbkmKuqYRMUBfxxSeSPDfm20
OATEoVEZkZ0YtK68A6qDZdPwwSqdRorlGMps1IFQB7mJNjjl+d9lcxTqMVfDQYKxMums6b3Bbh/q
LE10vjktNDdjr+c9aqG2Dm6LgT299oU2PECAaOs6neQjxrOZqwXUhrhEw9OWTYFGypB95VmY5aTR
8GFbIS0ODVrA7l5ESUJr2WCP1Ryzte8lQxXN57xJAuGOZZOHrj+YTH9WY76XLSeR+GzzXGeNvg+r
l+m6hDasMxV6J+NYea2l0fe2LbvkVZuGxrv39AYIPtXyjF6EMIaWEpKX5bdaEsIvsDszeL42DYKk
IUM2pkvurL95MRhC1hQbiwGdtPO30WuDJ9m5sEL8BZgmB3JcO5Fb0D2xyp7FhpyCPOkk/Rn0P35x
xqv/+Z/8+VtewPL5QbP44z9virfsoane3prTa/Gf8z/9r//1n7/+kX/5r5/svjavv/xhnTVhM961
b9V4/1a3SfMzpv+Wz//nf/cv//b286c8jsXbP/54/Z6GNATXTRV+a/7411/tv//jD4hFgc3Wf7yP
8K+/vn5N+Zfruvi//6cKm/xvD69Zk5/5t2+vdfOPPyTV+jteNIZlGYyLUXFSwMWkf/v5V0L5O6NS
6Y43aAnHK2X2t8vyqgn4Z4r5d8wvZ6dv27bxMzX5uzpvf/6dqvydF8hgJtOc3yXJ6h////e8/dNC
5M/Hz5P515//lrXpbR5mTf2PPxZbQpfteSqnKVQD921FWc5ekOIobqlJmlU5IwYIUEtqo3eP5kyI
5Si532Is/KOCGNOjKZhCx3pCHb+eZ1d40KCr4Cu8DDS6fi1WvUtKvpaQhjUuwvMLv8HCp2j5GxgL
e3G1SnG21XRahJz0dURet2Jkx1v5jQanZjPP6UO7eCHkwjRLt03enClMSxEK+MnSy8oEHRZdharK
O+mfm0eF0/w5/0I7Pp3UDjTEXcIEL2ymtv+mbeIy8NLQqtaTuulKAlfpUyFuZO0qAeD/eHULR5Tf
YiyspYZGSLiCzJKx/klhAO6s1msoo/8HUSwcVzTIRNVc2s8X5uD7LfO1uZQNLo8p+iF15nUnSIM+
DqTMxirv7HZ+rsfge6MiNoWwtIVnERouS7JKIokT+h7GrOyhJHf1m3QNO6vpdBTRM3IIb7Rb/fHj
0Oe2yfvI8/f5zt0v8XwMUWIi1ymsAg3qPo2cGV2X48VJsb+9NFwpBPM3TFvVBBM4579/Fwq76tCr
m4TUg+HhpEwGJGPu4CPMuKXRpaeJVmj97fJI0YWXEa7Av8Zd2OfkwpSytCKuF2mUkVna7kMxwd7o
PS3EmVCnXS+P9Q0jmbxTkUnd5uNHfHbdumnMhv+mYv50bn23bgrodvRM2j+ojm2D5ZsomJtPHwdR
fnuR8yrfRVm8yInju7RUogyb9jmjVQnTRJDdPU0vbnfNXO/4BUAnoA2dNpSPYy/P8J8P+F3oxYvt
4pHEuiO0aJ4bujMAQi58IJce4eIVqhgWBYlChJA2jpi6RDOBM0ie/gcLwTyau1IwWk1ffIZ4+Osp
SG2zkhSGGtGsNnUvH0dYunj9uRnfhVi8pt7vIWRkQvROz01E2v/VuMVDhfm94xE7io/DLZ6boRiy
ogk+OEZOgEsv/fHatIlRt9AXrMI2o2J0ZSQfI2XJ/yrMT4fmdzscNK5JhpAUepRPfvhDK7572uvH
IRYn5J8rYaq7yrgbco/lCelDaoSZZ9ASFt7bwECWSp/WTRx/oXa48NAWX9KfoWxVt8h/8Itffq99
TMO5lfPQOhjgOnluGhMTAQZdadcfr+ns23kXaLEXuqa0yLDkCO0B/YO2ecSjfj9k+oXz59J6Fp9n
lhh+4Y2sZ27R7XokSuLajumlke31xwtaHAS/PbnFZ1pKAsnX3IYee3TeqeldEFQXttqlEPM+eb/V
JKktI5MQKTyKGn1p9Asv5dxGE5ggyhgu4ly59Jm2qjptppF8YkStacp0rpl3xYCmMP7eN7cfP69z
G+B9LPXXxchRUtJDwGJKxIsKjXljbjklJPLHYX7+zu/Si5/vRagaW5lTQLOW49sYKo4dWa4h8NhS
C2c6VJEr/6BfzE23cLfVj/DW/hFd285wCG9lF6bfLS/Vfud2IYkUH68A8CQh/XWtgddNYSyhY8mu
pJ3u1uv+NT/AdTA8t7+SvkxrjC62F13KfzPr5AB8H3Wx9/sqhg8OIt7mIboV63mwq3GT79VV7Br3
Hz/lSwtcbP628OmzkGiL7SxrneO20k6lM2S4vng/Po60vER+vk8djIsq0eJ8Xw60GKUQBBawwoHI
35obWvW3zdrcgqfNNtMXds+5D+J9sMUmhXcrdTNHkRsYFZ4PwlXkiI6DxyhRb5qivXD4/jxdF3tV
lUFLQQp0w+K0+HWfMBZs1HPQOoeW2mkTH8sTbZSr6HV2PW224UUL7zPf4C/xFsvrQKj9pB3oHjcY
9Ve9MbESplu/8BCVM+fWL2G0X5flw+lZjVL9XBYOQ/O83Xhrfhl+yFeo+1fFPftld2GbnNmRv8Rc
fHJ9YUmarhKTnls3exRO/gX9PK2TCrNwK8d3PerR8ehduAWUs4+UZEOB/xa6Zi7OaBzZNAnHEYyK
frRzyx4DKrcSlvaD5dDS69T7ueK95KN87qNQZRPbV4tzWyPF+vUJY1U99GOl0r9wotef6Vb6ejr8
udLMueRSfn6JIJLMqVNVRV0W9LGZ56aHrKxBgYMcskL0lSSXXFjPbRpNNubJZyBmYjmmLpl0qKgc
LLelm2hiQjVtaB/vkXNXg4qxKFWJbc7J4mJfNlpbyAosjiMzgTa9nmeJ+utmZd6ZR/8gHgdH2k4n
XA73+c68DTeXnuO5LSpkQ8W+3oCVMRfhLTVXZDVBiZo2lgth46RR4qQl3V6Gf+ETPPfKBEgTd5Cu
zmjYr/vD6GBUJR1Jmz30n/QCsxVffg01cSHM2RXpMsgZmBYg9WIbhsVUKtGsrUX2tg3050x9hW0+
2P7bx2/u7EGJrzaz5MhUNUObf5F3mZChD1rV+wGTe2/EgbHMTv0k3YuVdcMbe+qP/yasM9856vtw
i4+6zYSldK3EnYPD4ZR69OKMW0wA3P/lshbPz7KicBhxoHaiffAY7qZjx8D5aj0f//nm8kwhdf55
y/sGnAy3d7J987dZ81FBcqcYeczUGGMrHTG62CJd3Io7Dq5hg5T33j7GBxT1u+zVe2gODOgL1dU8
dMTJ1v+tuXnndtD732jxYtO2iiY4v9gRHq3lDnzX0dqbXzysBpwaKdFq4EhdZ3dorC+ihgus5M+3
/O5pLN7yGFNma4g2OboxXWn2/WlGaMRjhb//mkb/ZtWtvc/aOg5opXCyL5fGvJw78XQgS80Qmspk
sMV5UFe2nahgwljhhluaOlZteCnDOB+CIh/UAFjv5+317rupU45tc2CJgf/sa1elfXdhB59JmMhS
FIA8TWeGlJgPoncBtKHvxlajghBI8dfc9M60iw/6bp4H0uyGeYzus0DIvbEuHD3nTrj3gRcbB+6V
46LCx0UqXgbrRVVvK/OS+/3ZzflucYsNEqHxyLqQGNlVtVcwo1qFa8kReGeutIN0sI5MSHCqTXqh
fDj70t6FXZwKML5dGPeEbXBDnPAXGob9x6/t7M63mQhraJQMxhLsRQU11GVrzZXCPK6p22GFvG22
9YWFnE2OOEpl0gYTFsxY5Lfc9UUiGfixDJ+jR3kdH4OG/SGtZwpC7lZ4aT2FF3fGucdnQLjRaEfG
ZxuLLRm2ejiaOW63LWKeFj7YGtyPH9+ZvUe+TmkHdGYzyXl+vO82/RSOTQDjDMdSPycKbQC0BFfd
vzsS05iLgv8KYi+yrorZ33oYGCHd8FhsHdvuQu2/xOHn44/hqDZ+3rrGEL9l5jrWlQpdKod4Ljo/
KyuEICv1caVmnHzI5Ff0HN2EqPguVlnqfLIt7iHN0pmSMXNu8zDyXx9gDO0q5fJcPm78nX2M3NQZ
NjIUafaAVehVeqqO5lPCUElsjaCJTy0y0gfjwgM49xYtPgB9JmeZO7HYJ2rRGvJUY2VXG9MVd+a2
DdQHiTb1f3+zWIYB22EIUxP2IsxUlIpWqXSIRPh1dOhTe5w0dIy5Pw6jntn22vs4iwMxQ4KhNDVx
6EiW7+lgxqhkFzxWt+XW2mc3zIVyta32jMo8+UqTrosT70k5FRcpsZ+jwn57ue8WvHi53PaWwJsj
JFezr5oNpsmu4WD2BMSEsd9OwiX3cdhmOMBep+64q3fiLnq6lGufO3p+eRzLQ9Tv/DAaZuOuG/IK
Gn5n/p120Wt1jwkTgKAzCOZTXop7flP99bYXRwO1tRGH8+JBqJyIBtSwxqoZw5+P3/aS5v358f71
tjHs//ULmoxIVzpdo+9oU+yrK9R/1/39xFnO4epy6f6Y51Qj/qRZ5HRpUsvHa9SXlZpi9GLwZdZY
Wg8aA6vK2ygaLizwzNX77vXp8qKAsVIflXBMjIQm1yyi5Ul+iYJHNMQXAn382ejyIgkrIOw7dEMh
cH6Li8+pqC5kEeeflo0ggTGpCnTLr29KnRrEaBaXRRddaV7o5pBxGtaPH2+I88v4K8rilLHQG9KV
zG0xFC9ZODpV5bsfRziHOfBK/gqxOGAM2rOVMCGEcac6mJM1K2YSOjQyudMpu6t3H4e7tKDFKSIl
g5fSKx3iZfo1Vm6r4ul/9/MX50OhySYDeliNnGkrNhqDgO4/jnB2C5sznc58bFldUiuWPeR6P2Cf
pHSKozXBqmm/Sc2LD6L4caD5Ufx24L4LtNhhiBwjrwt5VANKD827YrqKk+U//Nk5C5uQj4Od3wbv
oi12WlfqVg/kEDpi6++Km+kItPeEINY1IPWAFT8Od/breRdtsekQyFOm2USbLR/otq/wNPn0cYjz
N+e7GIutho4w6SqLGCp+dPIhvRfrBIMxaa2v+y3aMwZ94jvmpLeUwrifbeZZqpfvzbMb/t1vsdiQ
GkJwTan4LcwJ7wva9tU22Xy80jNpPzr2v3bk4nIa67rQ5ZoQuKLuZkxW32Jgf5mIOJveWTLKBx1c
yNbVX4+8UJ2KqsyIo990V5qL8/Y63luMhZ6pCDr/LmzJs0/uXbjFEV4j5KOhm7twzI8TFPP07ePH
dvZDfvfzF9/XRCOJ36cSy1HVnZQU6wBzOKWmRT28EOlsTm69C7X4uMKc3s+24cmJrbI5wV6uzSOt
dv52OMwZ+SyLMe7TzSX0/NITXHxloqdGtFsuQSMyVq2PLZL/8PEzPPsdWxqwp/5TY7TIVxJF8rwg
4h0Fo76S1BsdO0ZPfPk4yPnUE9J8nq7FVbvMtSMMAkTowbvN0rPoaridbsRWdrQNLYRr/1DtsPfG
ry5xcF/epBuLUQ03l8i/c6exLcsM4eJWZ4TZ4hVy6NNXQqemg9MBhlXUVvAQRnKKBOanl8RU5x7r
+2CLF0eXSTrF84tjxAyW/I8MsXdS+8JjPbsr30dZHJBjnQ0ajcUgOp/7w+hMrnzAXsvRjgiGb5tx
NTzj/XLy3Uvo1dnVKQglmVBuqvgR/nqOGAVnWSN4lGZyVUfPSXc1TJ8/3jJnrzPGGzJoHXoRjGxx
JjKvN5msuQqGgrO2zNP4YiPRUhKqX7orLp5VS+nSz8TdVixZA2GmJlwmz0MzNg0jFXmW3+bZdgwv
uM6O+pfxBb5xg5XeFuPhj5d4/in+FXFxGsu06HSRxFMUOSYd4xuWJ8zDGC8kIT9ZoGUW8n5hi1O4
sZVULzwSqnrdcOhnN9WVvJaf8i22WXfRvXeDA5ID83/bPmBetP54jfPl+FHwxRE9NqKypTkp0YP4
mOfyVW2XO61BcR1gRF5S5A+YzXwc88wEOZkZdX892PnBv4OBvF4UnRcQdHYU1XbGfr7kcGmmpP04
0tk3KNSZ/kBTp88C5feB6DIY/TKYv/Iw3fY1btidWNOG5Xwc5vy3QM8sUN3/Y+88kiNH1jW7l557
GTQc09AR1MxMppjAmApaa+ymrZfyNtYHzLr1GGC8COO9ozbrSQ2yqtLDHS5+eT7qM/V5tHiM0ykD
hyEZAtDQHGArRcGjU3efsgIobzo+jgN1dnY4QCZEWMFXALhZ/e/zP+PUY0Q10j+/Ynan+RpdUZD1
+BXRJ1u/i4vH/+zvn90qqeg7PZisIM9pnt1AeYobeSEsfmkKM1suqL2/fb4qDOja+5CHFyKrlwaY
3VpmVdthqbJGeZVdmyLcU9B7aXuffMhMEhOUxaOTOk9XWkYIbKPB7EEXaS23ybM8TDGUKblNXgiV
rOW4nrJU/0ZkX3fQZJwqdRXHeAl9vDpWWTGozcAnWubWb536IAvxK4ARF6J/p1KKr4eZZ7WbEIBR
9EK3TfWnyEWvBCUKmrw2bePDNqFzG4zZVVrojw4vxCLQw9ukdFFB8uoLl9fJ4/3fE35JW7+acJtX
IILqyX8rB5go36yA5nhQU+e3/enT/WqY2S1SjTrlZBb7vjvI7WSV51dTqpEwFZqq5ur8aNMhfXMh
vxps9hrw3VJJeRaHLP+doHCnhU8KHV+gUy6chEuLN52UV4vnVo0lypGBWo2wKlA+c3juYP+cn87J
USjEVHWuX5oNZndGUfpRE4w1taXWlzr9AvoA6Jd+YZCTYXHn1Siza0NVc6cOfDbCv+plS+vGCtGg
zz94/TqDB3ig4theNxsVZyCGhw4+kF42eF0KjeUf/7M5z+6YxNJzdUSfYxlH10qGEUYNu51+Pz/I
advyX3OWyjyQSXeXJ0Zq5ZbyZniqqMdIN3JfrZztuNQn75QiL7FxLtph07Z4sz8dRcVEJwFAocTx
ttE4cH+qeEMz2kaQi3y0pi5M7YRRAr0NH5hyFhyPeRUgqaO6700WUMs9UlG+VgiEcVJzW+Uesidk
MAuA/pUiNzQrgp7KAmidmTGu+sSBOuenLEEHg1ER8OKmFpCF0cbqfd4V7YecrtgLVsYpe4ZCNKqA
iRCY+puehdHJ6jGK+RTa1t3mm2QLGHIfLlDt3J9fmROn6Wig2QufdHbU2imxeWW0AK/XT7KJVx4m
84Urz7DeXkP0c1Fu41Cj8pKiPv7MQ+AVXehBnE9zjRZc1wuGdD3S2K0tzNpwieUMaY0KDcA4wFWW
UD4g0Wp9HXiYukVrR/C9/HYENkDbvLwaaRp98Mto2NFuimYWUAKQThyUpS7b6ks+utGtyVZAB8AB
45CG0FKjgDSrlMX40BvOCIsK1Qw4u8Bfzc7sHgKLSyWwEd5sdCLdaijS3zyAslmMtUeY1ZbWIYN2
ter7BmpaD6YsrWIBTIMu5U4WA1JbUAwK/rGpG7eFSiMoaDV6e0NXPmqUg9Jn6kItYr1GsZHWW4Nm
VHVhj9S4wKKKgjs51pKK0STSn7RE6zZU0Sf7IEiGbwkiRlekCfHVY9vyPmWdA+iuzWv1EclJ/UY6
ww8na0iKl1axgiSlbfUm6B/rNIjuNMUhr+chvodOr1yOndHuVDgwC9WMkT1xExrewQa1A9huo/iR
KC1/qvblpEkSD9cl7LQdXbs4Zv1IY1dZadeaTEexsAYbOm4dl+UXsEf+zw6s9q4vfe2xblQHUpVR
3Y10lgPrCkta96lEzNaFpfaENsamBwCCtwD+NIO5WcFO8rW+X3WGpt4k2mhBBVcD+zYIcsiayII7
9dZ0xHDfewMqKoDtCr0F55rGqA+GhW5DduAw/bLzLq/g6pq2eW1CReiuQ10z47UnKTddm74ORE71
C9/chGYxFFcjCqJatZGF8FBUUMexQQKRhbqh8cPeJMCmu0VYh8j06Uqif2mFymF0xnBVD3wz8Ktw
A5QoR2RmqNF6XjaKbW5rlu9qTCLzQ9hAtC0ozt01AA3WehR2W9MOO5QARfSgBWl87ycFWsuWjL/Q
lZg8WkWTrrrJHE6K1nj0jFg9uDRxbUw3UXcIYsf3auj4a/oFmnuab4t17NH071d64wBvDC1aoG25
1oJAfnVFqwPh1qs0W5epA9Gp74KDMIcQMkRuboRZBb9sy2UJNQt1vwpkAdosSr6PwnHQlo0dlVBv
CmOvFCqaDJSo//SFVsKqbprbmEqUfpG06A3pikNn8Qhx2e6jYtXxArgL0mY0hA8VTwkN/R91u4U0
3CXGTaMK6S0rIg3+0q71HkmVgdbtGOjYVrciaFtuF19RZQo+OZyAlzRDgzdyndrYjpHX2bd56TZ3
vluEX4ReabeyhQgmMxgLdQognY7zYmc2+YT+1p36WxantNJDXJnEO2L6XRqZdlfhYGvPKDNrSEz5
7pNS5Gp7GMzevwkDC2J47zn1FbEtdB+D3s8+J11GQ3imJWB0s2KX55rOytrm50RLg4fUF+H9VDDy
UA2iwDdTVCyDJIfkb0ZNtYOXrd9qTenccwVYC0PNso1he+G9q0DX1hMHDbLWdPZJqCB8Mpbig566
yS130XAtaKbeW54VXBtKIlY0i+s7GDwUZnER/i68ttsoHSCCQo+9baUoztZtveJmiMZ6DQjIf2xB
yK0Cr1d2rT3E2zqLrFXRBPU2mzS8Y6gn135gKsuQnvuVkdfdRDV0672sE6SfnaQ6+JFRkjhv/Y2m
lc26aYNm26kyPIQjmzkdYG10gUbYpNYSg04MxwO4pFf018FpqH5noTvai1bzbZTjQlTnUls8drbV
IgXRD5+KJkddIDcjB3W5wcvvShfqKiR1Zz1A36anLB23gXDyVezXwP2AykXXEgguorLB+Jg0onxS
6Hfzlk2MCnk1jCN0JlkfUPxIf45j3H6ug9RZVXncHDonQ2Ld9tAh6wPD/9yh/34IPFEj+5xIa60P
Vn1fGYX9VckacoSdEbooPBnxR88C6p82OhwOkdPQAGFV/ag3yIxSb9A853mAIGKmAaU1U7//WooE
qVFNC810GWWZAwfEjBLYMzUK3gGMl8dAlSrg2SFECW/Q4Zeobb1FCX6478avXZ5U21oJ+x+Gknbb
dEh8FIPHUv3slXlsrQIZuJ9MiQOKUqpvfgyNXL3nNle3cZFDMFKIvFBp6t7GGXoXZuOiMWeOar0W
CVtwYXeatvdCLT6gaQ+HWKTNwaqcFJTbAHXea9tkjfqBs87NEv0Sd3DQQCpkTu+yg5yF6oqbduic
a+xxVO66Utmnep1+R9cBZSmlGG87JTURXzODjS+H8LbhFgQT6CPRlQJAu8vBFe3NzjYOUO38jZ6j
UVHHTbvL6hBNsqa2P/bo8FhWpi/KuHcoHeiqGxWA964wK7HQrdhddVNbQBeX1SYLm/wGIQEX3CEb
rGwyc4GeSLPnFui/mWVv7mrTM5/azI+2lj/KZ8oB6cyQpkQ5qLS4wjh9We8ji1GP42HMW4SQW6NF
cVbaMXJyHXJ5FUqKCNFPGriIpaUqSLxCgSWWxBz5PtB1Olp1ZLjiJv7qenZ0NUYW+CcMEcMHjEk7
PMqynGFYfL6ZHgoPmJRBcdFaKGaxs4RDSHyMDUo1UtBrhhvJne6AGkoLN9g3bUkTsKJXUFepmPyV
guNBK03G/bMV+/oNFeqoOBoy+TVyFpAQzMJ1B9kB8LnQD5aCxOt7zUeNQmnqSEBGSCITk3n5yuXL
jZHaoR59KQN1z96/0kS2C5CYOT/KWw9hGoUyPCqU6OGZewgSn7IJpZcsFXinnXJLX+2FEU545AxB
7yXl6C9FWDMnxMu8Ms1SBVWYFXTyvTfcxBtn3W1UXo2r8HApjHiiJuZ4vGnKrxZuiPO2VgcWzryj
7xo92EW4okxuY9OUsaY93qNO8+9S6nchKW4CZNCq7Hd9zJ845lj8vweu0LSpcPJ/Bldss+C//nd1
xKv487/8zaswzL8oCiOYMHEpoIVY2j+8ClP/a+rzhUthqJJO56ks5R9ehfaXPu1JtoylEp8z+Iz/
4lWozl/0i1JwQJMBz5SkqO09vApj5j/h5pBM0y1Lty1KKWnfPN4xVRbllV+DfR7gLnyF1SXjNeo8
XkY/XZqW9aY0hP/D8EYBZtlW/Z+KG5X5Fveo8a6EV9r1Svb64GyTqmwRLm/IP696u8vaR7O2ey4k
GhCL4aqkDByGv/DNreW0I4fOlWp+qFQHeBFQJIckXpkN9NKkOV6UFH1mbPWs6+n3LrMC+jb8l26V
Qonu7gJDoBSo5ISGFAJp/mCByMUaWkmtEz90O+E1pAQWmaZFSz9Kg+/TmTR0888W70eq2bOpjVW+
4TFGcgioDsoOtRYNGySm+pSXnHwzj01vj59G6GQlj+/QZCsS+CXib1UCsluM+gCkXGj8uUALCR1a
M+s/UlIcPkeDAcw1LHON+3lskcH1BmsY8fhq+N3GGBkuWKes/54NAao9UQHx6soYonTLG1h/MZSq
LRcBJuE4Lts6g9xu1aN9K3EZgqBt3V8i72JI5OAXu2ulx1iDVVWGNUTBXnbXmhsXw0oPMxe7KXFx
BmXVGJ8cL+49fnHUfZRJUEz4a+5vCJSDibRdP5TKilJeYd81ZeZ+c3GSkN7jbyEqETvjeA3mJXgo
ZV/eR3ZguZQhytvWlCigJ/e9lGhKuDr6GalfFMsIgvFPWww2f0DD7k9/bGN486kV1Y9uI7IePXnX
/Wk3JaRy11GQnxBR4KAUHGuF9pCaNpbpCGVlWIelPiiHXqtap3sMsQgB2+VOCiCsstAmkfCM+k2R
hwIJ7yxBQjfOkMgasgYSpxcApE2YrUMYzVX8Qycqc6yvhW9gF2aelUS3Smf67W3DzqF4sXKCdG+F
TqgdWlnDFsvayK5usCLL+KZOaqGsOepGxgy9zlJQ+exd7St7TWn3zUAQ8Voifg0zHIxUj2qu6D5W
ds4fGPhXrDXtgBAFOsgxQBMqlc6EEm/8JpOytWBIQxHbC4Bs2Bi0jZj+velGYb7yAhuKVUbvFFtc
mq618cwssJBdV2lb1JuhwsUMnSRs9goI32SJdk+TfJaiEc5itAJ0GHVndAgl6BEH21DbFFzKWBOu
gsxJ2IRjBkuP7l3XggdlFg3Mpol0Fr1Qz7D4IKDladOLld1kMNjyF0pa/UJMc17oaaEcVdDRSXeX
qTmt7DL2UTOhLhZlhyzy0+s46E172U1gtrQ3BLdMVnZ3tWOr6irWaXWDXAyFdVFZkYOKYieeHJFH
4Up9wb3VWHmAyaN25Bg38L4/+LipEQbchIrL6q4o9sELQg7FLrdZgpgvrS1XT1h9LkYPUeNcKbKn
XFSdvNFeoHRJnZB7CCdWXT3GClLUhgqO03zB2SU9IJ+HBETmE5REuW4sIBuHIik79OODuirdRWIZ
tUSDOVa8jW/1bvNJFGWGHdZJBSB4aClJiEePy7DINRyvh1wajf6lGrXiyiilLTZDJexxV8smS6/o
3EwNBFc0ZFiNkZIoNJbyFGFaNylvdd+wxKpQAGshos3tukbXidtTGpFVrAcfaY5l09vOuLXzSvke
2W0Q7yv+SR+DUWjQSOHZp7S8tBhdlB4lVvOhMwn1rLo4AyPYtHknt07i8ieBZY+fhYX9fD10hgNy
Lhn6JenBllJXx8wOlZ8ays1gcMkeyqaFHatUmffTi7nuthX+9LiD4+OweaJIRJtM0bn5FCRgvEej
07P4UBHouo66vEOpPJXrDkLdKit8B/UgClOQqcPngy+uux+l33g/7TywH3Uo6RH+emFxikY8dTRd
NWO0lwJVQQRkzETQ2DMdlufRMbL2Qa+JD9y5Rk0sz4Z6niHcBGdxQVFtk3xwat1tkZYdYsUnME3f
WXil90Gq3/oe64sXTU/NztGyBD67GqdfucSadpPUqvyc5T3nFvAKo3smJVfP/SCuKs0qzBL+cxa1
j3UIM3UpZBl+dpwsRikTaq29gJmtIyeti2F4zo0GgRNDRviWkV+jGNWOma1eB3Ts4hQ4QLDvuBVK
jR+pV0ilhjQkPClaTswYQY3Yue6Cth+3tT8o7dqORKdej1GHCFkYk5m5ou9IS7YKZHZYP2GaiU2F
gR9kCC5pbnFn+6rot6PVQ7XOpjwd4FRzEsEoIr1YF6UinFUSimBc2FEVDB9wVQObqFjMW9T0wNR5
dq0A9yWxRM0PRlHOqX4rdNIlOzsulXQ5TtYDDB4jBjSZCS9YUdLT6g9K7av6TQugNUUPVe/itV9p
nn7lyGxaKXZVFd+VtpT51ldjo4xRKgE0uxkAt1PPTdWZhqRAkpMR8bC77ogSdeFWCXgw4CJq7D6r
7lsoR2Nbwyr3y64GulgXNsKeQfQT9RZksoUA//hBkyOU6sTvfd6CkN1HpAQraRXFVpVcdW09ult0
GgNj27i+Uh7gZaflfdvBicVV9NBTHFtd7R5Cegvq/dB6jffAoymtm2oksY52Ozn9ZdWOKZWTfS/8
68oMGutKCOTmkQevx549r8MhbtNmqB+gX8E7lbAFUELGmPxaSQ97g6AQtz/eYajdtYGuGrd8tsb+
riSe59+nStSAQlaHMdl7UZG4n1LZca81qWjWqQwy54qrUo+fFBNY/c6B+qqh54hq+SrIQXSuuaQt
dCyHYjT9DcrxOYTFNFSa75426ATKkCZsdmaVV8j95lR43euum4tb1UD3KDSd0ry2NbMe1y+G9P/3
Kv6XRsYIP+B/9ipunsvn1P+v/3MEwvv7//qXY6H+ZdPXIxUSW2RzqLj7x7Ew5F82bVekX2j8wrKf
akn+cSz+mlwGfAvCRlNfE0nOf/wK5a8/+XiFn0d5nWK9x6+YMoevkm9UFGDBWCp/Db3Y+PCzYsDJ
GHeiiFJ+/st6bQa8QJXlliQPEmCJVUMnUJ+EO8IjchmbIn58tV73fwZ6jeGbnJb58I4jCXrgdtna
vJwGPKSa5TqRPjVAMLRqnCeR2fHW1rP3BSqmeU49VmQZbZ40XZvN04v6ZIwztFrA1va7LlNHNLrQ
FYikFVyo1phFK6ahaC2gp53BpsT6LKWGfGfkl2OJZlTpcnStsV1Y/SVcjDr1681WTtr0eTKSnDKa
s34+NUt9j5p8kKlb8aPZeutk6e5Qh3p4dyPNnwkhJ6ODcNEofZpl3IPCIWXT8uLrDhmzLlH1fRcX
2rpE8mpzfj/MS0H+jMW3suAIAuOY1yurpaN4tIBkC+UQ/kTr8Bkyar81VsqmpCd6421ScSHXevJz
EeTDUoASRxvcsV+NQe15Zp0gpWRKbzdIVINzNbzUJXRio7OC4L3IMb0wsY5H6R3sjTBgUwyD90AA
ez9oSGURozu/frNCoZflo7RXh0NhEnkwZtsczrYjQNYjYye71MKjb/rvo1OB+gkzkX9P3Nz/UHcR
pWTnx327iMRANFYQMAW9hPNq30bTo1JXEHHljPl33DPGYxmW2qfzo5zY9AwDNRSSHw2flj3b9NUw
+DYvM4mSlbpBNZxmRWWf7buPw06/Pz/W2w/GUNNA9GoDj52vpI3aRetZZoLYZYNSGd1km6aALeL2
TXxhB779aPq02ZkP3C2TMNLx3lAQ2kMGQOXCiCrnpiyDQxh26Y+ApPdNkQzGt8gxy0vlym+/GINy
U3H/MzZPzfGgmUEAheROhsYbnWlobH9sXPNSd+6JQSSmHQlbi1AYV+LxIJ3C9Y7KTLYQprOsM5RF
4+17PxNX4KsRpl/wKo7aSInnO3A3dbHuKYsg8/x9XPeUDHQjCk//2WCzq4J6BPQUNHa518I6rmV2
1xfk9dvYu1DmPf1Fx5c7s5JgL162A/Xrx7Oyc9zLoK8SPNRK/erhKOxgFskPWtb6313EIt99fHU5
AUc12o+t6aU8Hs/NHRm7jZ0gZ1U8BEn/I/OGd54n2rOJriLPZ7LruJ4wdl5/KNcyfTSkMqZkxFeS
tMG3THbOFVSES6i2eSxfn4aSkjj+FHedIq/HQ9WjbkeE8ZKF5oQjMTKjeBri1N60Saqv6qRVrkj6
DRulNMPPJP+zm1G56TWk+VylvLA953F+bD4N88ohs0CKhJrh2bS1QUkr1XOZNp7MJ6pd8p2l1/Rp
qYnc0s7SLckueysNUep9anaIv/TW4C1TMsRLqpqtZZuhPGpLQhd6h4Tguzb0n1+H7QV/BHMF0s/x
SqVRkyauQzq8NknZxvkBH2ft+dqlVZj+nlf7+WUcwExgadjSDkbR8TiqnyX50CTonhJu+NoqrbHS
RKuuWqUv124Jga4nk7anEx3k4dB/CqOgO5yf6uxIzX/C/EjVgRIAFEM3ma8lPidRHn8kSCLJrwJC
/2a0tI9szo84e0H+jEi34WSm0xU8H7Gq3CSKGvSmXL1der6zQ8B9m6Isfn6YeRvD3+PgI0w7jDdk
el5eXYFq3AHSHZQEF76E16Syi4k05ahJDoUAjGmOxLgqx7z3eyKoCwt5MbQ6HFdb+2IIf5Ld0MXB
tmvjqQri4qocNP2uDuygWZ7/oW/Xw+AVIH9i4w9hJkz//tXv9ARFNAgPpIuCqqKFDgmprAi4p9V4
wdafXwCsCCNZjCJJk2gwyI9HEh1qryPhxRfirwFu0JgYNhNTqt4KffHOprc/w2H66BpdAYDAZq9c
TlCBUBVBL1I46cOkOXGbO7r9/uWzNRgJwL9AUTgvQKFXy9c1nuKllF1R9BU8eYGrLlIjenLyKnrf
YzBNB2iZotmA1jEkrdl0miyaavB4DOpuMDdp6bp7J3PbL+d3w8w0mEbhgcP+AELN8dBmb6k9VGhJ
BoRLWgcp8ipG/1QQ9L1w80i+9PHFQw2dRbu3reNRUNN6vBOMOK1F4JKQblF6WGh6jgBWiNq3RA44
c2kxb8xbJegvzO3tXXM86uzSBxHqdq5NjTXlex97shnL2m8+llr/BNf+39gXZMahWaBvwErOIbj+
kAopSpSrvRexRUTb0byk3unCU3FqTtjcykQKx0nSZ3NqkYxgt6AO7Nr1Y6hUFFbW4hnVQAqFtMy6
sAdP3BXcZZqE26mjxjQv8ra7VJdDxmuYx8mv1B+zVTuU3KLCuMTvm+6C+Q7B1KK+4A/8cfY0JWaS
MhgiHb1LIzHY3SiwPlM+tqhc9cou5Pfz2/7UcA6UF4tvZWBqzYbLXa0LvJzhgoyqpHCBft/SLXee
uU21Sz7n209GtTNFjeqkp0BSeHaQCQR7AgFPCrBUa5m4Ymt3YqMm0a/I+HR+Vm8/FzfuFPLglNGF
Nfdg8Msat/fpjk0QoNDyoKXpPSkIjQaXjLsTc+Iwm5Zp0w0zNZYeH+h6KMIpscrllKHgtdBLYj6L
OteUfBUmVvJIrkf3333zmhaeNfYRdit34uwScfWus3RhJIs4D6iIZJhfITf0zs/ddxIqpq8FsMTE
d2dItDOmhX51yfM5VWVQcWdCGZZLs5DRVVvFwco1neKC3fD2AjYtHCdCSMCTpsvxeChhxOhX+hkB
JIKXOwMozxp/zfj67p1BWYXCzYCLyzU189g9E6U6tGA5XjZCUzZ6rfkVSmIX5jIPG03rhmGBLqKO
YSHJrB5PhkyXY5D+w7qLV0jPbKlhbXc/eFK2tBYn5N8vPvrq26fFJLfBhqcYg33xYvm/+lSaV/VR
4qOv6boi5jyngbc0KiPbYOh3U2HYlNGzx3VlI0ybJKJKd4mwdTD49Cn8rMpJ2p3JIBSsdoaurImF
Gs4CjSj6Zoys3rQtROgLO/nt7QPSk2S3PcWWTa7y42UKOuruBurQ+BpWTclp8cmPqdW2ug8NenLo
QdMnff77nzivkk7eaY0gnGGeHo8oatgh5GazhWOIZdd5W5H9ol5yIaILF+uJz4FdhG9pEtCAPT/b
AUggY2dM9oRNz3lV/CoThw4O2L3h79ZPVk2xPT+xE8fnaLxp4q8+f07WLMosrHvD7yEFB8HG83kU
zw9y6nvZAAl5oAhB4acdD2JqgUBi0Jmc5lGla1i4wVc/GagTSbyWEk2nylA0RgpRuURkPDU9G3/C
JHFB/mJu03Z54aAAzYFCI+y61dQ18YHf5yd3cohJgMcizEtz4exqiAQiWFbG5ECX0p7gmxXSHO3n
84Oc2n82ldYEHKjmpL7veAWTpIfGU2O2tDZtPma/9lG8t9WAZP4lvY0TO9DhVJka7+0kUDSbT+zU
VuFqVbrQLPhFftfSUxG2B912r31b0VZZlnyuI67C8zM8sYwE8FRriuYx9DzGZsuQpDGOxyKiMXlF
6Py3b+UXPtWpqb0eY3a4xi4j0NXzVgR1K9bUwaFz2A8/bNv4TomMuxyQE+rrd4bbpksdTWNuD0Ap
7MJ5tFcZkPWjtGJSFk82mt9/quL0tnXKh/MLOP34YwtwGmbKtMEPJEI1Tf7VSaboK64l0r2LiMIQ
41qtqkUd/vw3xrAw0BWL6P9LPu/1GEVSURhCSQCKjRqRnKDL1wWlBisrjsPN+aHmvWN/lo1qRlKL
vLfWPO5AlZXTqAOVCJ7ZxtHabmPUBPLEDJ9z3/YJjNJgQN1pShkdfpAdP5MY8z9WccWTcP6nvBAb
5ksrFcLaGPLsijk40bFJE2XaVBGliaL/ZFPfhEiDXbRi0Q5FoawYNO52YRyGn7OmaYxF3PvKnZuN
7jfDDbCNa3N0k1Vm5ZG5KKgfTNYhzxVNU3mpU3mTjAYFfoknlOVQjYCwWzN0Pk6JcjT2DJLm+Hxe
6bQLJXEgF3Zhm+obOgArFV1Xv6RnZkyre7sl47o6P/cTkT9EVyyEzkwyq9xuszOTxMqQ4JlRCjOs
3W2yTrbp54nNVC6sO20Tgt+hru/Cgp94L7gFpgwnLYMqHs3xVk5zdqAUCVcQ1aJPgd27q3oSVVKT
JvyoI646WeiF/HR+qidHxWYl1omF94ZVUHcqDfCCcxqN5Ye6F9bCjxTkzcvUXRdd+YMqNffD+SHf
nllrCu9iy2DK4CBqxxOtyjonmISdPHrOI0qLi7aVhxro0LuH4eQTGuUwTbGX2fsr3S4MaJIgCRTI
O+y8vd/ke19VLyzgPK/FkbUYR/Jx8N8JxM5fKUtz20gnNCaoCFogZ3xbII294GAucwQmXTncKtR4
em4BQ7W1PnvNpaT12xsef9TEnuW04g7MKfYJxkfmlvyCRIImeWlFaKNnUGa7mB6YZZEoX+MIos17
1/doVHP2ZCpmMvZFONmjiMAvUOq4skdBQW0VXnpL3r6SjDSR5vmUdBDM/cZiFF3Ua5QQoz2d3xWK
3j000UDL2vkJnRqGfcKbNTUyK/MsR+2IQhfRgFPQPFsd/VfvbIXAk+eR1/CmuFxw6eccnsKPRlmm
RHtMJzYpGvaVpt+7RtVZFxy3NzOZBiIjhLQB8o0UsByfMG5EK1EF+Ro0ibzvieJRf0U2+fH8es31
Kf7MhwM8eYcmoYNZPMTpLVHlKRVm5WpYDut01XziInFXNrhqd5HTj/Telue/hyQswo01tZ1PM3/1
3jem3pH0CYmXI+ma9Tu7CFaCIo3zM3tzQ03rN13EQJ1pTpgXMkR8vRJ152zRlE9F+KP3HgwMwvNj
nPxGU4x7UoyiUXz2jQZfVKHtUrxT+UiCUzAqkKA9P8Sbu51pENQmtYDtTOJ9Zhz1hafrlHym1M00
jxV7LYsM+iLHVeXk66gZV+eHOzUj6kwcjScTi92YXbhW5fS1cHjA4o7Ovp5WBjeurQtzevs0T5N6
NcpsUlpeBIhoUyUxcRPNXbtL9fC626AF9FI94/lQVpSlG/kXclCn9gTOHH4IkSuO1GxcMyuVDqtj
6ttWHrPa3dhZ9DTq3v35RTw5jMGRIloLVNqeWQG07AVKqPBqGaW57pvfoVcsQy+4YGee+lT0z4Or
xrcn7aEdH6Osq22SusQ/yjT+oBhIlQta5c/P5M2rxIfCpaI0Z+KCkUE8HqOQQSziDrO5cVWnWThm
b00d9TX9dnFR9d96v0ErrZNu/rnDFr502b5dSCgj6LoQkSNgQvjqeHhNb7Mq1zuc4KHGVvRhzcfK
h7D6eX6WJ4bRJlPGIldIPZc2G6bolYqX6yWmGZYHJbeShALeMhtx+91L0NBTg2k2jipVBVg28whj
EY6ikYLSAtTzhqVSlgDGRfvBc8Nw9/5pkRHD9J/8YfKnx6tnlyS1wdRi1ChKZK60wjTGhTsEJY1I
uCfjpVM9GQtHzgapN4O8PwVIbMs37mIRgHuwZE6wpERTtGzocKVUwDvUukf/BerdQgT0kS/dPO03
0ugnpoFnXZj02/uSJSXfb/JbED6cV5NRT1R6hiTfn+kVjjKUEXofzDDf02azd7x3XyjHo812ThnT
oRWrVDrI4dvgA8T8nbgX7IC3R/B4iOnfv3otibVlTTLlsmqrtJc4l+kGU1GsdRn/iqXiPnpZIdYZ
bRMXzv5sJXk0bV5oal+JbuB+zbdPpOUxejYk7KeS+9QYpuL4VcAwMSqWvelcGG52Ll6Gs3FgNCIo
RPnn5CddNt3EpqetgaLNwgkfzMLfZnp9YX/Mbs0/w1hcmIZCxSsJ0OPljIOozwo4BDRfm9fk5/eo
iV44CCdmQs2JyTNDEoKc9GyICmH6EChGvmitTl/S5HOPiqWxtPry4/kDPn9Hp8kQ2gXSQNkkW35u
I9LUhZsZYxyEDb0yq8azcmPltyDDVmFsjnhLfXVA7qgalh050c99Ho83rd9k4ypKneYRLkcfLgpj
GA5NkyQPlKsXl2IQbxacR3AKYVKBRu0l1XzHC06VvChbp8ax6QTWf27cmkFx4Ri+2apThJRngt2D
fCdu3PEYnaytuktjrJayHVe1nj01tDUtzar9oPrxg+GblzjT08P36q7Dv2DEael5F6cw7ewbRzl9
4kmFnUQbcQpZkbqPQKHPY1FzQm7LTjgHIkTW2h8NfRskyiXE5Js9Nht/tqpNhOr6oHE4qSnap5Da
kqT7CWTlncHNN/PUj1e21zLdiHRUa1o3Icreul87xbhQLnJpLtMOenXDGTTotYPDGEFQ3zfReBg0
a6254Zfzp+XEJuFYEk4nackLNS/Ybt1cxkbPRmz6cCt8eTP6yrLqw83oais6+u/OD/d236s880Qt
8BRf6tCPZ+WkbhS3NjtkwiWUUrkGMnNhRtMDPtuEvLV0JBOymJJus004IdX9ZGSIjk6a5WjYOzUN
96SCh4Uvaft8/4RejzbbcvGY29TSEYMug0ap77NQj6tlqw6Ksv03BiJkqZI1IEU2P1uVaxkit/lQ
Y1tsmlG/18JLmuSnPg4W5T9DzOYial3EEDDIzHcN4hyj+GhZzQWq4on9xivD7acTW8Iamh0dzc/9
moeGqn1F2zmtSobyUUj3diBiOthicX7RThyio9Hmh2h0LL/0qTWYqFGah9q4Vy5K9+f5UU6s29Eo
0694dVTb0B7cKmQUt8K86knK7km5pBc2wMm54FOTVJkYbPPrXBaZr2vtVOablXC56pWR6EtJ/8H5
yZwaRsV9mnRpVTLk0wd8NRmZ9WYcDwLLqu+fSQZ8GugRXaR2eSGIOU8ITJcoDud/DzQz4bzx/5J2
Zstx48q6fiJGcB5uSVZptiQPsuwbhu22OZPgABLk05+PXvvsJdEVqnDv7puO7g6jAAKJROY/WOPk
eHizA5UNrHgRlcJ/Fw6pfd+NuS8OZPFr+0Bb2nIvAxRTRwh0upVGVpI651qaJ4IGPwYkBXGQMtze
6mfSXdDGK4vLj4j1/KGSXuhyP804o/2L9aWWub1RwW/sS0tj2jSuI4jrVjFbMUTo7IDMjLhoZrO5
+hdDbdj9TcFwEzF8/SlNv5CIFpE8WhYgon6IPeV/toczJ/rE7of0sOFCoJAAItqNYqk2yy1z06Dv
5mfEb77lDrX2v54JY7ARAGqDP9nD8qpiVmrSKTMPK7o65iCbz0NQ+rcYP8gz+/LE/t/A2dvOpOZM
C/j1ok2JVY15tW3LXvg/DKFkCFG7/STgTx7entWJTYc3DuUkkM6AAfdbAeJGUYmOlaPdtMGFytsK
r13sn7xLV6XzmTU88Z1ejvb7PL442FZm0qFyaU6MTneE2/qxL7y/NZnhTP9WtSfhxFiUvsHrxSst
J3Mnn8d1UQiU7Ko+KdKjYQ3ruYFOfCUwADB6qBdQQtk30PupdI1i4Bppgkxelf0sD0kwJ4+1rNMz
xLmTX4kXPCF+qzTuu4W+tItVSOaEOsPmCQVpmZfzUejJ8zJ75wLRFvV22QsT++9ou+xlEu6Q5Bmj
JWOCLEmpV/rluszVMVemAU1ZRx6RFmmseU7x97mZQ6RljkRC4Mm7qzknS6zKmveC8FMn6pY+vapb
85zo6altiKMciGv6EYSl/flKh8kvbZIMbfW+GcMUL6l+ZiJbxNmvIVcXQhpwKwnpu4iU+MWixprN
YaMO+DxmwnuajVqMh3HpERRRFcjUqK8TYOdvH+hTH8/cKvicA6iz+/5fuc5jP4vtGb14zS9zxPKy
QV7mqWjbJqqQCItyQ+8vnab4WzXl7eC9HHn37Xq10kxFeyQcAF77ZYo+wo2RqrhP9DP5wYk3HuSR
jTqFYeOJ+2uaPDIqbkoKFtahLsryWEJKuyyXElZuN9cXiPTwyrfc5qDXcj1z25xcYhJgCsnUJcF3
vo4wss/HWQE5DzUv8YAaFbTPono1za9GsqivZhY0v3Lf6B470wFV8Pb3PRV16JqAaAHTRRnNfD24
QgfGXTVWWZoO4nEkLWX/j4l85tvDnJwjz2hgkKDDyPdfDzMhfpcPC8/Y3Lezp0qk6nItvOpy0kb8
wrW5+ChcVVzV89K+f3vkUyeHyE3uTakGw8fdyI6nZUHXA03MHAzuvy5eH85WHdv+92aazjxwT80S
WKmJPBu3+h8emWC5+twVVNELJLoP+CvlF/PkBajeDiWq6qlz7PTcea+c6Zyz16mIvlkKUwylk0g1
6vX6gtuuhv73MS0+uflPLfu8ah+W8lzt7uQE0QL3aLhuAMddKEf1t0xNlzqU1TnucaW3N4at71TH
OhhFFbV6iq66zOvjoHcf3/6Op4IsCTYpJhk8VOzd0FCdkqDWCER0D9qIks18KIK5OpNfntot5H08
GLkyGGS3W1qKS0a3MEFSF3VrjkBKFKiLx9JqUQ7VkOQafaWfORynziAVSmh7lLY2lb/XH68yRZZq
2XY4Gu+TSozL1qm+LM5y5g45OQz4WQ9paKqVewnBrU87VynDFHV7pKZBd3GMlnNwzVMruFXLHAtD
NGoiu53o60XjT4IVVJaEc1ZVWV5irySWLiwol/ohXtx1EE7DIs5xAP/cIqAoCTGEcN+GaruLZW7W
0gVxSD5nD0kR8FDpewGM7vJvNyKjACIhjAH8glHz+mv16NliRAlrh27LlEXg4l3n4BVBlZ3Zi/uW
Pbv99Ui7LT+3RdHlJqFLy2aaR5ZmXJrJ+B1fxWzr0/kHo1Jf+9y8Sez5Qgw2yPyy6C8rZHuizAnA
oiFZ8/bk//CN234TCTHdiE1jgzPyevYDH74V64a99Gov8jNlH203z8RhaGYbLbZG175qaMVlB3zd
+N84Z1USumRdaPa7TdKFadYbqB/VBmC5IU2W20Fp2j+uqDrA3D4SumEnnFyP3bHsfsywdwF21V22
hqNMFdmHr6R7qwXu09sz+zOCbhNjy0KX4kLct+smBFaHsmWxzS6Jg0reZHP9sSrLuFXuP/9iKEYi
XBOsISC/XsO1qkCQThyRLMssbNYBZaRcu5FM26ulV2fSi99dzde5IzN7MdwW1F+8kppAtHnRcCzM
Kb9c3Y4OBbacpWV+zKxsQhR8KiLsFPUw07PLYWr/SXz5jJzQHdp0tH9947sYkESqzSfqCQ1th0Kj
gruMUSChMlht4oXmJt4PGAh42Ip42aK5ZrQs0z2Wx399xTIZ6qw8Y7cmwD5WNvRcUAVmMmW1mDa6
6lb6Lumy/IPlr+pAfwDPHiNsk3S5ePuj7bmOv08jA0I/pKO7CYK8XsZC1eMgBYj6Upv0qDat/s6x
M/lQFR0gjVp7JjNID8GAnGGz6losjcGNF78wj+jLzl/e/jWnQp1JTZgXNrchP+r1j2mstdV8i1hu
iaT+lkFycWOnKovhzHn/Xep4sXmIc/BjQOyCjAebQlR9PZBBDUNNCwr42YKSYlgFy/Mw2s8bJSNE
Lhp5fnfWPg91oEWaqN+rMs3CHAnhTeGmC3u3wFK7zvQYlzp13aM9c5QymA7S0dRB+q1/bJ3JRzSs
6qJUJuOx65ol9jrv67oaqOiLwYqSFuaRLOZnYyLwAZC6tpXhRBWRN2yspj1WukgjpzKubBuRAEfP
bkpNXqaD9VMEyU2e+neyD35B8dFj6aj0Rpg1amCJeBZT+aVK8y7KstLDjGHBHxo4x10zjhhW2OV1
sHQcG73H4Gp1jKgbzvZ3dh/SxyIVtwZzYxSS2QDweL2+ZjM5dO142FVSLz5keFEctGaev7+9XXbB
7fcoyODygtvwOFQZXo+yJhqAdo+9O7vIHI+D2yME1Kp1igxERUMrT8+xwHfJxn9GtCkEkWjoCA7t
RsxnbQnmgQsAtz5y3xTr68WbBHq/njizR09Ojs4jLGQ66H9k3atZBU4zMTk37ZcLC7W8OE+89F5L
pLx3vOEcl38PIv2fuf3vgPvyST+1c1ZtIFKna33EDMZfqH4Xd4XQfiWJV/3ox7H9lejYwjWpoV8W
aAGia6Kfo3nvMq3//AxKoBvu2yQibuvyIq67NpIHTb1wFRu4Suplmlz2kxQx3eTli8kr8hGN91qE
b2+lUxuW3J/XMowBXhq7UZEkFRtxmWpOU8Z6XT0Ha35mt57cOy+G2N2PFUxzrRvZO0nv9Ci4OeMt
j0r7Ih/c5fHt2exL9v9ZRAwKtwIAcX3/otEk+dW4jWWDt/5JtoE8UboS2ziXxDC8NYZUlTEKjJvR
QEtBu1xN7/D2rzg5YVTBOCmbPtk+M5+UMJTUNmxm14pjIJvlSAb/ZItz7bDTWxdxKWr1nEweAq/3
TNopOw22vEyXVRisddy7m58FYrJE8UTIsM1R+uE5GTqD/k6qcyy1fU77e72pkG1iztQEgbW9/gHz
WBWmkakm9GV9cFGAxxGIW8yAMKR7w42nhq8aGUTdUBV0ZRCroMBr01falZZNN4Y/vP/7pacvhFc4
JMM/nyuIFSbz2IJQNGs3C/H0EDdB4bmfdf7117eHOnVeN2brxppDo2f/lW2rQiAO7X8gy45mx0su
gS7Xw+qEqSaCIexoSUzHSQftF7098sldzgsTlCyRmDi5i8Yl1a08xZ4sRB9zvKh6v380/S44IHjT
HqdqoJeS81AS4+Aca7wlbvy6OAcbOxWmqRugCQe8lbbH7qaDhuI0dCLAgmqD/6UalJsgAupBItZU
uVaxr1nBOZWzU0tOD8cyfz94qTu93m1Z2biisCxqiL0hfxRzb3wEQWJdJCnbH7npfwJpu5/fXuwT
Y9IzwvlqE9vjHboLkF2XV9PS0KLq+uEd8pAXTY0+UqO6eyyV09BJxJnosc9MtzPFBJGmA+5AVrx/
utSuXrWYJvF1TafIjzmSn98VoSQ5DJVu/OhTKTMsnZrmUzAp7eBJb/zpjMpbwloYiY/oczlNZ7bc
7938MnH8/aOAKgXkyqzH/pL0665M+40tZ7jzEOOpqB2FloCe4QEXTtmMLhtiaY3dlTHvvSn0G8dE
ADSwrip7Ko+ZJ4pj0rVBhFnQkw+s8GH1kjQUmzUEj9DiWuopatKtd1hMNNLHXFWxK7HW0jzv3kes
NLflp260P2ii10O3wc9qNZNjaUBTbYryIvMg/Talhp5wOR3W1n+qc/cLifsaGmVjXI6NXcFGSadr
YaOrhcGGDH1Vfi+k+FC083cgDTKeB/vK7HGvtYb6rlLWp0ll0ey5d3UxPuRW/XOogmPZlEOIH2tk
OusQ5oX+KDMEwwfn8yimIu6tczHt1HEnyds01YD6U7vfHbXGrDR32X514bck5nSX5yUsswxK5NI1
xsM66fMvVA2RNnHnsrAjOLGyvsiByJ1D9p449RRfOfFAeylO7oNe1tlq9lXCadAfy8k6KucKAbYY
iZozG+7E1UZBBhzjJorHWfjjrFfjiOw6vZ550S1MYMbkazNl2fsCUymXTzwkRfIZvguStjWq/6HQ
wdAZKj3zO3YlUg4jP4MUC9Q7zRpv/0zcnjgBLjMU89bWvO3b8iFNzOSBovHMcSuSr0ElnHtfdO3f
1aV+D7wpe9I+dOHl72EoCDrPmxXOVslHa8g3bkmZzjSS/8z9oNeB1TApViJqt7+8C6vx6NsRTjOU
+MN5aL4UzOhMgvln/GQQiwvSYRnBVe0yhMLIljSdBZu3K/Nl05qe0sOg48YdtmULihqGZ2eGSz20
xZniwon58ToCMwHWykPRbDc0Au+DhoYxS7i6CfLopsIywLL+/kMxCs1XKEZQpPaXsVt6shIZl3Gl
6fUcdo6R5XFdJuM5jtSJlUSYEkf47RFv/0HJtjt8yXAAZ92sxrxeLfUMQ/S966MoGvjyQKqQXLx9
920L9Drob+zvTTqSXusmRvD6vtXQY68rL2CDILTI7R4ca338oJv9p7fHOTkzlPQ20jKw5X1UMSwf
N5+cy6UdygMk3y+YHXzT+Gfh8fVQcfz7jb9piwFXhj+46a+8npe7Tovn0ofDNSI9dLL4UFv0696e
08m1ezGG+XqMZvDglweMYU+S8AW3013ifFZnhvkzIG90n/9OZXc3OLbqRe7g9GsaJclYibnAsDVy
jfFoLDZOR3XPS+dfTM0BW85WhJKzB2ChS1J4ecKYFGmQVU8L7DYHlL5HD+30fzHU1sjcHDAR79p9
qYXmWBKgWI86WzP4UafyjizIVxiQUZr68H8bbPfJzG6Ys8Hm/YJV4feMvCosmlEPF907EzJO7Q2P
8jRXOpvvD2xIkYyBTTOcisPQX6f+dIuF0gd25Jn5nNobL4fZ4uOLikI9KrFCBAIuoeeIuyBLf9db
OpYNldfcrE41nelwnJ4W6AzoALCP/vhYaG045URyoBtYlHoC8xC0yhayxeIc1PBUaKe7/79D7T6V
IsOB/cjUyjq4gPT56Kv649/vBo/UA5Dhpn3t74KfP0p7Gd1tiNG965eijZwsuMER7+/6eNtFjzDT
/46zz6yFBdhk9tkM5jSqi3kRY0zzRT1m0rfOnKaTq8aLbcveUALexz3YS1qmk98iZSA1Ly7LQLZk
zlY3xW+v3amAvr1euA5hufGYeb3zLJxI+sRk7Zz0IentEM8dfJezMLW+DTgdvD3YyW1OAYI6EvkZ
lLrXg6lA/c9eaLJ3TZJ/tb32ftXMw1YGenukk+v3YqRt2i8OlD21er9qRKM0re9RTYqXIP319hB7
eaTf2wHJcJ7WOP6S+e0iXlOaraFZ3IWFkuNNVujWOwuTiGNVLrjgQYO56DMlo3Vdnr1sNKLgP/au
lFV0Zwmi1e3tWFmrRSu4cq9ne/mVZ6l/kwfCPZNenTruLDdVDhrssPx2H7ntjLHOFzZu39MedMzQ
M9VV3v8dR+Q/6wFCAEQLeN8/k9QAjxZni5Vl4zx6VaWiUS6XhbI+YFABuq5dzgx4clrAdkzALcSw
fQm/lI5d+At71527g5N01zPEUwOnorc/9OlhNislxKp4Yuy+c6oCo0bTvA07f4Ld92yaKnTKvxQo
/s/qQTD6/6Ps4mQ21MOC7hEyUjgrh76Tvnf6sT9z2k8dQETaeUoAdd5Eil8fiwDEawusqgUl6quo
Bxd4CFaZ3Qw0cOJJ2tkZvOOpY0ghgk4E+iCIAu0iswySvHCBs4cLuopthDIBVU47ay15ZmKnBqLW
QWmTDBgEwu4bJQmIYp4QLRVLc7kasRamqledw6udWj74xgDymBOXzS5+6TiI96A3qaQt04dSiMfK
07A+WNoqTP3x32RUVBI2YSCLAffFBAoDanK2jEpW6MAYc5TkD8iUHt7e3SdX7sUo239/ESnXWR8S
TGkptPTDdGW3tbxYB7c4k+CcOkOQ1Da7DwCpyI28HiWtZlfHcp4av/K+LdnEqkntKpfJ3yc23qbl
wCdCSpaC7+txTDHWFlaufKE+uAD7djdjEefk1sXbi3ZiOgwDnoe2HgXV/XOrSZTCkJpFc/QZKeG1
Nj7LcYRA7bnq49tDnfg+5DQAMmG6A1HaI2mtzhP1ZEIKIrJTY6vMXz02qW+PcWo63GRcZC7JhrVP
B9uUKu668HUG30+O6zhySWDfpiO/8fZAJyqmtM1+l6UoTAG+337Ji92GueNg2As1htbrFy1OW77l
HTo/wohW2Q122GudmOLG9Yb+ohRrRcnSVcMUZUmOD6woOmRf7cbVv7/9w06tQAAIFGzR1pDdn2ww
PZnyPAKVX9hXVql/tv3uSjb6j7eHORFA6F7+d5hd/J1U6ulA6Xihe1P/U+vb8T4b8gyDVLC1y9ql
ZzbPyWlt17GzCVT9QQ0N/MToB4vNY3Q4TKu8+qgpAN9z4TnHfzEz+LiQfFAS+KPcaOemVXk4gIQK
iAhCr5HD62zMmqNIfr490sk5vRhpF4Sr1arbZmULcQ+oGB3seBr846ijUfj2QCc/FioCKIeydCzf
671a27JNarnZfdrieq2QshVWhpC9OcX1uJw5gucG24VhngFt4TpImmVSv8H3807h8bfhlrku1/zM
zE4v4X9ntv33F6eQyli+YgbHKczl0c+zd/6sLoIsOwOAOhW6kOnacI9gHClcvh7GQvy8KAdysjVb
npVVFxva6tydfGKQ7SoG/Q9ahk7uLsVwnHyrfIGTSdVghU4/3PS++f7tnbD90F11jfBIUYOrZWM0
7HZCphGs4I+1aDWry9R/TgHc6fmtkyhEDw5vj3VqPshxGFSw6RpSu3+9aFkv/WlzakY51Y09/Mnp
icT/tyG2n/Di8weyMO1iZAhC8DLEWVUYKjKXUQ5nNvXJdePqIirw5PvjXiH1H0x6nOwzukae/Q9a
H++7MThOhtmxluf0FE4u3SaowHVFIXlfBxgcqfdLt0U7ZEpFcmwtI3p75U4cHOAePDg8c2NN7tML
Q5DionjZIn47KvBCCO71WRIcBtmdeXScnMuLkXbfqJycoAEySAGgncYIv60vTp//829mQ83OAl4H
FXSXNOdDlU1aPfN5hv6Z+lkSVbX5a5SVeWbZTk/mvwOZrzdcmUJFq3+b4DbBWkULc9OO/mrTOXx7
RucG2h0efH1TF3Yfyaxf38u2fcRh99fbQ5wI1GyB/85l+wkvDk+DSXMfYLQcdrV4563NLbL7R3/M
v3lt/eHtoU4eH66fjXxOnrmnACXSr4IK6VPoTU6sUwAq1pvU0u50W4Ve9+ntwU4u3YvBdkvnFl3T
JPYWdxKjxU1jeOdAnDizEU6enxeD7BYvEFmpnE0ts7eCX7mnfer8/kdjBedkw059JGROebBD9KQN
vttwazBuCQkfyXKCC40rAetO5ZlHnon/YkaA36hiuvyNZe3r7TBXWsrjl2UbsD0oau2ItfEFgrgX
b3+dU1sBo4oN1wCZlC7g62GIomO/dhxVv2imI7ZezYcCGnPc1WZw7+H9FwWabp6pr/yW6t/fey9G
3StOA63vqEzrBAiEC8to1VSehnqCsavtDkhvWGb9Ts2tF3tZkV2WmLE+0NXoPq5TM16I1tGQcswB
LSerWzwWqVW9L4Na3ib8hYHrrKyHFNfov1Tu2CopW7a7Mc6pPFD2er1WtZNYYPLYZPg+VpFXqA9Z
Vx463nFn0qhTu2xLO0x6YQDZ9mnBFjGDzmGXBej3pMq/T6l3lW7yJPGYPTMWYrLbCdx/jd8Ui424
/yfVSOlipCmwOKFRrW4ZAbrMymg0C9nel3VHo6DQR5xUXeHJ+rhAt7eO2dxLK1aZ5Y33WACXOMUs
6WJc2PxJ6mJYLSO7Q1wptd7VPUV6CA9uPTeXadvozYeutrL1ydQxrP0wQi94n2vNVBzMPKnSDwM6
dum3SW+rjH4F4jAlnuC8iTdK8FCXH9cZjbtbf0KNNpZWUXnXVhPUX4Mgc+3LxRjS9oOTlbl3zCpl
ard5ZWhLnKS9ocIk8xomaUOrwt96U99YxtXpDo1yrWEKA3jH6zc/V3l+wPRqKR5kFWw2cmPefW06
WbWHunFHM2xmfa4ie/TZCi1TEVej28w1NueeKL9YTTHOuAitWQomSrPTr8B3AnVnFaa876okfVaj
zMxDXXt+dbmuom4uJkMT7aGlDjV8gFiB+ziqw/jZXgAwW7840lW4YaNY4TxVCPuBoFEdMsh5HejF
oSAXymN3LmbxbslnfOk1Wa2YWuoev1VOtLPCAahddY1zTfNuNRLTjDFKHz+bfVP+0NbO/FzOuccC
UIz8PrhivOWZ7N63joXWhbc42pVVLfolG3390mBO3kSBbUsrcht7amJV8+9gqnqVT+9xkhhYZKMm
UT/vgNG0SQVWJusnWCApe4fORo+scpTmbTfECX1nhIuHcvyRL3n1qFWGn0bItA+oGqG7HKGUp8pb
6TviZ6nZ0EbpD2p3JoWLQ20nyzflDPPP0VRQYzoA6G0Ep8x7NIxxiOgyiD5Ua7ehALuu/Dpqgwfs
exiHe6znWuMgF9f4mco5OPQ46mBZ78GdDBde52XkOZlZhEZaLU0k1TJceqbkuUReU9bgOdWMGHM+
+OWlHIzp2uBh9U9RSCa52q3ph9LIUWdHiXbxD5m0y1uz653jvC69Hdm05HCyXzI0/9JBl9eiE8uz
LDrnV55nKGgt8/S+Nob1k+6nqR0xD3lp2ENxFMKQ5NMi+dXqa/HQdXMXwLuZqoMUTvV9xjO8P7o2
VfKq6f0fJZO/rPPSuxmonz2kZp/+lIsuHrQGYJNXL/Od7QhQQuzbo6/XXR7WGgSQNjG7RxzpxPcu
q3j7eEKMz8wWQVFKOMExH/uJXoOe9TeFpZzbSSXlL1N6wUNhDn2B1mCTyVhqJoqDUlTeO5n7nh5l
Q+Ek75w1ta0YO7Hkl/QmtzqQHqhjbbKlUd3ubU7dqDVgfLLmJ9zRfIzHyS4caKbtOsTzYljXtRoy
7qagv3eDsT9oSfJsp/KL1RVPwhu6aBisEhs4kWLztJK0z/Ntug4XhiufUM1FLNeRZUTvZTjUo+VH
aPV/1lUtCXzuZ7iC3COGXR9Ts5y4n7yHCoQOTQbVXKfu+K0e+uaot6v3KXHG/oe11OlDlVTzIXfb
b7MX3Nej+2toNePB81p4C0uxXvCFGh51Vv81yWBT+EF3nVS2EQ0AzGNWIonU1K3hWrSoaiaG8dSN
/XDZi1l7KNJMh6KYubJ61zWteSfc1jpi4udG7KA8Ania36lpuoKNUD06U+p9R/J9fuq6pe7ec1/Z
h9lJJuPKH1d9iizV1Xe1ldRpWFdJD8VEdcH7RTOt65Hit4yMpEaC12oQ4rBXMXzO1nUMRTv+zMfW
jddB+PEyrfKCnw/qTmjHIgjW0PXbIsJPoYlNoHHHRjRmNLCuV8od7Jhc7DbznSu37vHo2+zhNcO7
SBdZXnNfNAw3dBb9lUSLWuHX0bhMwQEE/Gen7/uD11jOHeIhMORMp3kQKOVEs9U9mZ1mhrrXrjeY
vafvx27Nr3SBXnljWndjZd7oQRWgCWOZCEFbdaS4IELRBY+r0d1aWWOHZeK1F0ug1icp/TluiwXe
SGIcW9mDIVTeHM2Q4sPE5igbCkNBaWYP65o7Ia8oOwrq/t7uEVdv3U00ce2JNpXlH8uqdlFq9zr8
43wnFtIzbybpPGAV/U3jJgvTYNmcS+o1WmSKc3Qp+gjy3XQzUa8PHWcd0QmEUecWECqt2b3wReGj
Rt6k191kXUMq80N3KJuo14Momar6sPrZRQEyLTR8aC9BowP/blf36IgeLeBJqrDT6Bh2QdPEPb2g
aAZc+Y7ylHeJzn0W1Tmb0dIfFa8o1gh7Fa1MWBtnna70MS+PrsImA4bUTZsD7zW5RCLNqlfQOXoQ
I6bxHIyjEXajHA++T0OmymD6GeKbaDx1q5X2R3vwhhg20xPW0VY06HC3YXupA/WK8kp5RRcHqT7G
ZSrGi7xcnBstabQLX5/mTx693bDQRvugK+9GTDNM1Kao0LSfH6psELSbGhGJbja5jc0rXGfaC9k7
l13Wx4FqncNa1GD2svx6zEcZ5+mYheNU8J21yTqsrvG1H/CIhWDbhVnDApP3r1FpV9VVUUE9s9uy
joy088O6rC4Wu0zDJJ9uaU+t4SBr0PZmf2snXE5Z6VhX7CqN9y7MsTIrPpuTjvja1pVN14+ZKkVs
V+NNW2sfPG7tRXjPhVWb0Ti7l3iHg5bwsgfhJJ+kvXbROov3SWs/ZzZxPaiB06Z2Nz0iGyliln96
KIJiPlbStGK9N+JE1Sqag+bzXM7Woc3nJM5LSu1BUwjexo0W6emYQtgxmwNyY4KeYyqiPCd7q6XT
hzW187Bayp8SVaC4RO88QvzIirPR+5GQvBj58gVV6Gchui+97O/N3n+XZ/JeBN6xAe8fjvjvuo2m
PeWpcV97mNPNfrMcrMG/Vrp8Mvrkfdbr1tFbjXtjWjIsjQb1q53x87ScXKBNWesFf4y/iDycywpn
n2koruzezI/SdNdIwy7oSiGYR+LlFOmdZ5dj5M8628LX1oMcLYcEtdAPI0r+F+045O8b0FBxDUz9
pkhxZk2qZXqvizZ5agJu2N62p/ewmK3jFEzNncDJ/QJrmuJWTWbmHaARLCqqtNrxD81cdMujLgYO
JSI1uYoDt+kuHeF9MpzcHhESxTQ11Hp3bONkbQw9LEVNiO704W5wrIvU0nWE0crkgLTJ+K5UnfY0
6u5CoVQfYhbyR6o7Q1h5PQjoec2uJjUFoczmldjcLeQbXkIuPI2HVnhkfI7EUcth07pLnkUYCWTo
sfgiXPGnvAyC9EYl7TMGl2WUB4b6XPeBPMzV0l0FG7tX6m5/U9a1CQYkQxy0Rb1F1g+21b8rHWXH
zrj2R09aywMiBfYh0Yz5WIjxMl3FckyN8SpP0kv4uwuQ5IYGlcjzi6Xx9LCx6vFSm2GhOEH9zXDX
9Z2UKXFNgEprIajpqx9cIaMWXOt1md4NJcvCqhpXQ5LBy8Ef7xM4c9LsAicE08zus1K+a4Q9x2ia
cu6m3sIdMHu0V9VcBKldRUnX8Qe6t5OeAECHLRGRH1vRpKEQVwhlxQ2f62clh/oCTumHNbAk+qRe
D7va7q+MiuK7GPWDt0gX0c88CftWFNxz5Tvy1qM9zrCHnGAJk1lcOgrH1WS8KvVpDZF3+jqM0w9B
iz3q0TG5KFByjv0s/Tnm2V3eFVeiEld91R8trSlv7bG4X8mU4ZlVNjkmEURv/SD0gskP6TSkB8Qw
iZ7zRJ7Ey4e0DTp6+R6vq2tidMy74UcxiM/VNMdJNawPkqZyJHgqRrRIvni1sI9l6/w0VF4eFs/+
0WRsIRpgZF+KAO3I7gpk21GT7NTJ7G6LZP6YJllwMBXSqlS5jXnjMH92RjOJUhO8Ziia6kk4xgfD
rx8x2Q3udTzrbr2p5NUwXNYmD6tF6j9mvTz4bTUdA7dLn9yEAF1rRhE7adCF41hdjqq6wbpXu9Yn
AgN+tQqN5qq/9QvelsibPnLF3ozpvIDhH2+Rv8FRt1zCZkGWOOgrKMlDcl3la4yc4ld2dDR51Z25
IH3PA1kvkidjmXmxqUvTJlFfMuMbrxbELOZS4pGZ5UeMcbPYE/4QFQXoQTsrQGTOFHBo+wQhx6mI
qilj5zepFufG5Eb5bBWh7mYe3ORRRo43ep+UlxpdKN3Evi5zwL7Yd6GG0Hd3XQlZ2svaHIHWkrvA
9G5rz7jA2y+Pe2FpYa/zS8qyfBpmv0dQbkABABMW3hQiiF0Y3dHKvW0U9RMt7RvTGUS4GMu9yqZf
ublyj7euEZZFNUXuLLPbRCz3CSlrZM7G41r51gEsJswLSDi9rb71aSXjAmZv5BryZxII7x6jW4TA
k+nb0oxfy9pM4S+0WpSOegVPzXysJusxrfqLLMkA8M3BB7TQkdN2/J9onhQRJJMqynnHR1LOBd90
JG3Jh2eldd+xnfjHzUjscUBurro+UVyNZnfUgkoL5WDCEqm6w+QJHkFBfV26crz2NU/AtTTWg252
8mYUBkXvyv6F0FyGs575SeC0zuz+H0fntdQ4EoXhJ1KVcrhVcLYxJnPTBQxIauUcnn4/79WmmtnB
lrrP+WODfa38K3W51aR1rjN3Cti8Vpb6ZDcsySEW1UM9xw9dzCDUGa0vnenTTcStJXo3Wpv0X8mU
7i9juW/X8UNfiS9YG6/giKOKXGvjR4VAAOpmLt3onBAD/s1UYGPfVb6mxt1zDh7S1DI3ZCqf5yTz
otkSTjBQvt0SiRc37Xfsils51kyCq9HenNXcLq73YyQpze3tTNZRZb6x8VyNPDvP3hgfqQ/8SNM5
pndYeyequQi6tKkCu1o/KgXrjCHcnZBL8UiGwbwZCAwLVJc84CI9TewSj9JujfMsJLHVpRVYxXQ0
FncOeY7DIh6O0otzH/pss87pFqAmv0cs8bmUxj9VryLyupRtEmPLD2xcJcd8Vv9Jp/uI11KJuLOe
1zi5VsbyjkUmGFS1Dc1E6VnOZzVQh3Qr9XzvzPLYr+UR42gX6IqtXuPC25cKkEOmp6kPoMNMNnm0
JY0W2F47yWhshMGdKA9y6hGEaHqYF2TMdI59S0TF7a+7vyKbnpLK2XI0PghNmUPFnP/II+995FrG
rrP6r5afx56KGYNnGxnZ+Ms1fCl7L428nNlwir2Loblhbio3O9aGMK/KRzJJ+yBvzI3RUawzik/n
XvUz8EAyWdIUY017bRR/ttLIHUJ4IlmTarfG+IwgGBAdKwTNFmv/mzRpjMWkAUyYIoIXXpO0uKWt
frcmvzLnnJ3G/h5kbQacO1XUKrbjD2qpnMqJYHOTXOxeFM5W1gQJufwcohkHf3STMkrxx56nbvUY
t+Q5U42DFYPTZNOP17vvRMwbG9EJcbT5s/i6IrHpU8044AMPFte9NAWbLgRSHzrO2PlxMa9+tvQk
hujZs0zMx1Foj7qoO782he7nGo8v0E7UEgYLPCNupPsFRWml+0S6/dbtOH3MgrUv7l8T4mmVoYZl
jfM95esvnlIdldbcOb1yylp9bwkRZoXL6JtYW9A1GpoKl6uhCnX6wXbuan8sY/zuLd2WRANeyWS/
kKHvE48+gk2tVImwXLa99+TaMgnnUsRh2zJvqNMurXQ9kJ5yjBkFgsoAWSJDbNu31mm2rRBSZgnV
RP5UlWZjRJT7si1aH9Je3fd1uc2GaQq4YuTZzZVf0x4SXxm651h3Gn+mZ1Io9hFo2R8bAwy8Aurq
jCifTrwCEZFQUWt/i6R+1Ps69Pr5Jzeao+L2AcjtpdOL24gr0OvHba2v76kXR5PhRHO5rsi6l6dy
UEIj51QD+fu0dJEEzpSixxxCrzDVLQv1I41S23h2tk0lo9YTQa3HkZLpRMOs0QRLktJU2NgOqf8c
rUZ6yJdf7w6osR0xG2nzc+XO73fDK6Vy1lNvDdtOdYM8JTxxfRu65Yz6+oInDUugx2PXFJHuzH+4
WO5oH1k3sVxfSrm8La7+ZNXIVKzOOhJpqGynqrwtPEXBkCq7Sm02vRnHwWhbD3bqPCpJce4o4yUv
JtlVvfnpls631VvvBEDbgWXysDRWH3mmvaPcDACua5po6dVi16fFvi1i4rbbdqPX9t+iFbzS3aGY
OKFMdVeuDkbL8cXNy52czCPkxDkFy0na4pJ6JRIJe9tR7kjUjH1okkb4mqbsEhG7AaWLV20wywg3
6IRSdnrwFnHstXIvhXUymgqZpVgWP7XbT0tMQeGNhzJ2KUqZUdiKzl/rZlOWyk7pB8Mvk+pWlu1r
bYzX+1DD49EcKFKoI9ZkegOKYlv3K4BEA75mvVh9HNX6RVemXcHAPFd5xGUd+6nS7G0DUn9e9nRY
HfnKz0nrPBq9DFNPieZVPNQDV4CbuI9JPWwVvQ5iNwZH87zcZwmApyutVwVlWIAoge+ImW9sxwuy
5w0xi1vJ1s+Bm8VBrksz5OB/yGJlX5RaEcip+nGwuHB4+7ouA6+bt5Sf+07GtrNC+2XjvzpTP+0l
Phlm8aqo481aZ+qE5oVfVad7uXRPhjVsuntGilm8K1kTxosSLcbMjE47t29obNQYwHZFPwZtHUej
PUaLbYYCEAfGVFyNpmfYqdNdVtiXUUxfqzc9u97CRlwcCe84WLN6aHtqThf3T2WL80mFMf2uFf6w
jJfedpygLByavNSIsC+OzfhT0c2/eeyfxgFxSyPNN3fMrGBNvV+hNIo/4UI4pPqSh1XCFDPhGlnW
7FTnaubrrXcwSBiNCsPcN7O+qZ1ss6zW21JnQSX4/mvtUtjNR2yJfdqnh4RDpmjACy3ngiY1csv/
u8bmL7U2DvosAoHZJlXWP63oQjb9k8ZE0WZ6OKXGQ6yzP0wYwc11OvR9+bdU4EVFnp49IIvUwAIb
f1eMjL2adBtDtHtRTLdFf6Lh8A3ChrHaDe2k33F9+GO9XDttsAIlSb7qRvWNajrGVKhanUk7ojE8
0wfxaCs53ta4PTRaGWUZuUzTDCgl4toNprZ2ghaQOajFCCkyDV1IRPwe+OtbiixqW3pRC8+9zXYc
1Eo3bRyxXknBfiUjg0Cntd7Fs/JPk+XMGlbePFWcXDXXw76JX6yMDbBY8g2BlqG9Ar2bo312l/Vr
sa2rlwGSAFBsCp6BoF7YLuYJfJF8AMCI0jw42rjPWJytodzqZY+oU7CmEI2vOkATWL8vdztkNTUh
o+FtXSQak8UfYT2otTgnq/5Vx9p3XBHY6fWbeO5DLa62qZ3TS9kiEBhUc5sJ49C5WuTOHvRKtyE7
7SG37RZQxzk5sBhRHndhL8efhPibqrcusmZ+HaZmP+silLCS3dy9VnqxX5Oh5QUljN4eiJXp+3k3
D813W5lg2Y2xawdybqQaR7PeXdQB2qpJT0Z/G7seFHDV9xjCCCewHpUi/ZwWO2q8boP0/MGCJCra
sBf1sejdyLj/oLa5wUR57ApzVzVuqDnKE4k8B6Wed9oYn+d5Sqhwbsm5MG+6o4aJSSTM4ip7xmH6
xCevD8yu4EUt1GzTGXLTr6+9MfLP4ujGtRFNRf6XZu6zjeY6LM3irhKSy0Z3RRWwFpQBPNxewsQQ
/crDWutJ2JTMb/ZKYYZmETsrQQ91sRBTyI6SyyxKSyqviO43/EZkv27tXlZv/jFX59HsOWPyTHuc
hEdzXf07OBLqLDvAefMO8noZLk9786bCMy7NeG2G88h7vNTxy5TqH3Lohg1DZuLnSJmwyhMuMXVb
UetRwq7osQ4sfPbK+qRoHW9MFSqKjpp6EH/qlOzyuaEtqCEfExjHtV548aMieatjdZvr7i41eZpc
tql02oJIBo3jRfmaa77A5ZymLLKF/KaiZjfUetgZbhgr9gQvQTBy3qtlGE8QXUY5JZduRRHZzOCz
Q6nZOytjYdNM6JNRE/PDmOgdMFLPHFY61bmJ036DSmY5NguZBq7ddZumKuUjUqfY15LxZ4ztOiRZ
Og60BoAwV9XyC9YqIZO818K81WWoWnI4q3pL7JAK+iQq471N4jLQijhSzeIvV6oDg96Owzlypu+5
nkics7djuf62Ugsc0Iy42PZOvG+9EEUsKnEB8ooZouf81pyaUQPjs9QPS0URZ+MdNJA8MPNz0uPV
ruIh6GZ9N9bOvqaYKcsYgMq8Y5Juu62Vk4ai9RCVoz+PbMlatbXGKrKchQdWvZbQT4L3XRBWNlRs
5YYDkTRRmTNc1f/Xz/HckxzXmcSWZWWYKfWxRKTgaFOHBT3fQwj6kiTxeGi+JqFsx7tlnzqjFU9a
odNqnqfPKjm0PrWyp2Ie3g25np0718xuIoZ33UGM1zY+dtBDbcdwC03gsnApP+NE58Rkkl6gnfmw
Tmmh72rTDVikOJ3znSKdgzNqb4lu/9hedS5lE4F9bJXSASMmzVtcgHKyn7Ry+sD2aK9o5y7KdG8j
R32HiZMvTQshXjdst2RhFYdGT08zRIxuZo95DLbRbhCmwFvk4o/Mmr1TQA72w9lUOT1j/nSKeG1i
PUjBfJwONS4+AmveZjkgEgiQh4BAKva1zF+q6blisZClDBzAwi6/ZqBDcEM0nc7vmT0GQ/nbpc5z
3Ni7oXIetLl/0US76bv1N+7HjTGisxjTaBWJ6cu6+JxF+iTGEWTpV4wcckV6c6ZqOzf5zuhJ5gBi
kKWWMdnxJHfxh1efSzXdDlwv3Tz82FV/JjYrRMTNYOoUQdnSu1Pa+taZ1DNJjP7qslV4zgGyZD9k
w3Z0X/i5wypbbqMBrZSA+Qxfg7NE/f1p1r1D6wwXtFPHKjZfFb150nDvr9CH/WQcpaWdMvaUaWy2
FqlgRsLMCOYNnNlny5E09FMRV6E0JuOg9fGDGqfR7LqhWoMyF/Gz2aooHuSh9rg4lfEhMZdjBjox
9PTm5q2DyhbMW1mPYnW/89j277IRT0l3ikfF+qw+d4l2FNqfuuZ7fbWPAwN2DRqYLQgRGmcGPqk5
C53xk7fh10PwUibwv3rxkC/7wb7CaT4l5JqJpjtLIpvrcrkuRntc5cEDQXHXxF/uTKPQtylkweIB
x021sa9iZds63dVojRfidQmfBjF1J+e77NOfOhcWiL9dAguU++L+EQ3Fd+7Wz5xQ4ZwPmwpB1cKd
SVpokIOJd6n65TnDaRD5UZPJE4X16KHgTOwpf7er/E2nzDEYZHrORcr5oDx5qcW7Nx0qSN964CpD
e7u5EyyJNXc+PhiqMuNjOq+htdoXOFWWkGqrwZlkWXWshNhbdRa63QBqB6GU8GmW6Ymv58ojdMrn
5S+3cyZHWo27Rn0tiYtwtPZv1ltwqKWNJrv69PQaHHB6GvlkMmpa+7ihRMFZn4XFBZbo9eLb4q25
43pW96zFAr5viLKm26W6aANz0LcT47FfA3bwS4MJG/LQKY9GM1+pZoikqT063ic15pEBZ54Py6s2
4+cZnSQqgcFWF+wXwDeh1VLlk/VY/8cJorvW8OR0yWu9VntNHzeJcRND9kUiQ+DUj5NqhOQ8HrKZ
ZupMcPOvoSLaqF5IV1oqauDL0BbTxq6To2EgjHUPg9TYYxpx4T08wqXsHKN8yaRxWByax1NuF2/Y
ID0JxFo/KPbqGxDDrfXSiOmhdZQ6AEB0KRBSqVvcNpryr+RoAB+h0iP9nU3zOsvppDZv48jVyv5R
DelV7XL8chAFcr0o6rpbx+IyLvWHtxh7qAK/QY8iujyg1Q0dP4BkTrZHzBQsQYTHDvw5y39GMknB
x7FKQCYMRvfDvHfg4aqJEs2OTmq+Gdq4bfX+kLXKo6qve4o2X+1+9o1sZWN+MJUymlvA0cZ5dNp5
l5STn6f7QVwtTsuYMwUJSbv+rXkRjOu6aZHd1qW9TTCxq/mxml+5MQ7cFn9iiiO9VnxXfUldb5eO
xaldxqhquw3I8Ms6dNsin5n0kz5qrfVVsaZtQtyMNPq9PWQbQgzI5OO6gNh2GUO08XlSrDOOjTAb
3UcTHIQIL79ov+xmCcEWA5KIzktl7a1O+LEYo9nMvnIYFLMj+YUEaLP3/Hw1Q73XiaJRSCLKIqvW
NgnZZmouQ+3/zW2mrk/1XnpF/U0UZZsXTMp2zbuJV/dIwt4micHQm+k6dumpp2aLEg6WaoUN3DAj
Dr6wTbHszmMLrKmcKtN76yvvPCTVO1DLv7mKTyYlpuDUe6ncdYqSBwBSPlqtQ5ZBOLZqlHhXZTLf
jVQe83za3pcctU63jt4GS9EG+IM2kB5hpSnAxb+ohQPX423vjL9xEMcW7FNRXsgRQldQT1ezWA4m
OgkSzW6lbqW+JuVlcsZTb9ePrTSjpM9OskI7XRn/7pwIdQTXydTeZq3c0WGy1SsDD9oAa08+atZE
GID2OfKfrCgj6ejhasUHLS0OnfgSc3bhkoPvSxHslEyP1iM+qs09MZ4f+80w0xvo5QdB5y3CIRC1
WXAelWaUgwM0c7Fx4i4Q08tScDlZxsh5hhRjkt8zRHa11Eed7tyOyaATI+5oJAcR5YABjVqoqIiP
5ftd6oE4pU8XSrSAl0ml8WpmI+3sKpsEBHo+PFgqJaJJT+8W7679rCc0UMMYI1ywIg+oQKU6vUGt
UbehntjgptU5ASO02osjTkXy3XQxCi+sk/zVcJBfciQZovrS6R+IJqreV00ejHXiMPMAFAw4MDk9
FJ3xXilkdeaoGuhSpkBtOVXSDRz7WCg6u+h10Fk31H/54ly63IxI2/gj8/dCVMompRm5zlau+P40
md+mRLKfzZFcM38RwjeSv6FeIkXr4UP/2ON8t2l/UplsFuGc7DkLlK4Pi64BBEvOOQO5651pyQwS
qmhDNbd8eodOAxNuiXbR1znt+qw7CFYs18H7JfdCTUiXyvy04Z2y9OPSvfctCUZtnvq5PjxD7Zlc
DPNlzI1vu+VGXofqwij8UWZFNMZcCC6DgO+aTLF2M3zlVns1FYJfauxJLu+1Jr7tEvmalTRMRXYV
DCSAeFbuA2oFhpoURKPKaNKGx7nPXgqaFob2jlhnG1NB8qKl8WHpkreG/zUG5YelqE8xH+iEck8d
5F3UkhNuWvut44Ztd4vFd51+1JYamHcSz3Lh/U1kThwrA+3d/PGXrVUk9w91eZtT7TMBffcJ2/i1
GtXjdxnhZ2x9l8QMU339VarLm6vr18ZqPlLN/bSGV7AHNdIXsRVS3RRW8gbw9pm4D3OZ/fXL8lIW
225ZN1n77BnphxnPG51lqE6fyMT7UKfy5GnI/Srtq0+9fxhD/Vo7EkwStLn4pTBpV9rpt+W0+lbt
Y86pGFGKF3uAN2PGpVb8iio7xYJBrFSWi+iS9ObOi/hs749kVvQvaWq4Oy2+V5iSNwFErKeRS//2
Y18rRZhC44dlyYzYrroa1bJzj1btEvVV91loSsQafcZUqKaJETSz1waCTPBdOSfsgGZfs0Oz3y+q
noeqkTV+5vQrq0QTHxfVanyv7Jtg1owGsTRtm3Hifk2z/bUuRLPCvH06Ol9eod1Rbb26FU2VbYSz
fE2WJhGDQQYqMxbMcnZMP13il6Eh9KxUBiYGvTmvsz1sGxMUtJN9gfRpPiaDMuwt/H4BKEO1URxu
biTD92JaeZ00qG8CidBYlnAU2BZ4EsiQcwS/TQGZ5czWw7i4N3dMHZDUwmAIayJUoRoeMS1FmVjq
WzdZT3aNs0qTREMM1bgdO/sr47Zj1qRCzompN0dUDHsTAw+W34iZwyFjfE9NygPqelfAOVFnpl31
zHscLfBry95lpGQFBJkmdKLCrLvDk1sOu1rlf0GKXp3qG9ttQ6r+9pMdf7lgJQ6QiOzEVVFgT5e2
udmDcfLa4c5dKc95mh7XxgmhwJkenf5b8gLMOrbOXAfZmXzHLC/81mSl8ZnGwkh9pJLtHuHvN44B
NWjXZI7WgvV20kYzSNwCwm9uA0uoJHy5e76ef4Ze2Vvk5vvSzh8nWW9HZ3kEKiujFn16aFjYtBF6
ALBm9cbS85PDdHtnNp+nBbdDNr+lxMrsJOJDqnlylHLusC9wykHG1lZAisY35Zf2tSgqoC/REuA4
olTtZRauHEepm+2pkj26KsKSLun+0VeEnY81muLA/Fnrs990nc8y7zax1d8GXX1S3eqfuS73Cwho
jCLMgWiR+sc2lJlYvmRfqlVYt+ancG3GDUs5mERk+kPa4JMdi18ttTWkgpPjdxUzQVVC7JYZT65w
v4RZSNbXda8nCxqCvJ/3JPI81HZyllX9b8WuD8g5fPO5/tBnowZr7mz5l1ekcp93fKu6DyR0CgNB
tUHSdCl4CMG6i0OQxQDdMbWu8HEIjMGUTKQcyulT61cCqdE5rutXZq46aNKwaTC7hZ4Ql6rKznrK
Mcf+kvpjkeabYVgzhJXxphNNjw7BY7vS2Lh12S0hQQ5NYPJq+bKvvnqhP6283CUvNt/imqJ852VM
CI/dDwZ48NTGKXQg+rfSFIM/2+ov2MEcLV2JnlJUr17d3evj4Y+ErIh57fOoJ7DJz6gT1RaP/hdv
/E1LlDbN5KDO7tMHzWnycCzQWFD2uuuK+Zf9f9q1na5QuTY+Zq69g+xmMcr2CgLFIKmnsLvDnGau
gM8jDSka5QD39ZWbblTzN76cUK9MM4OniUkAoc+ZQETVp90QrcioMnTfaf1J105WnRjhWo4Th4KO
tJi92ZEcuEambCB4NsmocjvnFlty3G/FUj9Xc/7FZAYsUmvbnGIQokkYLcf4YjTsbnSH+BPy6KCG
763JktnYQrysi/3Ql/ZPSehr21VhnpfXsa0/mx75Y6XARFJ/FKaS7UbXn2pUZaHHoxZOnUUzRyIU
35yrY1OIi+kNp3bWj7LVdoY5OKDLH1RJq5t8sZ+oo34Z3XtQPY3K5TL8ZEPysAz9vpTOWUp5sooG
3kdOOzPRrm0KEqLr+ZbQ44deMz+7In5bp/EVI/Nbos5d4KjGEbJ0o/YKMLP3T19GY59M3RwuOkhv
KrVht7ojoNG6NRL1F1bLl9a69Upr39o5rwyVTUsVNyE50kgVu/jqlGTqYSsKhDnsu3pB4q63H+xf
RqhYTgfK1XzVGfyTKjknIcYwvxQ3Ke+D4d0divEbwXjLwyGt9qHMXCTokJDEuqph5nDjkLcKzyIv
GUuY7+AsCPQ+7VjVTeLcy+k9QULtG0v7ocduEtLZdYtnsDnH6WMO8NHZxG1TBEtlNFFLkCfPqQlz
1D81unvoZ3ri7zUuUTbyAFZigaVcUZ315Ue8xNcpHw6ian9GOK45S82wQ8gLRkUmvGhKsUlqtM8q
5STEmxwxTz1obv23quDzi4MLeVQYojQ9S/Z1NZ07/vvYQX10xl7U9rKzO97NRiDaSbEL9aKMkUlL
cCQJtK6U/XHJvTpMre5hsvuDEc/7lTcePc6WqrW7KWA8FoZdRLNWNSEaOQp+YcYtxb3JSv+nGV0S
EkrM7S0VxlABDQcYiljJ5o6uRs7ZJes5nEorC8BeU2LunVtCZoDfrPFOejyTHayPQPSDbCpa0nmM
ks776BTrzdFyOAVxdrhhnVR99Ir0QOsg65SSw+hWqHKB2m9UqR2nDiECGbOcYQzpeV89ghkC5jTg
QDNM/GSmnw0SjJVdW4njb9xPaTDrnFgg3Ggx9T1TOGTsPKRPvUsmDvFe71qpz+h17GjgRy/uOt1l
IHBZUuN3XwylvSh0AIxyg/XUAMbs+l3nJbgo9ao9xerI8l0jzhkdW+KpEs51MAZn14r6nt39qOum
ttFK+8WTrrrHQ7SEa28Ti6pXLHSpxvtYNmrYF6ZEAM5a36KIuKpoLwKUttlGasC/+YrYrmoW3P2o
QZqZgoGpVXZTZ8ccn+JFh/Kspf1ZzwD9rpG84m2g9DUn0D/PXhFP3dQ23ydoxQaNZchAF5AsyO/c
x95RnldXv46O+eohMLTg+LtJQktPOoOG7pz7dX0ee+e4FPRc2vKuT793tRuZDHWF47tuNfjWRP3s
62k/IFk0Gue9mZYPx9NV8MZu2RRZygZB/PUupakJoUnMfFYssB2aMUbupE9B69Wn0dCf7dihPKGt
PqARLiOIL9aPSUTjqD5lCXNfbVsva9U9YSnZm2W3VxzowW7d3bdJWaXPSqJcxjJ+SRL7LDyFhb0/
YsQ66e2Dh8Is0Fu0+3V1JDgKZVuucAwXadCZ6UbtgI3b+WyXJUW2xfyFQ8qT7Qs1Ezu42QNmoVtZ
8X559XG0lZPU2xfVYVoaQDfUjKFVtysBWCWuq7W89+iTgtYsIdBaZ4ZV6EO+IfZyM+CpjI9IFJsQ
2/9LnzOtZ+KYwPJ1VnVyUVay0saM/kbyaFG8pBrWW5loP2gwdr2RHMequUAAA3lWYzC6/XcFtBoq
uvIwezlKVvmGIiPISyq/sihP5pdEk+9V04P06ruZCH/ABXkgBvRUdeq3JTt7I9T4eajsE+qAiC8b
YobZUKIxaUfwFbBa4Vkb3enCakULNufOUek++hHtXzzmRxqqEjpUjEBNJ9vvdVVjqiteSVV/MxT7
kCNywRD0Zi56SAHNw8TIAJbq8rZAyBfF4HKkphJYwYQ46wx7W/QsY1gYE6Nk45Nv4i4zMKvDmHnP
RClvWy+JOs26lWqOgtf6lCu6O8Tpe8nW7SjWzlPmZxNd3WQVoVaj20UT02nrGlHkha/AQadrHqcl
3uFjeVDWGNShfBeFtTNNi3Hnp2ogsQisRiy+pm9jb36BfTh+Mfff3MpPhcrx7aFita1b57hR5ThX
ogL/dSiwIRaVX2bCaCC0udDcW6sDDRUJlGIHQxz1PYHM04xsKMYNlFXSX9JPNc/zZ3apl4Y1hKsQ
DtyUQeIo1zx3LzIb0TqqT3j5bgCoYXO3TmkUy20kO7zfYEN77yG/CeuEWdAEsgVOQvhlEqYlj5Wn
6Nsxb5hQDdK/VwaVtZs++8bemsrKJKWs747GzVN7yeM9fzaeGWE0a0nwBbAJLBAxi2zf4hlZlVow
ko9/BrdkYM8Q601T7JJanOcuf6q86th66gov1bOd0joEiD/IsM8G4JqC5FdHd3YWRV+uQS2W56mQ
2mpxUGZz9OEEDlOWQqTVuhLFY3mcHQVWZ+nf46p9c1rD2NIxvFVy7gYbGyvOs33DeFpXQ9jYRpBS
nuCjPkxw1g1ZNJrr6yRUByZ9TnZFtui8DLp+ZGV7ttQKYhcTJ4ahNPBWVOPV+In7+joRDq6M/PIy
NYadxAq5HaV4Tm3nIGrmXS851wMBXuYw7jjMXrocSN9ZDh10cmPo0R1A15MYsAtN4aRMRxMpFOtn
WNUm1AI/mJeEbrpAyHqgTVYDjV+Vy0VKN1Ks9li2rKxW5putEuEh0YFC0r1Cli0iIcw3meeOW8Ug
AU1d2utSL/C5DJPevOxQVG9tj4vCK6rboMwK4l55LJMF6SCfY52oHo/9lPtaMw0IWZMXhqpA641o
1JYPjZkMlSCvveHhMhkbZdkjk8P0BldOQwCuDmtCqVfAxNayuGmLMfHa6o+0YO6UxP5ZtHQ/tnBB
hJUHsLETswI/WzLZ+dZ1W6x3A68/K3M9a1v6HBEDQLeGAy8lHeJhnWWHenYusGYR5rgQIyxh9dr7
3JQRyQVZZEquP7VmsF6bpfM9BBOhSOYKhn+qgyQTeeTVHuugrTAjSHGwoDoHhKNhr7mbVEDomTaJ
vMlTQV0R11bHrGi4wMb6bH7bMxeI2YNtaiNP1Mpjo5stBte0upFojCaYOHngYcOdot7gVRkwzsy9
b7eNHSyZealpeNsqwr3hhOQqylE8qAPKH1mv/+IG91Mq2udWydwAUSrYXJywhYzpo7CsC/rvrUxS
bjckSIA63dbMuGyH/j/uzmzLcSPLsr+ipeeGCoMBMNSqzAeSIOmkz1MML1geHi6MhhkwAH/T39I/
VhtKZabCpRUq9Vv3k9KT4Q6SAAzX7j1nH7YLKWSmsh/Zj6v5qbKDtxpZzHZQ1lWVqKMTu7ydKgTp
vElclg2/Jf7NvfPoFG6rnO26Lwam/ckj9qRXMfoPfS0ebOU/BdS0G5tSwRHt0RvFjb+OB9nR3Ous
+BQY1uPsO1+C3J3x2kTnBRcTO/Dm06AxBXj1dOtPZK9ldkO7bdS3Ha5getPJjH9sUpRbrOyELme7
2k9oY0bZR2/iba2qIqx9u6mqXu2AY5nWB8dVH+OeFvkSVUkYR6jXpdib2hs2wo6+UJcvG9uPukNF
avqGDDReaz+hHwA+lHyyRLSVnTwyJBOHIPLoTSyW3tFZoxJt9IfUcJ50M5+KSNHpte99UXGyTcrj
lu3O3LEMTZ530wl6oQ2inCBa6L/TCh6mtxblb7lkSHAsk4eA+QGUU4PNkwem3RvE3FvxPiporNr1
PRtfiuDAP2tcEhn60SgZr2TqXAodHK2JzYLt30bCoPnu8TfyJKQMOmfIzTB97lL2iBSZ1tEo44tA
Nzcx0BHaYVFYzsvwSp8ku8RSVJ2DLviamnmNmzNHLz9dI706kOFkYcQyINTlCQZgVIDKiD6OAnEc
LoRl26fth3roPjfpfAVgmfCjNiv3vl3TFDPTr3ZcdfvcoYpiyqlN80wCeB+aXiW3AmS2rZAjIxhn
Q1QuPFEa6tw+uyc9me9Zp6ECxgf6Kt3VZcuQQCTjJh1bY9vFYLabaNoviJkxgzBjNpDbs75jxokM
Zpj9wA5rbl7N1OnX9gubL/zp5N7SH3LKy1h2X2IbsVAgK/6aTyx5mvDYGFGFN555yUbsaFqIFIxm
DGulPseD11MxUwzk2cTwzTAPIvJSaJE54Vxzyu3QsOkyrDK+SlTw6ICQZZ7msovFlYn5zzD3dBnS
LRFjiHlyv9saLSM3s0kYs8XIrRiqzD7eGnPeui76gy4V3E9567/quch3tO1Y9X06q7M9YcV0tYs6
Syq5LyuVhVaefnGA8myNCMC7V2XNoayIoZrm6UvDvm9PA/FRmuLS8wTb+Sh3AMFxPhqIni+WBMM2
mQtiXeH8TMtMMAHCkFca+lJ5+bRLkd+z8Kd62xeyQV+LpIt+z7E2eECmURS82lkiGRV28RPXFgKO
wJi3g1+Gi8MzxGiQpPgtiWJFzow3GxncGcYNcfBvYvaccz6wuXObicdXg2xOiHQ4VipFftDSB2HC
We8JAMi3PODUHY8yvbPy+q7JrHmbtS45iVkKvIA+5XOXi3sXD9a1b4vyI9E8cmsEFNCmruPrsphJ
zKqtYe83RMNzabb4UsQjo2S6IBPPFV24xq4X7R1Km3ofOdW0M71R8QapgeqOK2SKM81y5MbZCXUe
ym24m+OGcB4EIAXBB92SXgGs9B+9yI3fLOZ19yBaua6nbgr27eLYx6gckp2jW3qzJU6EpsJX5ab2
QC6P6e7LHvHUUAFIkMlQH+vCGe8IhWXrwnUU0vV+43Hbha5cMKd0yRcuFX1R0YW/jXt33kdRXx2j
uUJJaylnv7TiRfRoJ9uEDh9unFeC3Wa0ZagEBs0o3fYU14yHrqsekv5OLfm8Rf2ArprUGfIhJx3/
XPiF8XXoxglNvWjl2XOzdkep236qaOQdVSXGnYzJk2RMOTjPNH57qowU0YnVR80ZG7h1mwxFd937
uXwRs+PzTS8NWgnDyB6hhKgPUyLUZYpvmjpDGWhujLgLE4Vae9M5ybrq8PQ+QFKbjhXX/xWXBHsr
lhqKHp8UTIfJh6o4KXNnGaRftj4zqnq+WhLBjYC4kdqsRc81e8nJLe3oaliQlhfOqjpp4lXZ3edH
i7iosHBzfUCYgbwmGaUdOo7nvlUTgoK0QgM8mq4GozjW5KQM6a6MW+/sd/QCljyfP2mrZcLtUaaI
ANv+PM1wJNpMIy8vY7YGjWV9alFd0ooK8JM6Zneh2ha9QurhjZVUnKZpy9suoxUfJdI+OgUSg6m0
1u8ume/5yTib3VIj5iQJRyHbAyONAEw43NWa3f9Rq9o75C1fZ1F45etg9e4XOSq9z0mmPPRLPD6W
9HBuPMnTma8seuD5XV4x/2ABb1sMrl3HFogpSDjA875u1ll2NhHV29jGapELkktZmsG5SWI4nF2X
ggeIi/2YBvIiTgMzBDfJPgvh4S5oxv4yzwbM+8vYnyKt8qu+aaafo56WjjJwsaN6KW78Hh9E1JXd
2VOkONVeKomJsaYbTppxcgxhoPKo/WsnRrsTYE4InTS3qFsUjme6ved5znqsfYv1ADjBPWVNujz1
mUWJS39klzTZcoM0mXk6BeyFXZnk1oySZaB09BniN632keUlWkzrYMV2he6OPe3gRB8Q2iGdhNhS
n6tMG3uzhL3RVox+3VGY27zF4G4Wtcnz0pXPDmfqYZgSl9m3xbcmIsZnGN23GMyHK9Lmo0OOm2qP
wykhFLyOThYrOMbTrNub0WyFmR2xScEHfhXXwXAr8GGHna+to+UUJH+mTXoBpKrANTale+r7+TDk
cflcRpJpAKLQfdkmzoVouuxGZxHX9irlLDCKQOtxuOOdiN1CN1XhsNj+AexDRPIHc7pOT1+bda6n
876+7OLY3+BD9HZEpAfnoOB+VREYYaujY02QaHalGW8CTZwyNqNOLy7bxhUH5MfN0XBpJBb9POxy
7SFOSF3zmv3Igk7YJfg18xU+hiLdC5Qq2OGz6gZp+Z1MRfswWNl0wTyc6QNK+2gH8AvZLAbjHVVS
W2xHq0HNXzC/CXHM8XAb0EMP+2nx8Qf6uWLcr4cAbYxZYIoPmdU2t66KS9yPQ1ZclRIxJldpsbOS
KHtporK5z0iyPODH1Ga2Y5ioFXAFlpr6taDXsNHR3F5UtRNczKJxQzBH45zT4KoUZqhIFTS1UzO6
bY20vkrHyRm4jkZ1GOGuR9shMkhT6vEeR4x2k/l58gr33uAhkoWGbt2Bt2myfx9oUODQN0ebTh9h
61ishNd+7GSUB7sy8jEaZ/FoEneVd/Z1XEY46BuqOlr6lj+GVjfImf7sSEkvCX/z2GrlaY/EqaVA
iFl375cqKOXRrzIj2Mh6aB6AueSfcBZb+iJySpXsuUgDpKW2X/iXiBBy43lEFSauHQMCxh3hhAoj
4ULS/U3qFo4qkAhwnk7gZFrKT7FkA5KyVrstKg0qmrCsmUa9DsSRxYhcgpYnWpJNI+QD7U6rJUn7
T5U7KDdMZpXFp9Qp6IH4cgVJdrWjvX2Ml4DVBufVU24l8UtUq3YIXZ0H9yCxEJ3NtYtKrO9XMyIy
2CXYKof8SPZN7CO9TcYV3myctn4Ax0o1qUo5Z9t0yNHnsa2ZMOGbzTJv2j4uW2a9c6+Nt1HF2kMU
0Ink2h9yWtE5UU7VQ7ysMVegk3N5JWMrp70aS/sTbulyV/WlDBcz57s1ERzU4ajapqYlNKbDRSy6
dNniDoEipW3shCHqa/Accqo4oZQzhbNvs5TfBRs52GcWlrreLlEdf42Vz/90JI+GnRxYUw9506y/
REomPVJ7KttL8rOGaqeLtTYysq6RD9A79KPDbvVxmkou5szryc6t6nlxNmMiaqb7KmF8nvEflgJ3
QjLVxVCP9hpxCqFVqrOggaEEzEIBZYmN7DSsgqxY0E4yJK61i0ppM74woqAqTj71AmqiycPMMEoM
uDcJV8lKBXFEcYh77YI0c2z9avrTkob/C9QvS1xt4tnyop0sMCPkXxr/QVCKJTjTO0K5417uBP49
A2xA1K4bcndRm6SAjwTiIqO/4CNLp+WE+TEo1cW45Ihu3W3KDMwla1JFTOvwyP6CafuP1+k/47fq
toKOVZXd3/+Ln1/5Pto0Tvp3P/79pn4rH/r27a2/eqn/a/3Vf/3Tv3/7I7/561/evfQv3/wQ8kjr
57vhrZ3v37qh6H85Ju9h/Zf/0xd/ePvlrzzO9dvffnz5ytN0l3Z9m772P/760sXXv/1omxAzf0Oj
W4/w68vXL4rfvHrpqx8ObdV11Q9fqx8ehuIPfv3tpev/9qPhmj8FNnb3AISy43uBC8RMv/3jJfmT
5fm2C/oJKJt0A+B/JbFRCb9m+etrhF0wn7J8UjxgtnUVOSe8ZoufzDU1E+YmOb02a9uP//wyvjkh
/z5BP5QQEKq07Lu//ei47xiEApgLCRRwAXmAwsIP3oUhRI6dIjCw8J5gki0emeRUBBuPZSruek+s
PCjQYm78we78tmfe6SXuqcjUMFCuytrrTlwjgzrBs5yKT8KoE7Z1+Lg6P5S50xm3Jjvd5Mtsd654
sV2SAT/jX5XBlmdcXeu9EQPqAx+Rxb11K3IQGqvxWDXT58qnHA5FFVmE8jEqc8N8zpER0TC0jK3q
fa3Q+6F8vx1UNOjDHHeWCk13ZMKZOBa7p5khUHVJz7QNznnh6eBR8ibtS4YlKGSAXTCGMIMmYRYM
faG2PkDnZW5O26Uao7PyOEefrLE2EmSSPUtK4dV1EWaK1KcTUlIDQ0ojYp/GXdJ9pqkokMX1kXjS
GErHvSw0i6GedVBd1iVYiqDO3OI2bfORds0I9p+ykd3W0VReN2wBkg2nPMt7f0Buzst7lNFeO3Fr
93T6xgCBz65VDJBDzPaxQNULau25kmkVnKfK6lBVBradPnvWvGDyyZM+CM0C3sVt1pGv2W0qmfO2
OgEW9EaXKwZO+kg8QjkHbUNT0GL90uUw93eiLEZxkhOaEtyzcQ6+i6GRd1SyKJYb6us6u1gsFLoH
jZHWPDUeAhGktIQi7kUZZcNWKIQpCFabIaAh1bDusjfFVZwvfhucNAnKWxG5SGjNpg5jEwoQL7lY
nkWejF6IlweFRe4383KMUf+wSKdV692hWcaStsNuwD5LJ9ZQkPGeC/NglkGCvM5jPcS0tkjzfi5a
C4YHDEq06hg5H+aKx84FwelZ/+QYONr2xO9A9RGi5ZvXTI+Z70/wKi9KAc7vyzxOgd6ansFODUke
U2/wmsa4d3Gw+zvXReZ+0bi6pUGSBlN0E/sLmnwlFZYli0c3YATZ5S1mwcrQJyJHMYDwOFJ2WC1m
chUXAs2Un9FLKYlPxtctYqP/aPZdemMjKcIrRwP0FZQZc3Ehx/rnjI1hi4wSLBTjjsltDonFtnOD
o5rBtqnq3gfxIhFVYN1Lsg3fmFiu7DiVkNYgJ83ohyidAaUVzltWLlwfyIO0uIZNFCGAT30/38X9
4soL6ErYgwQdCRvnompvx0ZW+CZqY17eGsHpeqiXQOpzz4ixXp8q0XRd+Xx926ZQVbF16ik19qlq
x3vgGJpRJG1WQk/8wIih3fVOezDadEoO69y62EptMaGQbWbW22HRjPEAmml1q8lfphVlprjSY5UF
X1rK7/VR3gMueI5TjASXNUUNQxNjDrEFgE/p1utVFotejl4OSDHYNbY2x35DVEY5nmXW8yyH8BQz
NJIGrdy2Suk9ZkNML71CzRZ1z/3abOrwZJTZm54yd9xpMUGHi2HqaEoDSoStqKj+kUwsrXmfVmMR
7FAhY3HKTI/R82TJilUKrxvqW8An/oGpMYI9x84a93Yspd+FczyslB/tNt2hL9lqXtZLyZhnUEnQ
7kjPnEBD95oJeZwutAugyVRcqEi4NmCFtL1FkT1gDqL5Hu+ws8YVUl0iEe5Ltwl+Vq2t/WOA/4q2
nxFjz7KDeuyQ9jY5RUhdEBOWGmSDHNA8s8UjagtANLRC72mKkMQcGKB6fZhYa1Za4WqjO9qOHckw
py+C+ttvrY/thFl/C71OIPRtJ0g1Tg6Xj+ZhjsB4ME2koJ42o8dx0N7DlCqG154dZwe3Avt/jLH5
R4Av+6+ON2Od0gN2/j5xG3dbZlYsNrZVKTRL/TQgVY9hnxDXXPgK2SMMPIRxveEcl7YojbMnyox9
ju0vzX7OWScQNfY0/K3I1E8OoidBp3hiz9MIc9CYrgLEno3su/FqoUPW3nYj9sozpbseniMVNM1F
6TSNOJtGC1dLd0FL78Wp9XiveYfeXbJE8IuiqPWLY+osc/lYlX3M2FkaDPPJkunmkNVctFule7SN
hljK7Ak7eNk/Na0FeU4jt8A/nVqDvk66AV9O0bNMnGlVTstl3zvTB2vy63jX9T4uWR/Qz2PZigFE
l8wn+5T7crG3k/TS6FiiOjG3tKMARJLvFM5ufdITMKqNEgsXlsrV0GOGqeZgLyNMfVsvd1N9cmjs
ovZxhZ9cmWUDlky3dTWG7RggWBKQLr9mOaKyTTvMWtxaERusO0tZDFabqfTzf3B9/1LBeJW+UlxV
P/ffVoffVpn/z5WVa/UHdvk//lmr/b6sTMuX7ofDW/uSdr8tKH/9xV8LSif4iQxN3/ctZPvElK0R
Qv8sKK2fWMFMKjiLf+FIm0ruXwWl+MmGHsKo3/SIZXUEr/2roLSpUWnOmZSTJBN4tvtXCkpXrjDp
f+wE1vLZEzi1yWSF5chb9AlnfVdQjlMZtHMpiBn2E4bNbOD6ZF8Ysy/vpAFiIZT9GvJYq4XHTZ8a
UoSlL42D7FarKy5CA1phrJcdWzIYfu04Du6lNgYsPdkAnCI0xh63vs9Tk0YnWigBVW3spsuerRYo
bQR/PQtbOuqj7ZPxyMAcjwMVk+qxgSzG8JzVA3J9r2YodedOxvCz5zU99J6ucuvpQhcy6lYuZjmf
x2mczG1T04C7FsJhgZ2RluY3TVvXNyP2tWsGX51+gCca4fAY/d46MKiPffaWs5nCtYu1gyaMaRtE
zxLgDPxFGIU0zcEb7uCltMkuizqnuKs82U3gJ2s3wCVrJejEIByhWjcNgzFunZkz4KVEk01oO9T6
5rFQY9yvIjebAc2CnoIMZ5VbM5SqIHVeLbphTK2MhVFqXqr6WU4TRgCHqVF09FSG38z2Yv1J4UWJ
T1NnqvQ6MgycOaYw2DdatgPKvQ8KZV1MTau6p0AmQmztLFpoFNFbMI6l0VGONaa0Hm2F+WSftHXh
7VTqWh+WyUlyJEoBj64mUh3z4Rkdy1H6Vubv54x0CSKwBserr+oiDbpbYY7EbHNugWNklg4gSNpD
0B8zYjPc3TwnGCio0l3nzipFP4SNmwcZMnI/oW3oomDBhgKEcMfKNgaXfkLHhLQ5ObEFhgI78cwn
jm7DFNhWTOdHPT/QpFs6yG4jxh+o6SuFUxXa+ZJZC6JTzA0JiraiHsIEmuZL1RYoMIl3BlHlZVi1
LlXn93XYdt1YnyHB0oKcJBOBjWkMQPtq1PfTI7xI9PddEZlAmlLXCCt2QflF6zO/huWZ6eCA7DTS
m7lwl6/toLyvPc+jB+FhRdg1i9m6oXJziclKT1g/YMc67qvw7enDJIwZ+1WReeHctoa7y/FX9aza
rQEDcYgNcaCmHp1zYSxVcyjiXuWnVAGMfkzmJYrC2AqG9J5QLeWFQZtX+LxcructjLo+ukcK77/U
qec6OMMC88tYVKiNKhc14CPriKqu6ihiU1IKQ3wkFdSgIJ38CQg0ex4DzovocXsBzrRoNjFo2SwI
ozSejcYIvFDYsTK27sTzlNCZdCcYQTo0/Xrrmf4gnFNuZgCZA/dLSBItp5X8iXOm5/LALywfyF5n
66DauUpuoVP1mpmeA0C75xS6W2KujeGhGFMFn6obbLlvnJbG+i9tItcWQ7YX8+xmKOY1sc7mYLFX
W/SEpNCdnLG5Kysx0bzRjgK8MjdpGJludWjn2tuaa+/ywDJT026t9SzoIDcrK4waFMjm0pbJXne9
NZ3U7GpMItIYPExTTV2eoRfPzEy0WzFGs/zIOsSlzJdTm1WRf9CjZN9VwhX3Dm7mBwvOSdvtL4au
SeZDjeZAX3jxwOWxIQJjmIDk6Ag00RyV5i+3cIMO2cum9kJr/JVPXpPZiOugb3RgOMCXIrbSlM8G
3EysVSBq89X2gfmaKZLVfciRJnD1BpWRoiimspmu4lkKfAium6nTwNVFR9mACXwbj1kF+HO0PT4t
NLLmUcU+mpoKisl1QNrkEpIzxogMmaPKLhEx158h1vn2jQlYGumIC6ycnU9fgcazGfQ8TG2QZoeu
CZhhDkSAqTOmRQNcgoOcf5skkqRyB9OPwm5J6siZpsScwj1Zoukw+uayZGE/lYCyFjqP9qMF0y4I
Pd6ygXgdjOi9jUYGapSIl3WG7ejxYNfQgm/QkHLapLwIKEJxteQyeZbwDiX7lZh69mjxfFCwQKVe
vs59XHggJSGY7RPIsGxyLD2rg+VY1Z3nseG5GCMHgt7cIBY55mKOqUt78OcBGqQpdi5HOO/DiTcn
2IwzgqKPaY9Nd+7qbG2eRiRGbbu8I0ZFj96qLTV7XzU3Jfi/at+VC33Hsc+rGDteP5phMI5OchvX
TVRBcrPhdlyUUrKHjnVDp1QEIJXDuGvZfLO3XeffOe3ovZSD620NZehHeInpuE3b2Yh2tgLSdTkR
7TgxxVNY9XEbFOkrTnSOrui8eM12EBH+zrqe2vSK4JzBOdXpksGJSgplhgMrfhMGkI3nk8oDvdzl
Y704pyxD3brxBpbLM6OFlY3klyK7YcnDDEtlOQRh78X112oyEE17hhe/lTiFgUTmTg3KJPDhZ8xX
BaAxLXSH7tBnqntJvGjJq2SqYDVHGPkBIp8abgNdeDaPHBPVRucM1rJ3nAhvsGPkQHxi5s5hV/vi
qVIRY7EMpjV42ajAzCrXfc8lwk13AEshenfbej1rBx+PdoyLrnV8C0DddW6KWdRJYRovWyc1uHVa
q0w+jBYSIFahjN60zHlYxIxgv4gpoB9u9mtvOVZx1NK+TmdaAm1tu/A0/ard5fDwX35pR8eDyWoo
WA4rLHMOp9Bs0bGhq3ZaOjbmwmVTodWsdv9okGkE7vEVUM5qOIgFrvtJWBoMisAQ+NjCVs03Blik
gpiZZqleEGNy9eVsPXvaJa47nPo5jZ2f7SYAl1BBEg52KX8BsyR+jxK0H3Fc5l6SaxDstENLY48+
YrHDjkuapRo1DVIvpSB5SRz165Q+q3AAG122BUZNzIgcVJ3RZnMTfRqBSWTAHdJ8ZOpa9jszd0Cl
9YM/AIdj1Rjje4b5rAw2vlif1bmHejOj9KmZank46ht4xtaebgbb90bJVANy8vuXkqZIvZ9no+de
EI2ljdC1dZ2zsP4CuSdmgdO2fie7BRS9cYUcqhWHWjOPuwZ5CvzKaPK1TeWb87D+/bZ7iJiWM46i
PGUIobWsq9txcb155zOTn1ajQituWooxfHqZE8Xqys8R1T10rFsRSIiyW6pHoehefMS6xlmtOs3f
QxenGIvqJmtvG8n9fpdJkQ97x+hmeekyMy/CtjWHhbtdNMhVeaxACskzrll0EGV5TzhhXd45ck7b
p2x23PiiZx6K2cEvUxp6ppjirz0MmApYvQz8bc+zEw8Mu/0muohx+PUXtPvQjuFrL5Mj0hd6MNyL
efaY+TnWXKr8AbW8mWdBOAQiTu6Kjp4SH4kzx3i6XRNgUZQgWk0rs/oZVOicf1RljUS/S6odPn6s
AEzd6/KFQrxpDqMYXHUUVj590ZgzfKQ8FGKXVTyZM25Fg7mRr436XnQNwYCb3KuwfsXJbEAYQIjd
fFCugwLPS+nabo1q7JeriAAPua3T2I3p/0Fb2WOeQxzXWIiNtVaUZhoXKKKT1uK8+zGxpVilHW4g
aIoOMoCBjwyBSy1grJqh6xD6qjRduSz0n+PUYZi4uEXcHmXfjDece3wQwAup4pnOinil3NnWeeBk
ITIsLTbFTIRU/SjSqtdXSzNxxy+K8uiYlS491mywuuq2mB1k4hKXTpMPzavhgXjeTHOVjUejkTg0
kIfLT3mRduzxGYume4BILKC6oeF5TNy+b/Cm0IQ4LwMz3d1fn9z8/7kRt11kT9/biN++tP/nf/92
B/7rb/y6Axce8xfhkTrEBkUyqSAm7J87cPkT+HSb/8+hxydMj63xrztw+yesAYHNrtglVtSRHiOm
f27A2dI7qAUZU7v896/uv7/Zfbu4n30ikSxUaabrkXD9LlKKLByXkhgcEJT9R+J4iy1NnwHQjv/x
N1/Kr5Ok306Ovo1g+uVA5PxIjsLRXEe8ixWy5zwIooobs5ZMkwtV3oHJvgmcrN13fX6uU+v8/QOu
fYN/9xV+OaBPZW4i8wE7xOrA679JGlP4cuJREy+0VApLsud/RRQKwy1+iLvawJKNtwCx518+qBRY
Yxw2VMJjUvbtQdtgHOqh5+usJKQ61PUiQuyA8RwpOgyd9SkBVqCiiFmyf/TCvpmd/vYLfjeYc5iB
eP7arHEC6JPu+zNZsR8clEFpUy7VR7NLN2TqdL756fsf8A+OEuBjkyjTPPLu30f3yqFtFgCtq5b7
q0aLlxefMYn8SVrT7w8iAumgy/Ec26Gl+K4lFMyAiKmgqg1mlgs/u6oxy7fLuP+rH2U9imBUbgdr
f2xtTP3mAsn6ohtjPMSYsfR+DiizxL1X+39ylHcpV5yW9SjSpvHlWxgA330WC7mxi9gCV5/1LFR3
PbR4XPSNml+//2nWG/XflztLxHocF1S5sCzQKXK9/377aRDTqxqIK2T64OzO/jGjnv+T82Ixfv79
QTjruDi5tZhnfnuQCbNxBwCe3hSBOBiwtmRXMhDrrgDXINtH1RKCDM+/SoSZl0mHY5jZJqBlGxJc
3ozb73/k318mqGcFkaImvhPu8ncBjHAlU6/JbeIkE/S4bZnRUvNgksal+pPb+vdfLkeiE+oQxils
13t3Eo02soGcKiZXdjpfxgZVbYXG6E9WrD86isWUnvYXxxDuu8UjTcjyipKMbIPFwablJh/hQD5/
/zv7o2PQ9XVB9wY0Nax3xzByl1wWSXfR1iXdMfPE8PL++4f4duFdr0S+KK55m4/i8W29u0jgPsRa
Waz0ThyTCgADDoTyZO3YA7cvc4ICJm+zEaAtbcn/i/MkTMlnQ+kQkDr87fUZ5Ek0WRMdC6Vmnxm4
MR2LrjMfv/8B3wf7rZ/QMomV5DFmWr7pvLvwRgbkqbveazQ0dulR5LusvJr1VVZujC06wL19mWBy
gog07FoiCtK9/uL/yUf9/brCe7BNbkUwl1K+/6hLrwunolhH3IPNeGcGA9Ajv2nxa5SQkTUqNHeR
f3LQPzi1lunyNAUIsaZqim+/X8/2+rhWLMyJYb32ifzMF/RMA3YnZutDwPoDFq3+k7vcsdYL5tul
jdLEtS3ELcTG/q50YKBK0ELLBQW1OZ3CCPC80W1jEI0DYpNQ+ttKfSjrjwpjt+6/RsSqTGOyM2LM
df4Oczg+IkJAZ5TxNwVODSZ0WHAI9DmBa8KukDIOfmzT9b7rd6nagt2NUY7LzNwOtLTz4n5YbmVl
gjIcd2aZhww1Kz8E+OPWFw4KAoQCW7SjdtmgfrNo5u1NlH4Ac+EA09fbQ+XZtp17KbsULTU6xL0T
vIykJpVJu9W0muNJ7SDZhSAmae5JTO2JRcCBasKa0WmBgoyGU3GpiU87qWT6ZID8iY3P2HWLtCXN
KkNH/JnN6oZIgiMpJ8d4cD+41ZPu9z7kanoUztbC6EsmVN5fzNaNHJjRRgLyxkxv2t6SQLZhqCDm
x0hemcwdrWNiSqz1z0wbGaU/idHbeFinSceYHhkzZAmeZfue/Lqt42P8g2NBulWz3HjmDfNCgAzX
efXzKmgbpqfWYLlsT70Rhwx6dn4S7ZIgZrD4unSYRryfW3lYnOvcZDhr75Hkb4jq2/buYalfXUz/
ef+SD/eeDAMdEU/UbEY3QdjQbKvyQ0/MmACYjTb8pgHJb8lhs+RXI+J+chzRDdrDdhQsBhjiJ/eU
OzuNcd0lvC4GdctEno06WYIM9G3m1RiFjQNolxzyiswuG5/4v30SXSdRdz0VB437Nm+vIPOauPMd
yKBV/ASYsIhurOVGmw+6OYtyawaYeqE1geJCDzkOp4Qwqn482/VdDOhtxMFTYcCRW2+8jcZDHLBv
xK/QG7dQ9/YVuDhhkOBAGOqzjcrezB9S/TJ5uIY+YZklVUzpt3h5AgVoBzu0HPN00P3Jy+/jjHiM
Ozvfj0g9a1gtXUoPsPk8IR5qsy9tC5iuB/tP9iOxZePUoLBAHX9ccDz5wZnWwy5FXpGN17W48AsM
li4zlDWwuSCJrV1hgGCSrnO9UXQAUuJrpvnTErxVI3mqD1DvAaGWFxNWmehGFp/dwgU3l56kx7zE
NZ7KsoL7ju7ZDTD1TDCliyNI3oKp1JqkwuW9r73TGNwlDV/BGEGVo7E3C8AkK4hoOKYms3wBR3Yw
kRKPu967zTGhjkpeTUwKaXzAxxKgRjlLjCiiG+D8FTGqQGhs44sdTQB2kfO2R8h1KFyZNhn77z8b
/mit8pirBia5Nh6iu29XSOHNckGqT8Hvmhr0uR3hOUnGBBwXqunrKG8X67nRgfv0/eP+QS3keSY+
XzSC7CkFW9bfln91T4dh9jhT1awjQB48M2ilZ/XziCs9+pM68A8PhpRwfbj/UhG9O5houzapKSIG
3yMxhn5JHMCn9/oMzI7nXX//o60PlffLPzsbyQRr3e2+38jRXx+dscBRH6dXlvwEN/VPPs7vzxkz
aE6Ytdbo0hL/zdl5LMmKZFv0izADHDmNIHRE6ozMvBMsJVo5woGvf4se9b3VVmX1Jj2qvkQi3I+f
s/fafxQs/mSik8MqsKpbLPlzwuSYifq2cZugxqWdoLH6hz3tP2eL3/8mh43Mc13+Ikvwrvx+B8En
TTqYT4zIY/hVpuNnyE/cYFV98DWI1+g5Jq+4YDYDtRwbMBPKGwTr57+/sX99jL7FIct0PMzHHjnZ
v/8IXUJfLTiUI6T6SMWHIQFCyV//j2tYFEnWIhqgVPn9GmOfK7rAUIPcvF57E5h1X8DRGP7hERpL
yfX7DaWc5a+hQHA4Clh/VCYRclGn42S9ah3WugHlEeszyTh7QQF1QC2cwNtgtEuyZrfL4FjB2iVq
IyblJ/2nKvSvpRnX5yS2aCp0Hu8fD7ei8dtlNfXE4GYMV/pnRmYz3CbnYHb117++vwTUUhyhFdZ5
mH88Q3QLkkkXtdEER3mb5wB85ngq8XFr9f7vL/XX79C3OW3ZtDcQFNNo+P1RRkSsdnzoHP7i3jkg
eCD4Tmcr/39cxeBvYRGjjfJnbW0MHV8ikgfEpniL0l6Va4vN7e8v8j/efL5gYaN1cDj///nFC4IZ
UrwsNbNLndGoGWhoKfL84++v8j9umOsunTWD2nWpmH+/YRDH0sZdriI6/MK49VNY9f/6EvwJ3C7b
F77N//x+CYaFiD5rln0IfQis8U448Kb/5TV8XmLuFuu9TQNP/BGerlJztNXIK8ZmsK8jr1vZJVSf
f38R27ANLC/I2/U/2xdiGgoDLmG9KgY1nuMywX9KXNy/3Ur4U2iDm7rgTWbFW57YfzVJEvTLDDU5
v8zzVyzu5b9e7fj3vaX3BpXNEs5/TjL/9e+3Rj2b0ERoXDV5dkYuCHvbILYiaxvxD4XGX15hfr1u
uVyDS3GQ/2NhxaFWjAYAp9Vss5p2dXhLftYbsZT/8D3+r+vQsKVva3E1OtW/3zImzgP69gq5Qqio
jqFe7RlEJYRNtvk/XOov3wt/0rKOOdw66EJ/vmh2RR6fnVu0yqIbfWZGC2nh79+y//XHYNigRjKX
/f7PXUL26TT4M0uY3xjBkL6I6Z1mwj9c5C/lhG8IOr+4I3BxOOT0/X7HJNrM0UWbxArGkbInqoHZ
lmmxWqpXTWv+4Wp//ZMM3PmuQcvIZp35szqSloqI9OCVRpx/K3xjL530GMM/+/s799eKhdM++yof
539Khj/byw1IuVbLuXVjM0wTQ8n+w7LxN+mS41pBg7ayF8IU+mGw4tPISFASqzYgmYmMuXn6+1/z
lx0WtQ68Lrp+SAdt7MG/3+LRpohLM6psOzJeJkkYYB0NOJMK8cTw8R/+9D+bHj5LhSfoZND44KmK
P8pDTUUmfnR2JKwIgT6h+vLEdDM4Dhmt7ZmZ4kZ3639YqHhy//l3/6ukYZXCwUUyMOzCpa7/c5My
BsNvW7GkTgwe505m0vCUnHrQtE0d57W2Q/ft4tpCE9a1FwJ7wXJb+WSjQELzrSP8U2VLGpFdGta0
7pq2JwkMnwcpIUmsDwUhxeFYb0SZShOmUW2jp0dCMMLlXdn12Pdsv0ygjD3jEkwRiYY3CXBME7VP
9ey05UkvnWH+SEl+7za1N9FWhIbmeCRbFTa+/SvGYkiDUKDDfi9oDkevOc63cUcyaV2T2WXWi14o
JYzWKGsN2Us6AZ87kx7iDndWTcTaFWgwAclV0oby2GfZctYfdO0mGnzgwb07umQJOwpTqO81qVgJ
ZesG8h2dSM7GTMc7P9Sm7VTh2Y7Re6RHkyYvoiP0hgUxMk2HW8kRzEzIdc+rDbP0+TIwv3+QY9Nj
rpsXS6olNB+RDjbVbDGs4pzx05fGn93eC0q4lWxVCcrDBOZVnacwhnC/yjBP1nbLbwhgsLTDIdKo
3dZIoTDQIgtJEJbrHgZeM9NjQL6TYSzg93Tjms7ivy1b2PG4ozoScRaD7mLVhV2Mazf05Ui2rSUf
kQ5e3B7tRAb4vqh3daesoJKInPjpyTaa4nIbLYbguB5Qxy4mYcSycwDcqQ94gPGh/4+Z2IjsHQ4L
69wsVmNL03Ede4sBuY5NtcWwATJisSdjX8CRjsgD0oPPx2YOxcXOKkSMDcweG7kq8hfg/2aENK0q
EbV0ixe6XYI3s8UfXSzonHHxTBPOl95Wi4+678tkWy3ealx85RUEy7QzFuc1mjnYvnPTklybtxiY
PXmc0CAEU1sVd7UxaJfF5kiHA4dTuri7GxLgg6UBfBp1+DlFRS/JVf5EGt/cX8CxAaVGlhY4i28c
SZ35006W+ZiUsf+Y2SkdhcVpnqcw29rFfY75i9ozEtqW0yOCTX+sTdI3/I92ca63g04KNrSFndSt
DFMyDndb9PqpMKpxayz+9yEeKlI88MT7WGVvaz4OOANAdrLFO+8vLnryh43HcXHWy8Vjjx/VWJmL
7z5cHPjm4sWPG1z5SCbpVIH7Oqqiw7nejFiKFh+/tjj6S52eiEswzS3KzX6XzsWwL/yUtMoo989p
bXVY8CAEeA2yJDuyZjI9S3QD8UISwNp6aD1b7XmpdDDrEAdw+vqnfqEQuKH8sJQId8PCKWCV5M6B
XtpghCGvkLbMhcAIet+p5Tzwb5THFJUCZ1hLf5gLq937CxXBZGX4MAvhHmhSpNskU0jGFoTC0PFh
Rk0K9G8BLOQum/68QBc8L27eiwXEYJvd9DAtcIYZk2ygLcCGlrp6Q/dfXLSpBOm3gB3MjEiKcIE9
zDW6G7gUHlwZUBBTX9D8U8LdkfcGKcJeoBE+oik+w2HeTQtSQutp0FYLZkIrAE5oI5ErCKfVNl5w
FPUCpjAXRAU462hnzNVwzGuVBG4+ZBvkJDiU2DhWhou7KNWGeDewJh3yVnkHTDYaKx1EjEykYlcZ
UDKGHOWrjWOIM76l1umkyH+M0uGhlda0jxfWhlyoG9nC32AuXpxsDrVnG9XLJmn6+su3WUBWelEk
6VaYg39nENn+DnonBh/ppcZxWMAfMJQYtPcLDiRH734jF0QIj0ie7AUbUhee9tGa4FzTWgG1RcCK
aylz6n0VdvLNXfgj9UIiSazYiQIOAPnnWEfxjz0PusH+L/ybqnVTDM5p8WIsuwcYEUH7dm7jl8r2
mJaNdY0VZIpF9IIxC0xvpA8g8ZEJRifNlVC6sMxId0+bxH0Cl2Yf2rIieoB9nAXGiDz5VI5JejMP
4gURZ79VmgGmyyQ6UBiN9YmgkCwMXgyI+QuLZgyH6NlYGDUS2fL9PCLRmejCXLWpz97iyjLsVZmF
TkTaPRnOXuORVhrBfVdp15C+kCLvDoSFShPYr2ddGaMkzwiE3+Ikmh4Bouqnqo4R1sanucKFCmrG
W1m6jALXHS9Ut8Q8m2uXLbOpnEcr1RVvVbalSDxkqgLqjCQOQ1swhc6lgAEsCEtbCIFzjqwc6Nfe
0wiPInHJZcq6thbwkNHJpyGUZ7Qgx9DDymSIpDn1Wf4CZHYbud4tQqAc/IaHqKoG8g31X0QzDnts
Toe4KU9DZBR0p6H0wGU4OcRlAboyvE2s0nsjrR4GuxkIQi6h7Nayfe/HA04yI0DSDrCJVy5S59Ee
Do5dveRT/DJrM4iaqcaLSSSN5fWkKDGroNzbNo231+utFZmnwfw0QkABRGDae9jFIIKkfaIZRvoB
iI/Kj9eytx5HRaxpV9xEodoTMfFElYDhAJlXSURFmN8P43Q/C/sRVMVOo5ni0kfRiP3soV35+XSe
FHxEdMPfeD7ItlS3fQhCFSTcNnU+hS4JsUMLRxmDrdScFkqSxMTe21rFACfe6OW84W1dGmADm1ea
8oNSkFKjidRV8xakSvOOcKAgh7D0AL+3kO7qEm00MSqAlUaButgn2gN4PV1tyEyrpGy/bVhu0PLN
N9Pof4Y2fPC7iN63sccreTvHLFtUXqscfGm7gHIRT6droxxe5QJa1W3txSnJqSIR/C2BZjcZ+WPt
w7dyECnWGC3IO+Pr/eYT2bYpe3cSEdI9ausQBzKTLPcFKQg7eNZ8tFW3UZQnOTasNYFVxUZp1dkO
CZkyRpIvRn9T4y0Y40XsH38UJol46SIZA4XUAQWgrbeOXMaKot64gtlCwpxkmiEPtQTU2Z0f7UNJ
WAOqNvQg6VlFuGLqdDrzSm5mK1yVeLlXMuMhK/PS9dbB8rJ7M2awkIB7WoVNduo0Qu0mi2GpaGA8
k/D83hBo3VvDiSCset00PdOWGCfCXJb9KoYZ5Sn7sRj8B6PGhxnFpFf6stLufD/1V6Erz5PkjyTu
o1IUjYL0W70hG+pLSd5CHRB7ZvwCPLvo+Uicjv36YTS7z1JWTNIi5a7tSHv1RuexqBUARHzk05Bv
Y0uR8laqWz91dn4vYD9Bz6Eod7+sZniu5vCKIv5zCqneAAEfzf5TQjKhJRPvZjJkQilW5sBkh90q
Woem+inLNw3pOSv2Yzl5l9LPdsVsn4R6LFzgeEZFDi0+0WU5OfMfPLAqJ/Sq6jtHV7/63LvO9UTm
VZbB1UxG3sNEf00z43YY3QussZ9YFfQh8Asf7dB+qr36c9SrbFUvKQ0c6k9R6K2LOD5Bmthw8N+z
YKOzRj0NqiOqOrGNS/MKyeo7bSZ2rxvc1uvSP1lz91piuDU79ytMtBvkrEc5jkccLi9jjSlCZofQ
5AGgPawBdUG+uHMjOLtacUlo5gkQlhidWaQGXkA4zIkM9PnZMRQIILGzOijz2mmKbxv+OoMTV0rR
yNyPHE9mRTDZLGMdme5akBqYVg0//SaPytuJhIxquGvQyFZzvscptUJJuW0lXsx4OCj6IlELLJUI
zsFgyUJybur5k7/EOLHIGWUJwl+j2a6vy7aaViSWrIXsGABb9zqk+XKpzds7Fb0PS8Z49WxSjUgo
LQDRH5ohO3YQOXhhrvqYHucl7g7OVuYQGSvG6Nwn73ZKgAmfVTNvexDhfa3tQYDB7PN2lV1eIMZe
POurS1ClMTTNfRh0QgPeWK6ke03ZOx07eSyjLw8KC/ispyl33kmMQZmek32F0zVUzn5oMbRIjgpe
h4fL/KhtPUhHGt4wgPXoo+TE0vsqiAvSWLqnQaLuhehXae6ehLB1mmVrx4efJHjf0cQmuvlOK2XV
5yd+WowGG94+cW1XCu1LWaKcjt+pxrc2w5JRWLuIRNK5JbyqKzZtGWMlJXDD9Q9kBq1GkO0eNaPZ
R2D2YMZScuRSHhrSaLCBr1iXnymMDgONGQkyuvfOKQGrRuasOx+gv87FgTnAzSNTqQr0MSah46Ok
3rCjn8QEoByFW0OpwPOindT6o6m/2SXG1kVAbcltIqyVaN80caajxuMfmC8+TWQ2DyyGtdyBszxU
nIsKrBi4SQICt9Ytk6bWaHeNQ/yQP9301bVAeIDfrw7i+Ey5Rgik+Gomtj22lbpouJWQcMkbmR7N
/pyrx1KBawDEovZzf0jHJrDBPGKfX3GiX2Yiu5QSsoo+mSRg7grX9gy9CPkACmNJcmXmHOe0uvGs
cutgf/Hj6BcCxvNUih+LiSznIWTNRrnuIdtFfbTvcuPJLoDj6jCWmQEsCpThy2LdjEjM0oec8oFG
FOb5bdEwwR7NGT97m1L7w1OrVX0cIuhEngfTaYKymgGvq76knG7b8aLZ1soGdGE6xDknGLZgDSYC
rcUkdy17r6UeQY0ySPKYrCpY1Uu7WFkgJQ0C6TghChIhC4pM1ewmDsOs6WufzBEMOeuitdcApw95
bUPp9zbw2wlHrs86UTqWAhAiV1IzAo9Bf0XLA+/Qfu7eO79lruzjXrpPuqtN8lCS3cbZRFs/oAbe
GnxFXlucWx9vwU2EJqdtBrJhOxePiROI+rZrjoP+ZPItgu22OOlJfz1F7ynqbc14kdVBo3eXqHtF
eRHdje1zmd10lrmx3AWv/0nE1qqmoPKMDW4m3iVrgwEf9/sV9R286ZXNhNtUpMkUoIs4YiboLkbA
EaZV7Iio2raRtZlxXZsEnhaTTlEPmwfOvglJzBtAvqLwyLSVzPlCsHRxvnywCAew3LPubhn4ZHPJ
OOZjli81wNVoBlNC6PgYc3dTEgzIWNcIA2sOnN5WYklzFls8lWujgFl9yptzPb1DIFrX9Gzm6Aco
ee2ym9xAcyGkcY0YZwW2i63uxoihR9aA9jfu+CvRT314SwiAM24JUQmGau2qnZLgOjnOXaCorJCd
cILYpigOMMvyf90W3lObPzkygLO1cjBCZdgw8OOAcLRoTAnwTcgPBjhN0r/xAHVB2j7SBVxpVnMw
sxILFFnBhU8DQILuHjeA5k5ScL6dhmNqAtUTzpckMwQg+KaJ2eupP2vmOyVftokY4MtBNTJnN6Yv
dqMHbGE0djjiEbmgk6gHdqvibPkHvjlA7KtFXtJZxNiazosf4+s3s33YtEc4hGgSsm9IX+uukt89
KXeRiQEpHpvubmhnIqlq8QBwZF0JEOzDEMf4v2b1YUV5tq9m0Lr6DCs06o9zntIGICfLdtO7UjrH
hcfpp9ElEYiKRncfwpguwAtT9tHA2aIz3eb+Pp7uuxAgpXiyanLjyMylgJ/Nx7wkTU5PN42Tbn3H
3VBmHuMWVJvs7lwqSaj6HMwoCojuQDJ5KPRbjzOZ8dTZ+PMukKhXZuvtgZCxDv0acWX0lgZx9m0w
CO3Fo0F+OISKlxb8dYHzDVnHyR4etVTboGgMmO7gz3aPDqF77hiAgQ2U/aqTeQsQwoBxAWoyAMps
VfvCeYWV4oYISAFXYOIpq7dOe8FqszKSdoMJmcwn/LkuCMjmvtKXr4z9Inqs46utv+rOSYZgSOhT
ujeTgRtJ2/Q1YQ1BShfRmI7Uq46rYLnvDOszg2RiN4iF6Pm141NRT2tLZId28LcEcpAUBGu9IIIM
9ymg0n7eWf5D1foEm5BhFMEyjPrTYH3iTdknBKSlGNV3Ux5d/PlN1SUEC3Y5IKaJw/0CB0h3pbRv
JrL4kmcXNIrx6FWvgpWfjAqFgcvxcCg/OryA9kLF2drlB+xjsoc845UDI6RkYpCI/zguAXkY9/GE
74fx1ur2rnpO/Bsnvp3IXfZh2Yz9dvFN0gXAeyhI5gDROncPwF9XNlGHfn6OGxrDm9Ypd7yhChxn
qFyaYnz4bKgu2RRLCzQv8eDm2E1Me2uk0wOmMG3tZ6EfwHIpSVj3XmHhqUCQnsM5EiAf/RCCI2HU
+s+zGO71inMp/fdQg+gos2OjiFaub6uigj78SKDMMXfmu0IHE1np6xFcm5XTI4WiHxPTYWT+r0Kl
H1AXdxp5kbmGaA+sqP7ai4OhToj/1q10AIZs7Q4JLrYbeW1cuJiHtqXg1O6UdY6aJ9XejsWrlu/K
vNx6Zv6ZxLyoeLtOIzpQw1QrAkjWguBqgDY7OuS/Jkh0Se852wytVunVTy7wWn8Qe0xKZ8zPPx5Z
vq2t7insjgtpUCLoZJtf5xzmSjIhFPy7KD/LGpNaO5CfSNPT9GgqTN0Klw5jwBGbW3bo9C/L0wM9
cQ56TRFUT1+wUR+GcrjOHqqWdt45GrmQQ8OqW4mPyI3XkeqwAeFL0wy5pMGgPuwBHrK+uO18VPAD
EkzxK1BqkVbf9dPGALvcvY1Ekjj+KjERrXQMY6xoOuQNicfPYU29NAXd1NyKcVyX0Ms5LFfVAMs2
3VTaFPTjfi7Ue6pR/CPQjdpyg7P/mNFkwwv+4oFNVsbWz/YpLGONHBdZ9oBUCyryBtmgn+RIsfSb
VNODliRqAkBeC1zrmrB3vS6Jvv4eaoC05LYUF0y3O6cQK286awZEP6DZzYHeQJDNpO8SsTKkjOb1
9iYnh7smZcc8+slRC7cVh8JsEmeowntV0/7QWVGMS92R4TVDl0lsMm9ndpJ43jQdKPBMvzMcRbOx
eYakdrYJKzNg9YBHbKLnPM3XiiOu2RYUKHAYfe1q9WRDUJCFZrzPuo1dqjuik78szb+r6pESsUDt
ScMQ+4Nw+3Uz8bKazZmKaUdZKueQEL76wWArNzWUpna8E0kdWNI6wO8HBUg2TvbTQ0KP21edCmJk
YEykmR8fLe211Lu11D7VWB5M/QutyzpX6VqjIyFrVI3XygWIbVPmW+FRJc7ZXLSlnrGblDyM0PcH
jzVTvTBAX/uuuSVjI3DKHH9pAlodF2U8bRuLTLa+2xcjzFEZH/CqPaVW+JAAvKjnrRl9sQKtXYNQ
YEVa3cypyqHyBjU8aGcE8oeCjO5+uO/YJPTHUroHvn3d+9QpBovutZXXyubZYT6Uz3HW0hPpVyk8
g6KJnkJCKnOiIkny2WQ26GFaJCX1f6aAx7sNMdbnCR51PlHw5VbQo+LjXA5IbTViHsxrJ2gEeeDq
zWxvYvMoI4OtSDsQrE1zEognMIL6ZYqvc+RQ0XAWYbqyzAsWd6ASm4bHbODK6ztydHAsjt6x5QSD
aS9IhOA0/UDEO48n34Q2n+PAnVKwuoRWPRn+wwhWIn3uzMMA60Ooe63ieGpou2iQG1n/crXuUsRE
ThYc3W3xEnKroeWU5Yfn3nsMqRrE4GV1O9YMoPNr27y15hy0Dm/2+KrSYyuNfT16gSMbfs30Tdwp
ybc2K4i7X/ZcL5U0Z4flzEXVgqeL7UwG4D7XtlIrGxJdoZNPA2BrpoGdTO22psvfTURxGER9ipgw
+flGT8x9wakr1KptShgqR32OUgXrVnXKPMZI0tnBx1uhf78Ms/PELrHOYy1AQE08WXLA/LrJMtir
Dd0W9Mu4xxFNVytSjwPOocROMpWy75Oak2xDrKk97gs+cGALzzMy2BlEWDZaR4xSTAeiMzl4B1Id
D4h+riRkPyawshmur8cFAzIhK6RxkvkgNYp8E0u0nr63SfJhg1F+V5vtpnSyDeouhqRfOuUumwsx
WG0IqhcwbOu/pTPpt5mx9zOc9oV/r/u/7DS5Bcd0Gym0DLZzWMTes8CQwA4/WQVnT31DSCGkLWst
0uSQ6eG2D6egibzH1GVtTLQNJI6di0I4Jz3R0XO6vtEU3c4hoSxG+USDQ+A6TV8Hx6XF4XJaaCbB
V+cbmPu93OHlzr6bCigqcKlqSC6ZOT7PQwvDrgTK2SBc9VdFn++sXrxrKYnU5VXa81Oef8syIlNM
vYzKZD8SN5ETrxuRnvQ4ulWqPXS2/xON/ktMWrGEmtxw7JnTu4Gksih7aHHcI/P5Uk7/3UFx9Bxj
A6ppV0710bB4gnVDQl6zjqJrWZGC5y/dUY+irZ0ZDrnzTmYgYnNcrFZxArVzU3XNVU6SttM5s7p1
S/KOX5Lw62zxx2jasJ+j8ujRV4orWuh00oRl7Gj43+P738wUrq0+0PcVeHi1XTY2UBVe6+JucH4l
vn9kwSauAGrzBOXWUWpjjcOR9eQjS/iNLLx6XX3DfLvNYovOZM6wljed3kPK7/AoUfKh3PeedcmM
Jff+Yih/IIfbpEYefyrtI57p4Hqp+zaTvNqZECe3ucNAovialMssUAviMX/uWExIYXrLQzomBqnH
egQLzU85B4BJN18kn9yYfXd21nGm5yCZcBazHQAY1wRB3nLgmUaHSjtDSL4hlvI74tarXl8jd9nn
Uduu6G5vmbnsJEnglWMHFcittPgc8qfR4sjkNFuTAZcKHZL16oNhEaPhORf8v7eyyoO0ce6EbAOt
kse5bQN3tHaCRO987K4DEINSh1w+1xuDXip70rk2msCV9Nfq+M6kpeEV2jetzKudPackVDTPqZaT
nQzlmyU9MhS1bhtY8y1AYKKcumr5ggNLf68F+1lGpKptEHLL1z7n5smmfVASguROMqjcEh1tuu/8
dM8OEqhZbYdsOIOoPWYwWAp1T8LQwYqfGW+ty6nh1ibUZ/jIouQ2yRe3cnlrytdEJxegH69V3IFB
X5o/0VlLgPpk/qMczPsoa/YmrXnFoTscOBlN1qrVPgeTiSkpMURQHe0EIEIed0dmMCtJhWYl7YMQ
lAIc+iW9F4OyqfS2DjudhqRetNlPTpEnWb3gvCc0JACCj8esJ4kVsm4DU8Mm8IQ3wrr0uX3UjYwQ
G4GxJNqSO9X29kp69GxtG1rnPZ2vhyzsiLUluABtfMo/iC8laZAqtEyC6euZMIyMWX/TQ2/VOKgp
xmYDnIBTfkrkXMZP6JbMtqI37rH7H/W+/87m9qNPh4+M4Hmq6cKFqQNWZQQ6uspE5qyGfvrEEXLv
j/0NvDx7XcxQryA1E8uS0T5inrOgh8OYsZy9BTM0cROy/ImEt/a2nKbwNm6qZ89qtoWBt84t2eqL
BlQONOLW7H71uJDYN3G2QPKcNmMmngBafWn1eNXi7Nup6ittiO9xjqm9kf9tGwWviZEtrVtwMyTs
GB+qh5o1LpJd1Ov9RjSKICxmcfuyy+ydYtw2STsAJfdYyx6Oii1rTu5VvkMbdPaT8dZh/h80lvYl
RHbnkHC9mzEGlTVQIk4vAYoN4nosRGweGL9dmVnPpmLxnVS1vNaNsfMnl7bqEu4pYFsioW2qBxUJ
2h9+D9CbBaJpzZ86I3UdODQT/EHduC28QBlB1Bygfq6HyoBdCgwbOiltdp0vqyd6q7UFr4ptv0XJ
tPOy8K4v8200V8dO6vvYZPUtzScGe0yAxM4kQolYDDcwjPEucjIiTa0HKWjfl2yFlmp+Kt19jCLz
GnnJa60T3Nb6Nautrh1jWT61FL2rQuQ/sIWehVIv2FRQmmTTs9CT50JaTlDCFgLv9OYmwHYyoz/B
iH9GwYPGHFq9VkTALKJb20PPgmHh2BMAg5bhUKI2oCnuPjh9dh609i6Z1NmRw5GBzR4tbbVLi/kl
qXIa3l38ZMZuMEScIgdtiwvvQeW0HsOamEz73VPNnWZ0G5H6d/pI02gkI0o0xzAb38ilOtdVSwcG
ogEtSRG7B5RAVw/eYN7Je9vgQFobJCuT8XQGKcLQ0dyOGGikUmuPJY5+yDPG5DMBzQ+VhbOk1xnH
SmevLKYN9CjYz1BUBEZfPHpRdD8khFBJ0ztVbf4RQ9ox23KNyuOhiucfZiG/rGbaV6oPOlG/DNhh
oljQS8vsx0rMj9PIqMyZ83ClOdlZC1lxBNIORxjUX+GLr4x7YWC/8rJbpyiuQx5fVBe9F0qiVRrP
5I3sAPgcomqut6Lvt6FJK6DpAW3om3aGdZ8YN7UZ/dB3DWQ3HlAvHVp3WhCq0CpGTLdtR0lRUOjE
vUYrUL/JmO36NREoUX2feSTB1eyvRrKT0jukTGoLbTxqmblHpxjgNwWL2VGjMkUgpuysaf1bkjvP
jcfwwcTMQ6uQLhqHOAyVt5OZcfRKdu0wbOOpOlXEAzLmPYAROca0fbw63485jEp/RGAw09/r9exh
4bqXjM2j4bNJxDVTe8IsNiMGrYTdz2RkmHv5unQug6T2Jc2P/sUFaN+uKLDMw8N37O6pjKvDOBT3
aUYnhSozwtwFhOsub74TbEeDTVgpEdK7sYJ3H5b33pTfsjLtzaRHDiReJeMYrXKvEOf30Gjd+dUm
01jvn3Rd29Z1+MvTIkA27oMy7xCn3kRiuthDelJM+lQK14YjATq79Ty5943INrFTHEqtPlZgAVEg
MDT26qM7TURZVmvfP5cRGX+CVKypDTpQcyF1YOknOxPUmpNAN2p69neLbD3nHCUf5tKm05qjIONc
M57ACZcTRNUOZQjDhzgWG3eiwOJjJK1gnfrMzHx+D80S62GOOCcx2av8F53xsKRnQBOa93nCumId
uzAklgE4UGkGLbto79Q7HfGCHn4DYduOuQXrTNsVPZUIaW2l66xR5tM0GpDv0AfP6NwtZ6OKXZJ6
n4f2I+rqPYcPhG7NO0r3orvvTBLXPuiscM726L/orE182PUPteNBGs9mUe4bLto6D8C0N4s6Whak
M2TvWXmtWzR7k/UmxvPU82gb5gyoODPCaeOUoaOihG5oRKKcYmvZTlg4Vf6UwHyDJUWPwAVDxWQN
Egsam1VYCc6Bi+Ez2dcmMtxc9g8mODnd0A5jPh79KSbkl1BPreDUJhESEH4xo/cSZ6948+iotxVT
4BkdinGO8ntjznc6xzpRkUVBTPYqV/RJKmq0vKN9wuZOlVvC0+a1XknFAo79bCJrqvt0hmeUF9ve
eVxaTb0nV7bebyPbP/uFvhe6tgYme5LU/RVpxxFxLmH/2RinTNkgAPmv50+XOU+kG19mj1UynWkZ
Ml1rQibLHTo1B9+oEX0YWfxg2IrUw/SczM2lmOONPbLXy/BQ+sXGiySD1h+i21JV3zuD/CT7Z1Up
Ah3mlFEuccq0ptCUnuB88eVm6BL9g1eLHbL8YHQfYV6v4XcDVne3eoujdVBAe4sDsbBbl6/YJTDF
qd/7+KXwxkNCf8UgLNOsER8uVcvEHtnSBh8oUSF/F8giUQGckYkdo5jUvoFldZp+sYQF7OBnci/O
OiNqRHOReEWkpqmXwU0Z9aWBrUfbsXWvTTq+k5xJYErdHSdxNSbnh9XxqDNhaFP9ogoiIplYmcW9
oX4c9CoRR5kxPTXletE2+O3Fz5h8T486lVa1PNaq2pdTuAGksMntp5BhtXqAhLwey0tBM9zh4+rq
aVonZG3B0jGeR628hlL/IHxqm1RENU8VStqhb2heGi/lvFga/WfT5Wb1mtqPpvxRmknuyWlKR0ZT
Mc3UWIUsFnTV0mztlqCGcntFPybXbl2PZlaozoqMOlgmAfJrlByCQ377MLf5fp6Xic94KmseLtDE
nMk4YR6rVBRYeJfdsKetJldusZDCKL/Iy3gGZ74eXfWTWv6mcJqjxyyEN73jFSwq/9pXqO+bN171
a4YYr+bRJgy5VZM8Oq24huPEZ0l3m0yqVRnuIvaXPMl3AxkrvkWa5kNprZXCC8/V6TCc6mifdOcU
7zWmutnfZ5xyUk4J6DomsB7nGMdqp+9pXbb/x9F5LLWObWH4iVSlHKa2JMs5YQOeqOAAyjnr6ftT
D7puV98TwEh7r/XHdstFPRRr8ayTEmV9yNVDnz+ynlI/CXaKyEjlV4MaMXe6djHILQYt4fyK0nUL
Fko9+aBc2vHfLDiV5Yzyl0Q1PNF3ECpQtpC/00XiZjcy+ph5/ZAAoKhhnGsGsilGt+ZUVKi6176z
6SMFPWl+RfNASAs4gHRJuoPSb0jA5F1Kl5bbfwSbomxEg04+FnTW9JAriGz9Pmt3gdRLKd376ot8
6xxVB2xdpIebIXiO5OtIqHaJ8tecTrybyvdI5G2N1+UkDL3XGC+UDmJPfUuzyizKTeQZZWf6YeaP
lguTpEcnMs8aC6VWePK4CYK9km06YQd4vkp1p4hLlsGN2otUhUznNnlj8lqr4WzzAPsGFPdLqK96
9FeM10rbVHTM6Q8tOS1+WxrI07WBx7f5ERQiSN/p8DTEI2NhNv8zU9rDMXub44qSsFQ5DDnAZfmm
If3KrigEYoFq5uE5lGtGu1z7iSJ2ooNWsU4INDw0ySZ6r3yUnSQALXKhaq/5j1rbEtCbEh3fu3L1
yfYqkqHgV0RONq4VzU5dPNNiYxQ3sr4chGG5STi/3cAE02iKSk0QYDhrJ/cf8/hnSM54KdmpjOqU
ajaZajnaRxRWhnGcavjfj1Sr1uLgyAWy5nMqP9txI9SPLvmaDeAD8zgPx5xQ7+xLbFS7mpwIhl8O
37WecBiWhJxb851i2DQyj1kfbHXh0mduQXMBGqwLMCp3zdp/C7DuK3ZqXboxBrH3uDyh2ZWIyWqT
669RHTbIAldtsQtBKVJ+UQs2JEDoxIQHWkqwHlBkJ1dp/EAc1DbbLrzTX8CrFUzH+jsfsK6Q+Lbp
CHjxl7h4tF1nvXjU8obrsqDitKDHD4o/3GaCR6HiiuK1+KN8z5O7r3Gy/mPJ2epQZ6hLfNR3iufT
vauCurw1yYUnxcBvYClnQOe4dPm6tNh3UxYdjbltcGkSJqXvaNQA6Mi9672Yvct8dUl4TYpfij4A
CVThopUnot2Qf2ZuKG/jYds2hAeQCR7tpsmp1A1ESs8lHva2b/wg1YwMT8HBj7weDPqQ0AdOW41M
VZ82DnuFH7rF8J800wpyHTqUmAekVMS9aqTdiXxW8V7i/vjXcckEOyXn6j2N5kPoSZuyURiFZwEF
WJoMNi9OmbIWOUrnjLU30Llm5MdmuiqgX5iqkKzNz1Fw/OVYGwAbsmMPRS22G204tFZn91/B/JNj
Hgj/oE4QQztihLIG9JEsh49hvhCgmoHyjup+ebJQC9jDcu6VTwttG0UTBC/8NXJghxPiNjQjAbO+
OMI6vGn1vp9eivA+oKQp1F9l3iLlqKkdM5wcr/Vk0vyOkCE4St1WQV2BGjDk4+ABScyLFOyl4p51
xCPop2j6F+eHWj5ko8+ycBSJLjT+TaDtBi90eE8HV4ad6VehfjatJwVzVJfowKTDX8L7r+zy7m51
G0H0dOmmdYcMORSDloWNPSRaati11BFMiNwSRiVqF6bjZDyjwWNWKnQ37+9RdxjIp9W+0ubTKN0+
OCfxp6ZQ58vC7WjGnQg7/FF19jXxZKob/i9CHPXEv/rJlqo7FPtpn9mJuovDQ0+bvKB6I3KFWfoY
imNrQeT6a8Q6k7ktkGPjheCftShPrrD0gfaNIxPnjT5qflJMxh3xT6TYvtlP2lGzYEXP0/QzhN9U
ZKy5O8kKKYiNJNwWeQ+67MzOxEMvkqcivsDDdVoqTBInVgsCwvmnnU2alvHvsPTf+2hf0afJKRqz
FQFjgFb1NamChHCnFyCtfj50Ku4EKOV/MR0VxDrMnzg7FtEOE3NPs5YDZGWITqH/I2bbrpEGdsI5
C55Z+VGG4MqwNX02n+LCrZp21YEZckBbwSuUv8luy9OT9v9ttE/gSa2HpbzNKgJhB1x+JYTbmea6
NLvV80cAKUXS24EyOzuIrz4rf4SXN+u/G1azgFTo7RQf9cAz0w0RvG7ffUw816P/mZq/g/gTKV9k
E7sZm1oTvLflpwEhY13HxbYCsovuhwimrdxsxoAcsndBJgBCFteC7vHYoV23R+WRIOOsVb6Lng+k
eAt/IMibWzwOO7PPXa7kpj9kxTcjkK1pX3PyoUKsIi7K/sU4joFKVmC+NZ09cuHNVYbTybJ97Tzq
sguTiPqeOzhs38LEcKURmeb0GfSfWk9d9DzaberbMVr5RsHKmsyrWTi081vOwTWB9DEA0sERWxXq
K7jB4WkFBgOE7ASmQhVLcDBYouocfSINQ+WpRAuObiUtvOFGguwZ2qIQzqT9CpR8ScpDJ5rKUI8w
FsqHIf6LeQ5TWuxz5WXClfSUVWAPd1poKvT4BhIgwuLk+E3PvCbBE3Ox4ofqn/X2jjIjjXeK9NAb
22z3NPtaUEI9xyWHIvy+iHDJCZYQ2ORAY6ubW6SzYIxS/iR+NAA66yDdy80dpTcChTvJzOhtNzP5
29UwqqtW++PDC+OzimRf1Z2Wh3RQPvl7owOttCvEP5Z/8rOrbz1E5dpqW0k6DfqlLt+zwQ5MN8g+
1PlY040kOxGFmmLAcUhLD1oGFvSyOAgBTKWylgPodi5nj+iZ0njk5afE0BlYIoUllJOAN8IeyyXV
4jKmNWhthGihsevbk1nW27j9E/qvMbiWgOcjAzHuiyaiQEh1es1B7ZMMJj/UVRLDEov2RKZN5IjW
IdLe1Y4myy50I0Yl4u/Rpf01kMG9eeVxQn9V8VOstwKTNL6GE9GkDvkmUJW4Hld5/xCFK/yPlZ8X
kasPrL0QDtccA0IkakfFVL2s3Yi4byRGsF8R8V766gwitOHl5m9p+LJgvkPC0fV2b5bvOhCK6OSB
XdEczwLGQIirFghGTRGsj4k9CJSqvk0Fbd54XGqE1/HZjxW7g4KWfH4Dx3nIrUFMTHRvww/5PW1c
VYepSLiBZTJs7Th5Kxs4+fZ3zu799NWmuxppHHhPqJLyYp2U8jJrP1NMfMzR1L8XS1RzGaZvCPV1
OH2o09b0HfxBwXJPQKEK0zMiXiFk4VwPWFlVYCVzvYggUNDJ227ciyj0Y2WPCsEa/yg4If6bTbai
fXVLKOkxiigXnUAzRptdh9SgifYC1avA/QleSiV09+gxg/okIGieRFuuqThWnqjJotATkNiN4NNF
AkW7cDx1yW4QUmjnTZLr649A+szYX9FQdOhvhoROm++5EWzJ+I45o2RIXnDkTiDrqAdpOqrlRSIB
KtSZFngsZnATu5V/RgLEtEx24/g1gKtU8qbidBJxNSrOEHtx9WZ2dCCWe6nk1hyYYAjL4Xwa3nEQ
TKojzu/AAhsQep49KM9cuYagdZWnVy99PgkWOC+9z58kfsjj8m90BSZeG+8ikRcjBywiq7r6SuKz
FFFT7s5LH1L/iT8BoRI+o5i0bDABFjpsY1Rbg2yuK22Zm7tVmx9F+adAp9/Fhw70s3YRadBinIK9
QH0lp8L/i5n7pGRJvnWN8qKgi6rHL44Nnd+sOUPA2U42Dy0ScOjvbex1xSMKnKlDTqs8zfxTZqlF
rhdWb4b0J5eXxjpFUGAtUeNFRUMN/rl1Jb/74B3YEGD4UobLqx6vU4t/g9DN+WNKilB/8VDbCfrk
+VRInKEUwh2IwbWhLiOxwzAorUoOyzQiu8sAkwFLMrzcfMr1CrxQ56Mny1gZ/2XhzTC+0RNQAH8l
BXde64Fbpad6/g2oTGYJbrG/5K8UQWvZPoOQ65uvgqXfmgfmx8AWuMLJA703dCk2GF7c/lbyBNR2
hQCk09ZVscMotIqXbF9bb/7Uxk27rSR/NDOXiIWCsDnlhj2eNNSei3pTIndrtrWAq55So07bjxyN
PisCkEVAVv3EuTj8SPN2Jn1iOsTJqWbDSVdhYK6H6DcOeWT/ivxfiYTFmKVtov6a8yv8p6GOkIVt
qrxCK3O1JSu/3WBWc+rlsX5H7mkKN6G0ZbYlEzFl1t7j/tUjJlIt1F0byTxO05lkY113tYmUUH9D
a4qI1DkaNhwrkvgHdZIKR1/YVcJ67O+sIdQxMZDQjlazI5KK1WCpCb2uotYgjpzYn6gHuspsB5L0
qwdHg1/TQoN2CqrdM2n4hG575rTRg/fOfyqA0LmhOjrHPX8V56iauNb8SqmZr8sfNdz3ElFnvi0y
lUSpHfVQXmF/DEtP5BtKkn1iONZ8VPS3bthb5UUM9j5khv/Ubijn2uFDF8DbHmlTQR27ecjSBUtL
RzdEJ9I4fVSAXe/VDyWvsf4K+59CWRN8RhScfwwQuEroqZ/sI90SzuaZPrjouoJX6cH1UBiIL0n/
jUsWYSiatdY/jfKn1t6UeNvVwVrvdiWvpbzJaaqaT2HrWTEI71GCEvBVxpDlR6xw996N/iuOvgpE
cT0haBTFEZif/Mn+mlceEtkYn0O61eqtGHKsO0toteEOWG7HNVxyA9CnbbnEZx2/CZVfCAETDlOe
jqnYsq+mJGlbdtfcNBM/+PiauZ/49EQO6uRIcFmDOjaBjNXvrHi9/5cArMs9sNqOenNXxUTO82SF
LiXwCFNBdPVsPy+NL+9h8UmtHUiamtzDDJNU/upT6Ie7KKJz3GjY9EbOldquVddXLyaFcZJDFGiU
XpvpBiXWR7Trtr8J4rq+AEBZfE0ckHEfuT7FE/ho5VPSHKb2V8ITV3O7k9xvzx2w1NdyABLfYxcR
gF71LAr+KCBMpVpATxbb7GWE36WU7PTy2wRiVRbbARTEujAuOcsLJrBVWcGoc0EhxahdwTxUHXif
l5Hf2Lklsl0eJVhfVO1x9yX4qGnabZz9/j+0PSTzLaTkWQW+tjNS0xrOXJKaOW/+KL8l7C5BDc2u
Hj9VBSPTqQMVXBrZwvDEXh1CFkv/CD9GVXTE+KxknlVcGuHcc0wLezIMwMUOcsNMgdpX47jHsb4f
/V2k7czBHn5kWn7L31nOV2mb2CaK9wHwnNVSRwGcPCdYifBnnn4MRAEdw2RWHWQFQeroIfLAvAyR
yivLU7khUtxgw4y1nwCsWoyltfickkvS3IfcayTkkJ6vXHMLFYR1DQplJcQa1wgDFjrXnqagrirs
fkRpusSPIGzAalb/KfpvF3xo810Ler56AhiXFQ9UQwiJimjEtS8FxyBbU3Uk4QKj6+coPWGXEl6+
bhfw00LBwubTYxVAsQupkGeu+rvwFYoZ4cfFsDGjBVpF2VuiO7K1VpM9RMJAtzmnc/ehNcfZoGxt
mwTH0nymNGcwPgp2G35WbMrZSCApZeMXnF88F+YFnrIjRi/dTP64UrpTL/wZyil6Cj6OGmxONbIY
qNBYRXwGZV423DWnGNnwODi4z1iszIbrjiKgGgLBg4sr3hrA8jamj1KCy1k2POsKuY+ZSBRWjGBm
7UGkrhHkYufnFzTys8zuhbi4+nA3OK3wSSRk3G9C8hzztV9MPDQzeQbXHHEB96QeHoUA4fYv4QTB
uA/wY4/5yD3jSDT7wCiWdz8xcSBhz/9SlXs5biZ4AkyBKsA1diWUU6gExWEfFLwXqJJW0zE23zrI
Eh+rHHNd9UC9o9BCk74KLFHlhKDzT0zcOWUD8Zp0o1iouhU2hFPHynrC5dr2V5oHmGaOXcIRaNf5
DZ5OGDVPsFhD4KQlNwq3RFeswukQGq9Y+QrV92b+Nwo3a/iWSw8clziAFaym1RGjquIPZpbt65ck
38PWB2BaQwMA+CG8dZtqT2ooLoy11Z1VWDIt2lFD7mP00agbMFvuNvluwX9H5RYAgwKttaHxH/4x
XhGOkbZoljcCdqdoJ87KnURuMjIZE9t6hcFmRUY/rd1++lPILsZdRm0J7fjOuBsIf4bFqf1P7I9V
eypgAP3qV5ExCgKQsoSLsMcKIuFNoD5JrGRszdQfPq4NnSTov/+VghPPIy2WJcrxK5cIcQWztB+6
R0wMJCqYNbo+2pfbz+YrqS9RdhqTcz5/q4gbFJiuErvKLgRcMfZadV2iqydu4xhOCKVLv2/QqAB9
KFgML6V6o6qWg86TtV3ZOP5EjCdsbk+Z4qUPv/sk4G7reaN7J0aGbAZIBIYfLfFwbfTmwUS3GaPH
ojZhNUA0hibFSdFbqzCtZ3/quK/EAw3bbKGf1UTOmomenhqXs1h+NAV9S8MJBb1ocmNsI965YvAa
Uz4YwyWJNyOikVTCp+8/c74EKz0J0XHZfNSt2W/BzNL0NkmYZ7Sz+hNL9FI0V7HH3S7iHaJv11j5
JW/cIYGhELfZXDFYmXiaroN0YZ8rE8pzsXnw9OlsUPJJ8V0zcQwiQC2qvgTrTR49bFq5/q9gCudO
nh2BI7HE2NHBC7TgagppGU9axnAw21n1Jw8OwjSZDZweTyCYxhH53xb3T5ytS5U0udEjtrTO+N7Y
EAI7KtEEJ+8MTSK8rf//Le/w/nUKTJ/EdcEt1izofwlN1mjXTLNb0dyH41eGS70vO9TgXDeo/BqU
3Y+efjBlcK1URn21TjQnVtFI+D9i/61pb5lx1VGtIntjXgIbq99pWVGqCxRJj5wCenS2u5qjq9rN
emRTy7vJEoAKtBaNX9hleMTP5CVh9U+Psi+/PmjpnUonGsNWNecf0+In2hVN/Y0o/sBCZqr7lHmo
8UC7aRYiUCsP/gjHZGzADU29hnj058ss86MkMwPcw6db6k/9MaazpLs6bTAZ/gU+lV/rV6M5Xk+T
TYzieLoy/CmALeobmYdNwtO+0Xto/LNee5Iy4Jh22lzeyvzTjW4QY+hDwl3UiWeVCS6i+g1NUhLZ
U6TY3Ihjqa3ihuuvpnvU4iyf1nH+1cb7ZRAJM+b1QVrl8m6IX3FOegaaZM4xdTepTwnMe1G67fjy
GsY2Td2KqOC2OfJdmngV8zB+tO1WU9aWdoAf8vtvM73kxKuS4pDFd8rapfIJeYdQVtWXhFgODxKB
xYYfwd7KLhTeysVW6l3oozJVHLO/AHAr5p6P2I/I1LjViF5DjK9zuzPEiyCeem59hD9wNyZonZz8
GyTMFCjFUI4H5XEIKkeP+3XYnfXmlACyS8056o4TTdk9QEMW/xOXM+kAdtS2yx1L3x0xxlvdZJpB
8JFjkZ4fufYpayWgW4Kek6iD5F2KE3jEfxCV6MU+g3lroofDTgFxuA8wwBKOYLri8Gy7I377VZND
wnyUBQJCTj1V40d7FZQLAS+I96Ap1IveX0mrDZgSZPmuflTaYx6+ZH8lV07PDlPcwvRtIWaJUOX8
VANSapyw+I4k+ks1EXb5vRqfYX4b/JsuM5ewQG7b6j6RQk1wstWtOgr9EL/SkEtKRM8yDEktoB5G
ATVcfADt3Jk7iEy0BenWB301r4m0F6bjQF6s9WhU1S27c1s3gL8M/T+xCewiuWn+m4rKsdXAvYD/
UcMfYmW06Td2pLlcxzgsfZXV2SzQQJK/y3hYqcZaJg5ZIobAgxfG8pTyOXB2pBdjuMUSdeqXSD2X
0qEjFjhfxXmNtd3JFOSM8dps17HyiSqaPJ2qr+z+l2iIDNCXkaZDGa4C6ZQ8+lL5LmM8pK+nCQ85
s3VIbEHdRCvVf9M1x5zXDRrIJvqwOHWm6arlP/jTCTqZkbrBjqKol8sztH9VhAjLnxm9TebGZ0bi
fG64NhbnzimXvslnwHcZdIe6OvY/szQRwzTv1JKwi8X3++S/eA0pCA3JDzq6iRy1BH5v/O8mSHb0
iT6F51/jvvEfobUX+QFxW4T6qo3/yuWI4i2v49+sePGhwgvnwasFhkvoi1q0BASNF9lB/p0KGFlu
IrSjCrpOEbL5QfoY/nrYLigGXEsgDzuDN0wFTbsWFocPxxVeKOGLJ5MwKmOCX3WlyrP0mwBgWct7
iodEXroGz2ohe3j4EsyPsYZcboFC6QT8ZRChDwmQaK0UXpWgabRRYk8Ctx/Ac0BAQtdXnjKwPj2M
8p/S6HbEKQ2+MQJFDF+8bSRaKOofnEOV7c0cqQMiDd7UPcCVFdMa+YluhH1tjN0c3K/YTcbOgg7B
l5bIKLUBV9NHobiGeDP4RmIDpeK56wCnyUBKuQl7B+5BfoZNu7esl5Q+6kQEYIvdxozX0ykMzyX7
tpCRjs68EZqdU4vnqCatuPztEAxItmJs4wJlPEoGVIV0Uq+F+Rnrz3i8zP6HVbt5tguaZxszPhbX
sAWEpS5SFZF0vkToibwCFmjbQ4vdMNYOtbErywha6V4nJeZ2FhbxbsAdx08lfMNHbYqQ7Cdqs2xD
PJcz+qkb0gCrxvF68TW3W/YM+aL8P/EexOht5GgydfaP0VHLaQMnaBJYXbAVIbtl5X2PjKcMGjdJ
oER8z4NjxO9icLKw3FTVbz3vfT4BcAJ/T7YAv0s3OXg04rOYPwHhivXk+14U30I8cln/YcDP+Mhd
9KeJThEJMVZKLlhyx8XkJQRXmc7XitbUazK5pbkdTnF2ZIEhHmSI3Jn7qfjL0VIVCdXZABGrIbPl
+ZqREal2joh7R4aS3EFvpTRnP9CdKbo365u2uKmjQ6lqmzqjAlXQADwjsyz6rwxFSpDfhQqaGSha
P0NTAVX2UBy7fPydUNWMV9IU5HGrdm9D95JzVDBfBIb5qaeAXAfVY9DIRKKxmovC0dRmq6uXUX8T
CYEQqTBNMCXckoxhYnQ0mmI1/C5r9cNiq7PqP6KmV6X5SMtToiKb2SrjT+Z7izFFm3Rbirxp/LXw
3WWIQfkb8NpoJwrZWTgQGSU7GZ90EnyjvMgYI3QERhvGX8po9/NwU1Lk7rkX4/xRmm0efqOCjYxb
sqw3G8IKfPU0MljzAcfxX91/o68ienzBOYPsOBIuAmoUGm45sn/jL8Ur2qfn3HwTh6vPZ5sh4qdI
WHTQscLuwPCQ0Ta4+F/8yLG0Yws1F4Mp12s0cGv51bKahtge+rxdC0SBhOklQuUvNUQJfZjiWs6c
iZy0YYPavotvRrDH9heV34LxT4PERjAI1a9yXDfRJozWVbRWY09W79PM4Ej/cPCmRth93e6zjEHU
LyMa4hZlibjcbJ2D+2EIrlXA1rOdlB8lwV+FkhUAHP0IC2KX3pvw2HccIWQU+ncwDNWoVmZxy1Dn
lFi/3CzycDqOzaVvfdvKT5OuYNv/Qwu1aYYSFVdDbpzl1VyXPVD/nNzMRaLevNTFK/VSqgW2pTUg
Ab72Ve5wymefJbFDKomwEassZM1qYgBXGGASpqiMr6YVxXv7G42HvHYz1DX9Z5B8DowcVXQRDFjU
kbz7Seb7w2BB4ID0Wd/kAFL42dzTGD3ywdB5Sdk5ufzUzhXEQze+aDj2uAIY5kUOlXbD0kzCSO3/
yqBIFNcpJ33m+fZqnTwKd/qOZk8OGfHnF3kqArz9MH6r+iMkx3LyX0KMVcQ4C8LBHJ80NOKzj3pH
0FzSqiOcIup9LvZgpJPq0RqdK/+i4V9PXInM7JoO+0H9zOKtNH34ZI806jGQ7Bh59LLWrLsBSxDK
MfNZIKSszosJO/trPqt8XNcowCCw5O6uoA4peQRZutLImfWjqp8mhb72jyyFWPDQcyNXUB5gtH5+
bnMb5wZDrC0AJqMpn3kvTczSwjOHJTW47WfTmXle9aWIEc6K/BPBwFgAKvCe1G+qAQj3NafEP/h/
SnYQtb2KMAE7dI+KMHzgCVPGp6zs85RZlEcgooKbi7H21PCo8WIkumsuP84fpTg0Cx7X7HFRpuFN
wQYmM7iMTDgJxOIU3MbqXiYaA+yXSQpVsVlk9w07d7dDYoL5NwsoTqaLVnlJg4HY2Na/RUTNZKy0
0znGvFikH2H+HVtXrdipH0G7tur3pRyDZMn/O8MZpymp5kltZT5PBst6pKNBWAX6TaSwsKnQaaVc
0GzGvrwf+nDX98DFnLVdsZYQJC7K+sWv2Aad3YnepLhCcvGLZ4HeclKvGp6AGMW/nDtZvhdwZ5Ha
QKv1tyx7Emsc1Q8J8t9cOLM3Zqi0Bfxqzb+KaEcY2Zy5ABEfVMPZ6m7NsK+bU6vv6XYkf8l4tVQk
zuKmNmiLQcdFxNLQ2t2QuebUE364n8WD1P9Uwq2InUg+8LGiwO6mDY6PVf0lLPxHj3YW4A9os+NB
MLGsaZFtVv8y39EHJpzgVxidQf0BPE59VyPAQZHYudhwQulfWVkrHclNBwChfiTyugrBFR4pVwTS
c9or36WjmhMI9pgUNDTl0xDeeyIW0uBmNhdsYgCRWv9Wj8T8PBPDAOBkgei8EWWDNJDSgAsusOyA
PxmZ4HIGEh+IJ0X5Mpp7TseGkB775Eg02IBzPPV3SvWHo1MXv83JJhqfbs6j3LmSYNkY9vhJ/ozd
OSKzrH/2JcJU621kLBPkVySXGz29ThjtWlS5IV+KIhdrOuegy4Z1ucgV4TGtGDePLQabgnw9UX60
vrdkQ5F6OX9MYJkNusWO6bU45KNLzQJi6rNMpozhqfWOvH5O8L2R7EP1BG+Eh++7SkpeNWhizbRn
6cIGqKvHojsOoT1mu6S0BYp18f6Ke7yGavFqADIT8xFqd7P7I9ShNC5jcUeeyGFQZQeu5DrmNaaf
m/H50lX8HphW0n16elokRMGVl4eHive8yTI7lG8q2vI5HpaLqAy9qb3n7R29ui3nh6ratrSGrDmH
SvVlpo8gZKtZpZKHiwFtSGbc+vEKiG/OdmLcMvnIFTV86jKqvXciqNbVHYoZSgMKM+IOK9a4yuiD
XS9289ZD9KRKoJK3vrhLryy5tV2/bt/p3hpEPtX9XH1KJndrN26w1zuShZTdnlHZR9EdBVHB9wuU
Az+Ovte8a+xmIa9ag1A7wc0qoy6nHXiVU+KN9Y4H+1M/iNYmr84dsvkouPvd1pfs3NjTsH4hssym
LJX/blxo29lNLb6aVSNDDG+walcqgNTsLrr86VkbAVLrG15mMWXscZOahOYVre3Rgz7te1/wCoIH
zLBr8UmOt+TO+f0vuQ9N3dtdhG4wgOE7CvNV6wgXy25idx1H6Ne9ln7TTwv18ltol6TkjgZKql0T
AU1L7Bjt4xCi/SUJP/3po0XCzoH0EYW/tYrIlKTFyi0be7ZGuyqtjcDoRwuMejeXqxKLb+L0GYOL
CLHDKIifvkBigxkWxjvr3wISJ59hhCZWVQkou6I+YjkWkMyiDxvLtY7aptbel8bqHmWvZf1S+jvD
Ypj+zyB+yPLkBGps690ni/JUqvgLkZeQDhWixVABodKIczXeCZrTP/RsPeHjDnc4hABty9Tmci9J
sEPxK4Hmm9914QzzN3C91v9IKCpGB8CP/SmRdrl+qBgPR+0xJPtJ8EZ+QPJEMpgEA1JoBHg+Zy25
JjkwOC08Bk81q9QW5977IAI8tQy0BilQd1U5ltBV9VWYj8QZrVmqMZZwClIxrhPdQp6SUFG84vR8
BotYWnViccmuI6oRc9hFBPYpjN+MMQsUgWSjRucKGb4b4zymJ1WrOWfp0wu8jGFMl78mgwwU4PcW
xVx2lMuVweQ1oYZFmlBteMDV+KSJ24DdX0t0lnLSE6oVmE+jv6RHFP9D1y2ITqytxeBDqT+r+FeN
yA49NTAeQINy+yyrnVXTE/QmcyNj7m/36njhh0yigmqdlqSTAb7eWtM4RXQHEk/Q4fqnVDyFDwXB
iObKlkeoqi8gFvR6orDIPBT3vnZE8Uw+qd2ihuK0B19YJBfo/jlfSt6DdER60D+xqNBYdk/02dV7
y67H9iHr3xjZ3FnDjWSepmAtqDcVHbRatKtJ6OxpRMrGr81lFfafvw68PMp8RNXFh4GYIRe6S2WW
60KE1qHRWhhhw8WNKt+z+iMW6q3WPvFm19Gnn2vcWahNjWtvfHYRDk4wKaW/T+CxZJiipZU2M3IB
KT51zV8Qz06DqE5mMEAlOAaTp8QqWuzwUok7YDNHsAAOQ7b1huZyiVuAEZzxLNFeSbbtiktdHwOs
B1HEbRfnjxTrv4X5rpJcwb+k6B+VzCF1GQCMSIolMVbWwZUWeTNQi/oc5XCdLhoxAuVCH4yvlVcq
uSpdv61Ct4J3E5Nrjo60JwkJS5g7+3/TSFjxl0UaHFQhjG1zaPvETpt7VrGOcSqamjsGbgxmSx/8
aoBuxPFAXlJi0yTLxY5cLdbhsSCGMP4NfoliBhNM4BkciP18nEffMXVUKyAYccsZxo6Dt2lNiu+K
s5g4Ov3LqpLNpP5EOp1eXF4h0VHq5NYTVIk+43wBcbFxVuawfOoUoVrE4Y91Cgh1JENBxwNL2Ysn
xw2gGdLZ4oiNzImRd+Xje5Gr3hzfxghelYsjQf+DwQBxNdYxWVvLErb8ZJHEdm9kg56Rme1UxUKA
maJvbb4ln7yDuklW0BVxvM3CYTtZbrOY8h/B9NuZVwxWuCuvfs05CHNLNpmaXy3hU/C/MvNAzuJ6
nB69f02lT7X6rAnNYzuYT3l+CuOXLF9LYuMDXriaW28aoSAhVxhHSCggMnggg3YGM6zkjCv3Hc/0
OpbexPSutq85/pCsYwONNplPEbUOlGcM1a1V/poKLywh4NQy52PIvRX4mIV0IJd5Nk/ZWG1CUK+o
OS7++1JExVX/JrF5nxaVbBjvCSD+Z5XMjOQT5mzVpCVQDn8WaxTM1yHtVsOw3GDEehDPmbT/cXQe
u40jURT9IgLFWOTWClSwJFuy5bAh2qmYc/76ORxgFgNMT7dbIqteuPfcS+iWx6BGAfgeI5Yn7eYy
a+EqDPkdqA36LN6lzAx7fGIthhVIyhDGjK2D/aK0TcAiyxc63AWefq/nnjEIXwcrz15hFcD2qB3y
5iz6lsraBQhge/Qnjvzua1ZkTas4sc3HYqhY3FZ/LZA5yVMBpoyL2mIjGIGvqjZVV++EwaWKUHHs
KWqiAGnmzq5PQ2xVqDhuev0dQzgmI3xd129Vq/yovLrawW53w3gI8vISAdZu+VYEy6nKpHntp00A
VziqP4vlR18+jKbbTJ7DXZCzC3c8FKtLWwW0BUKyZxxKw+aLaAHCtv1fZsbnxtZ/NdRMIQBnBCqr
jtml5r6YzqVKJSgaLhh4IbbZIjwd8VF36xQ1AlNTx8NGt+XaC1vcdyw+YqBRRvSDM+KhXGqmEH36
3rKPBpsDJKmB9RzId7d/tGKO28G3mvRYvRvUNjOL5ALTayvtlUo+Zf+/WWuXcHNGFGGc7EgI+8Zc
lyB2ZAIxm8pt0EKg4M1qBgxALgAPxC1LuCB2GdM0x2VfOM9MFCn+WGs+NvrSGz5bzlM0kFXKBIwN
ezL4HhqaPltl1ndR/Mwiwfk/wx/c1myWm/ILNeNZi99D1Ofah0tJR31Wu9sOjS/6z0ghLGIputdr
HrNj2YIDMg+iXWu2cRLqn2BfXaJSESuGdE+laV8II7jnrOpoRKz80CnOS+R4sw5rOXm0Q3D1DD0F
mkAX244svmU5bbvxD8RMgjmiRqDGOIa9vvx1QvOsWX4vDoQGH5NcYrgaqNxNvuyFDAY0gJrMraFV
jlfd+TYLyAEMq6I9/pem/SJBDGrnyKr+ALTFZHQ4DrfYWBCsD63J8M1ep2qnWNyFeH/WvATt8xx+
y+mJAtnQ3mIXIxEjEBdVTNq/lhWkB/FaJDGgMWotOLnkTComAEH2mA0vnpFgzKM0R4hirAuepoYv
QY/eK5frZFoEywhlXUih2zj9QvysumtfPlsV4D7+zunKRQ6ARe6hlVjh0WpbbMyZR65NfUPc6OC9
IyeIc3NtshH1VfDqagADjbXg/NbcHu7/8BAz3IKhErKs4MhKCCuAQhXuE30f2g7I4/sYID6D0MnW
inXMj8WzXuFHKGSztbFIfrqSP2mK1xmTvzG5eQ7d58CndUP9WvNvVbCzxJOYjll9GP8ycH3upK0q
5CJLL8uWTW+eyn856g/b8h6LHA360zwj6WCvFiCpOdM0EV+vYxjqGfyNEVODlnDBH8uuABFjHDhK
w+Jt4Kf9Lkr20guzLKViHbY1Qy0rG0HErcFHYoaStnxQmKdSMW+k2/uJTj3lh3MGYxA1ZbOZStYn
2AMWikhv75C/ZUgDlSj20niNkO4TfL5efpeMYUrR4mOKby2EQOVX7WnqDprLPGmfvebaW6e+Fo8B
/1QIusxNHRwyeFkNWJj5RYu2SDkVux+TR+AZn45bXmWEdnLMgHpGDOqZWYDUMoFcGVg5JuRIhSae
MXeeAtQq5CJww9AG0fHmqjrPybLQhWXaTGKLGmobYrlP8R5Mnvtvoglo+27feikudWZNOsPYMN3z
TmkTYkRMXU+q6HxElymPhrrN1ZEp7mT5iQvAH5foMhiP2gumpdDc5saGcM8Kk0eyT8eNkz6l6aNU
jzQQCrwZa3SM4srdoZxgzzR0Hyp10WQywxzXJE3IFqjmS1f68F7sxIfWhG1kYgFT7iZja5C9adw1
XO43o7oUxqrE25OTVBnECcyeG1doN6OK+OLP6Zv4Q7B9VWI7smhhB4zvBWWGV1KDm18FLtKyvTjd
vs5vLZqA8beh1q4rLqPmbSJAlW6xjNepzRyu/O6ZsI/1zG3RrsK2OKUs8hsObCH/R4tO5scsLk3D
nsLwDRJa6aaZ0FmcFXPoW1a0rurZR6+Ou8EcNRQyd4MWKInfprjfFvWzStkiqX1ZCYpLvHnRLROB
P9pUDhdlYNkfuEpGpjp4XdurYO1slR8aH6DBB0YOaMNmPGNc/Fr2fzN42wY+OI73tQ3lcNy09q1C
5N+6d1fUlN9PiXpso5OkDjQ0jwL7MTQvXvtkS9Yr4ujl91Gm64lO2ik/yNvyZ7HvAsytOCGrArRi
qrYLdGVMT5n5XJt/IWsJTb+XIeLs4eBhebSzf1aXMYPLEXCf9NAPkIeYdGL8isZ4UCXpDFc8YGlL
uXR2xXOabAvs29Fbkew6FixtipB3N8XlgSmdHjwV6CFS7FSa/PE4JCaaybq51d3WBCuMAwSQOYob
qGLgG8kO2naNIh03uRWE4upPY3QK5w9EA5G3TNRbu36wgJUruSWn/r2bnpV9rqjCYchv53wHiwUz
k2nj0EOquij0Anzr2Utgv83MODpePGbqeKmVAZJjozntFvVmD4kgYgoe5BTHeLdQmekGkg841sYf
uTfbeHBxb/p6uY9CtvNKHUT0FA7fCap/oyTnaYh912aDoL21HOQ6llZHLV5OpAALf5rNRxdfRErh
u8Vptu+j8xxc3fomEyQqhAfziOjFhYEZ1GQUnrSzLSvuL2UtcySY6Ug8fiNjnc77IHhzhlOfIx1C
EGQviVYo1WPrqr17nrP21EfsMPbgXbFIpGZy79ERY9tcVSz8crYU4S6TBwl1t9CNo9JYYNs0Frzb
8bOrvyQgG6DobFtt3k7IQdMGaFetM0MGMIkATzKY1c3ar+KaFduPSyOES/9BIlrgu05aPKh84ES+
tJgZuJPQ3G4A7ThoVJ0PC3xPNO4D51AFb+N4tCrtl/35LW9yVtEOPnsukcJdCVGsFUdB4yY7xw04
X6B/FcjgNf7SBn5tsQ+THz366FihjXLad8Mhrwea0H4rM+H3BnsJavkI38XAYLAsi22RQeTusuYz
1iLMT946jZ5Kz4U2aEuk6UyodKffuYa3X57e8rNhNjDqOVrlkunY/CpcGm9BuDQ4xJndsJH86xDW
lFh4MlQwVk69gRQjDVC8ld6v25/isWNLiIlND1nheBvEnf8ixnCBHj62JroyxYAvgPxb96e5nVCW
AORnIt5hrFC2s7IA0wQeN5U5NsfB+b9b3XclvZgKnLWkH+y6dqvlNeJ6fDTN2PgV+hPHwKfOzduz
56XsSqzmPYeZhD9g3LsdiAfdAkuAo2Pkx5idh9Sq/XK+O8x5KZfVy4wsxjMH8LdwrikRkTfGzPFN
AxccT1pqNgcEMGvZOORNw0OCbFe1Er30Mht5jWYw3aHcKDtYGfi/jX5di5s9hhsvdmnl7yOPv8F0
sO/+JYKjzfmFwACsIzrlSYd/n21Nlg9/mOAYpzXBLQyydTk6RDml2E/ktFWO+WnjaCVNvnRvWsFM
lnhmrKYZh0eC4j5QsDFx+rQj80fwxiaC/8jl1ZZ72jGqc9auGFcCPmbMcCvZchQ19buGJq3GGt4F
B9l9cW8pxC8FBoY0j9eeFPeI/RdQNFwVcjMHiLy0W9Cwi7HK53w2V5leveGszab2u3Ig+48FNIMC
e1K2GhBFJlGw1tp/kwC0YZmPirczdxf1sNqnHDSFndEZYnrgka0q8mda5vPsKmKu856HpqjxiKt9
ywx9aP9l3VNi5Zdu1lYxl5/E9O0hs7Lr6Zw79wWyILzHFB3BMAeYdruVmyJ0axNYTx7hEhZSD+WF
Z4fthqy++YXPXWHuxfzZFxg6mU/V2bYlc8wrpleMBqx18oVkvCEQFx0vI0ucyEntHd3sKMCXOZXn
d2l0qXpmbRnp5PVkPPQAa+W/kPWowouZMcCKzZUJspYMHxKlim2CKd3rd07+2KOoGLO9GXdrl1dZ
zDuFbnsqThrSEY/hnQHGOR++Szr3CY2N3uP0Bg7OZc7f3dp0xgX23nauMfiSwiChPdcp6Ovi1sJ5
D5aPd+SPSFCm26SqBVOHfPxcIkjPtemB2KdDLLK1RZGZG9khnZmuoBVFP1V0r3wM+4ap4YJS91AX
mLrytewxYdurCTjmZTVjiVmInB0J2vpjVYcXkrioBxEAQ+l0yE7XB6a/NtGsff2U0kUbi53XSK+Z
HHclBhELUWPB4tZorw7Xo6fT7PZ091VITumgrVT3l03p9FB3/SUKk80MQ84THi2cD7No7TXZms7C
10yqJDrRgH0RtVXfsR4LqSTt1wBrYdBwikZuv9Yr85H+/yUJmda7kB1OHWRqiqi1h/gh74jYoU3V
sBRkZg6XBXItTDfC0nCruWvNhNmO4QroUgff2jS1vUbn23GA3M3B7wzva6BJDXiWY0v/m9mNcXew
bbVWrmGv2ZljvlkJLNyFSXtgJu+xXd5DmkydxW6bGcws+m2LFQfl5UPf/0r4fXNF4RxW0CKY6yvn
ohOwPSL7ThHqQHDeLs5s5nhbUw3sPqkfdL/NDl3hbOz4RTLW1xoqwunHjiDzmt9The7jn+2Co+kg
XpvxyUPVrMn0dXTGj0k7IewbDbSPbrpxCgiSvZ+L8k6iCLL2YcDJaKnvYkpI2PEWfew6L8sXR760
hQ0ZpwGMXShIGDB+2mevfpXuSZoF8q1Pr84eyhHPoYLT3brPZTs824i9A67shnvYRGvX3Rs0VoSh
JLCus9dBymOkvF1mNsgCONWy6RJq3s9URZDzkCaPzaOoiQpsbp2HWZP8JYSwQfUgDBu5pLFYqW5F
T+KTtA9RK3dDHLBJR9lQgY4j5QHzLsr8FqdeRNtj/cBqXRUxresiauB6hENtLVmO2bthvidMp4zk
q5OM2mP7t88psUYdsA3LToWpL2p2yRQ+hG24gtVE/3DRee67DvgC7o5C/ZsR8waqm9jQ1PjLQSOF
5dXIsdxo9hrFCH7+PP9mVj5WHlrfn9pzv4knQ8JFYIs+rC2WiawK2Nd6m4Lh2oSFbWhQVONAczrS
m0gCkjXf9U5D7Wvy8piMKYohv6ak5hgB5Zq+mvrhXnJUVj1n8IU1pmD9Fpo3kPKV91jaVC71q4c7
KKZ7CY9mhzCGMIDCYv78EWMPN1VA/Ah9MNvvqFOsw06eXLbai75oQPX8O1VftQVSVT1lCWLgASsw
5/USi1FMYKo78CAEAelM6ka5hXNPux/T+QLRqCJ3MxjmTYOPMSOggtG97tnWZvjVHO7lIAPpGUS7
mW12uCx/eTAavrMapJ+IxGuAKaAzBFT1AWGvtYtz0NiVfJyj+ACvcD0g6dImm722W1yyhuCPgKMy
RlNv4dhTHogzrhJP9Vt9kdgiymHPbv42ZveAY7Ty6s1cuB89qWuMs6RP5bcawIkjGeid2S8cONNo
VD37eSSFsGbwO0tUQTyMBkbZMbw2bNf5H3kuv7xR30ctHHCeayayGOYPLgSiugVwLt4t+sLGWA+o
ve3qPexz2Dm3mhySBqthiRGpanu4l/KhzL9mG1cr412yyXC7aZuwbLYO3gWZQdd3DzEORJ310JhV
2xpPtMjq/WTHtKzRRmOxXRrHdHoOVHtsLJ3VijiZ2DOICltl9ilIs12Us8/Xx0+zbw+ZawLB6NYB
NtYM/5h9LYXBKhBdKgMashH/NLaKidC4eaChZ/3GHY4N71llI/JCjmTgiBkYO0aJtRtUvq979PPm
5GdIJsmM2STUew6SRsON/JJEsqCuPqdevqXOhEjru2ACqQOulQFBfO1HVpin2Gb9zGGVeu017q21
yda7IwTRY8YN0O0hYkBRCVgIQ3FeVPEJgL2CgQO4uivED0JwXlybJrllm9jqay7T1eCaR8PttlN9
rIun0eiWzJGf2NB3I/VsLa5j3D3p1Dz5LCnqWr/2nH0FwdtKq9c2HOgr3vDugV5NN5KqpaiqjW71
+4nixGsDyGn3RWqmURUSvPpgUN312NaSUu0HZzpawvWJTfSrpeuBWUc5T0IM+QEubwc78kgdYxDr
eSLe6bZQpYhtjLBQDNFLpO4q0y+2hwyYmV47kbD0nKIFqKgPs+kaCGJy8FDhc917Grgzzq6JAy3G
9ZcHxt3AZst+Iuqqfcy+zLDwigbzNk+KbfA/L9TeUPTyove+Re7aEBRP3lxcYgZbVr1xecVK7V+X
PVlODDSaLZVrnIcIMAjOwEmcq4ZxYJ39jcm8LWmWWj04emHku2l+Ger8UAFnIFSU4xSJHZijvH5H
cUo30F758GM0Uhaiub6br1bx2FuUIG7E7pqiSoNC5jbUirl3blVwCmRyWaJK05G+TYNFidmVbU+c
1P5IKnUczH5qxFsL0aqXiK2hy4OKwKjRBgsGAjo3CSZ4KYwTsNmiebEoJLzXOMI+GjhIiMhxKGl6
an7MH5Y5rhGtBnz4DbItVoirsSouA05NBZAnD0hrYGsYWKwGKIol2429w/KgLEe0gvj3adeFFMSV
FH7eHFz0rCkmqxJmlo3bHcgHlGM/gEvjSHgs+VtIgxrVCVc9oyLup7xMji6pVLJWJwpJFHXBOcLs
YvX5JozYV2lqp09y17TlpqQuB7SPXLe5toH2WuO+bdkKjBigZ0YlU8ZZHHQbFv1DzyyEZD0j0zcB
/BSRD7zDbGU3Jv+FSLCVNNNdaDFXISS7JOvIcSA18UM5Flayu9OS34D0k88g0XlH8N2V6MhdzKjW
d1B99u1HEL/pTBxyJdYeKIYcuJRX7KiM/CiY3zyHbKtwiRPM1gqrt21+1YDCQrb5g3jJ8nUi0PnB
J+wt0mJnisPAeZptjREBsTQ28B8UHItWRE4MuXJwXCYgYm/Ydgxeg159tA2a3wxdY1bzKiB1hg0R
AP+oEVYgN9hZM0L2lFIMv44Vp0fb8X5M6yspqKqVdiON8zTooz+YI+Z0fTNR+o+h9qJ5hFK07akN
/rrpJ4vWLZdjrJb6SD9Kj0zT8LOxX+PZ2yjxOzi/JOReBf3FMq9vqj/TGVYKmcSYCuax5qFy6XPS
egOCb23iNBHMCTL+qob5bMAlHzM2x7STCUcENl6NHS5UNyB7Hbq4Bvow+z6sP1YFVBNpUj3vaIZe
nNDDEIZ1lylx46V08sE6aYBWuMP8LpE79ZhGOz06TThhynD0Q43BZmUddLPdl2l4tNmrjvWr1Zy7
kc2PYAwYBBaObNao2B0cSEN4rM448Ha60JBueM+wAmFsY66kFEfRsMus/lGxO3YTPAsRxlnDxUyU
k48S7CVaD10gGe1y/qe02dRp/W+exr1ksuL2le/MaNJkx3XBpz2RqwAIARj649RXd+mmh9idn5XB
DE1GewsbeAGBuRfMK+fo2KObFtO8NhyQDE7iw2H2x/FNudMLRR8TUrFJPGi1JlIIq4ADEdk5+oUU
B7p78GDNCMzvCgtmF5CdUdRgFkcGQQpVKstZBMlGogO9b66Tc+7omdOe1yfI/xqo6Q9FbD4rlnwd
wSUNk850rvy8FE8JEofOM1Zj8h2pV7bkvtSwS0B2bKoa9e+ye4A10zvQ5Mxjza/WGqyj4MRYcx5b
Vi4WZ8SAyHcYoayEOpLy5NyU0Qsv/XmawzfXTrgnDCdfjfpdZypvVHeGTTtZAF5FEFWyo8oQa2nV
T0Hgj0v/Brj3dyp9+NvbEJFf2H7QCVK9qgcKfYxFyEwvQ0ipbTooYnJQRnhqcRml0O5jeSz070rt
a+5GnrmjPbkveqZ2NXDobOQTWKIM6RKCeT723vjTJgzssbclZLOEZFLqilMSfO9E3eLan20Z+QWb
4anA2TqyWNIfljicRnIboecL4+onH8nudGi60ibdTvgOBEPqPqQe4fhxgcnpzt/A+Eib1CmAi1BD
OiBt9ib0heJJSw00zrZuyHLxlCYrA8x829GdoiWw0QfH4sdG8KWEwGpZYe2Av2qZT6Oo/WUKmxtO
55uUaLixwNYp2BcvY/sm8NZG8ICC6aBX1LuCy76E3cJm8zHkTa0q+04yyCsizuegxZvjZMuhHUHT
Ixi86J5kDAuPxV9rriWFqkZoDyuyB10wtzIYGeQMN4PQ9IWmn0bO42gCEznIP1KeOZT5zWwsEBZr
Z2AZH4qZwIiwj6R6C514P2nbMSuulcd8KZz2MetXDxNvFucHZbGZa2t2zdmqJRqMgGEUWtU+00nm
w2M6DfTWofw28uFec9xkmkHBRbxvasp7WiFwpL4uErWwXliAVUdTXXM4J7nqn9LZ2rhN+K6AOrpF
eiRW/tqzMRBTutdqnrYl/6FCL2Mmr/w2t0b+q+bxFNaSgVC5ArC/KQZe1VasCnh8xjhtBrb/xmIQ
ku6bFdK4juUhBxRRpchTTO+3Te0IzWoHbEdeiSCM8LTpQXavOW6IIkBQHs2PVgLWj8+wUILgr3xT
Dt6pwysm5v4lpPCeJ3xTCfifEkheseWV2ctR4VtoZz/JSgp2pt+6I7bCvLcWFZyu8B+kPBBOg17O
qMVbXD9jNPMSZ18OBXp1SsJUTy+kODxZw1eZ3od+PlYW52NlP3qm4O75WsJcbKB8pbXWRyx/YJ1F
6x3ncdrLsgIm5+mboWWsFGLZV71HVgA6RdFCJcrOLZQFL/WwPVA2V9XNyBG05JEviNhrEqQRLvPT
tjua0uEKUSSZdBRqNA02ilUnjl/qydk5AsGvA4CIBO8wu4sAKcqSIkIUQie9WwEuqRomPATLoq/G
gshECgWXMu1tYpyG2bmrut01pnnuI9c32TnaebjSRXmo5Li16vaYtQUyICRmjCz/qiA7DhXP4XIJ
Dg3e4XRrEWplTixEpLMdyvo+JP9U9jW3wE2qYgvgm2OILVPeb81ZHTIx7KNkfgrKcuOhe2YLxOQ7
WVkzti+czeb8aDIDCzq54WJG35TBNiLmUv9sva2HgsCFTloJeTYa9iSJ2HXIVbL0FAVcJqonv/eH
hwJDD+l5UIzHmRYKOmOaSu5g+6xiMJWQ3Htl7wcPliJLmAJiSKVLtDmMDafE4Iwdri47/4FsljCK
fIOsJcwSlly6hsXl6hxIvwIAzkqEBWBImq0oBtxl3gkkTdsXzwHiQe7a29R06yHHTmArdiOUvjXA
oFn7yuhKDWSYlqoe09D149j5VgOaDdHsdGvmQNy48W3pQWLRvNNvsUZIWbZ1KEk+S5RxI2LvWQyH
MqqRGP+qFkW+xKu5SBFatC962V8ygT1FFxdTur5dlzi5xsNog9xPQpIg2H5rUj/VXrAPTLmx++aq
6Q7GOcgdTFTlpDCknR3tLGbX73Swdh+53m/SksMUpWLKxLDXsdQWO9WghKXktqv6Kxs+ayTSuffP
ZrTdFfOLN7PeloVPeBwpzmn6mXAjh9GEKWcMj+HAgDZuvxwnvJWs39ep02HxCVjAW/qw2JASDNDC
vsv+4pb5SXnJasxucrHUY0p0o0dRpYcMh3DPBggIAhM23rVh4Hx0bgvpJIfzl8S7onpP5/go22cL
gkyUTCfMHn6Fp8Fzxksaz1g6cQIgGjetAdN3s4pHyr8FLDC4HyWSAbMbXqYpO8rBuBnEbAlV3q2Q
GdnobFr0QA+TgCcI1NUZUENSWAZ2tjj+52sYzsA0sqsuK7SM5a9WBSz7BuZE8bfeFJR/Aw9d19lg
c+LxHZUdaUiKuVATuQw7rDoghirw44ggJdIsJfCKokx8gRZlrs7VlD+bOhlXqE/yOHvyDDgE8pSo
CHxVkxF/l2gUI9ZjGf2oXNLNIuoL2dJUdrplgncYcUj2BSCXSn8LM6aYU7OojYFgQLy1kowQDKT8
409nMU2HVrcRQXcQk8P0p/STSWGIBwTeGqeqwS/kFetgUAY6Gqq02TuFeX+1kADHHG2aaM/KdZ7L
JDpLMW2NxN4Necf92eGwkMTXXOzidQ6etIlyZpSX1tWx/uMiyMrnuDCPU9jsXdxbMxrjxtCeNFdi
lWQwTNSl2XeXBOJ0HcLk92ZvPylkjSZg62XmTPZComHBpJvS6u6kICtHCy0QSB7EaC7q7JiMYlX3
717a+srmioQeN8h61ZKKGHEM8eexZELEHabHxYhelQKyr+FTny+Ib52jS/lJl+1tzT5rXNaDUjz1
jq+BkYoygJJkBNkjneGiV+eSj030vILBJFoJ8uF5eO1Vky1acrRzZsx4scXMzgGuq30lfiZCIwz2
amks9h4UlARgMfwZ0rvNfWdMu0rjt8wMTBboz2z4F4EE2DuFoL8GsLhF+DxP9R8ivF0T2a9hFTVM
F+jFMOWiTx1QOELt7Yzi7i6x3jFizQ4ZVbz0wbiXWm+4UPmhtcBcZnucXXys/1L6tGZxu2jsNVLd
+jS09rEPghetaH45Si5TbZ+nuPizJKqgHG2moFd0ZghSCXvTwnE3vesZDHoMhpUdfWPGDQFKFbSt
nLm33cjkhe6+ikWA3WTYH43AIXS+BLDr4lwMq/CVQfJaFQpvFrDgB+60h67EOBR99vp7Pd2qcvb7
IGFPR1DqUOyX6CZ6ygfTDLdSTr+tqjn1KFWruiLSEyq6nlMdc5/0kNAhkaOBaegB54iwmTjb62X6
Uss3w+SJqSkeTEsCVIaPFEBlkkhExoaE2oHOVXPZhke1e000QHlGfOg5qybYDnJQRys1zxmBO2Ca
LNTs/OQRIL5eVR9Tadwtjzhs2n0tk/u0tUCQwK4MdNvPXG3HAHNFjb2zoVLFrvA1CmHGe9vBGF7i
3FjWezgYMHRx4mppc4jiiQWGw7ApX7eKfWba3hoWfNuQNz8fhu3EUaqQHkyNdW4A4rey+Ne1w0F3
aLUzez2n5SmDm2ey/M21v6B4SYjCYzyLTxuTjpET8zsj8CH2iOaLgSFufgu1p9aCbcTNmcc4Osv4
pSPHxy4KwlrzQxIOO7f6Gqjzu2Ze9f3NobahW8FZjvCtTa4l/i08qYBo7m4xvhczWqCByHP7Rtf7
UeDpi3TDN7Ema2nJtKeBe4y7R8GV5L7WFqACHVYfPaoWKVm8CD/WA6DOwCIPzGkfG1Vek3i4Obl+
1XKow7MJlATco3BexnT4Z6tuV047F3tkVWvrsqMGtEnf0IKPsnFWM7tZl4GDGDB7MqaKJx1ZwsQ3
3epMG9KfSHOJRVp8AiL6IYj82k/4zzvdfR3K/rOBW/YQNgsgXT/C4qRVUnCN5ty8Ipy9yhhJvDbi
6LMpUXT0aqXpgK9ycW+JzwqHdMoHmOGHLfQR5tuMB6cqnxonOeikGxky+IYA/8giHu6vunqYQzqL
bzMfnitTPlUmcStkGhmIqlGIPHMxjEyymGhpKF+j7JLZxVVnrhdPjcakPPCtujjaOWmfJe1hgTQa
mYmteZ+1ibZaiBet1U+uiYNtUC0BR5FvoomZTets5a6vwthvPKREyHXsgUorNl6A+EMygk3GxOY8
CiabucPh0IXsPkREDQHzxmjqW1xZW124r0VFY9Mm47buFDWihaqMrJXM/vRQBODt+o0oT4gfeXa6
0MFEO+F+hrmexbpNrYCERWmEvQcAqtWSO9RFYknehjZCbUT7V7SveqOeLK+/DTShDDRBLxqA4cYC
GTvkND57vwHS1DK4oxe+ZAhBRBIyxWwePb7qUsvmh9EjEM9VBd1h6uttu3GoaZtYe2ZqQURgD1sY
K+A0vBUNPTPG8J4GPzJ6IEuUfYnNodjGIT3L8Eav+UuHik8IhVlVMhyrIOajkGfyyIxeWveKdUWK
7zIdmx+jZ/dpkKNSzasxRUmuxkeDXacGv5gPh2Y520/huHVybyMsG4+h3ISeSzA1sAooszrtCiLp
9QwBQOuMtYP3R0J5tZCqOIy7ukjehj7t15m7xIKhVSm998IEF0jZ4TQN+6f6Hzess8pCd9/pFf0F
TvFo9GL86wuSmrZ4AWk3Stz6FM1u6Zxx4hF+G+AnKwBj/DUdjKz8PW9LSjbzsbamY1M6x7KZz2WW
Pmd94gcZ3DGjtvaR+RLCAjJbhLAOgwsk6Bbb2NVUGwgUpOHsmIw8NaG5KpY5o1eeWHj/piUYXAl2
q4hIhsvm7oSSE419Fp+rEIR6TgBAqrnsqRC+Fpydm7mxbpJzNgwKZJUlnlEsyRjushhCVYEaOpb1
Uavb575ozgTdbUtKCaBR5nuZIpco444NvZasitrFj+vA1zA2RV/Rp5r5zRmYtg7lhanYGb8LRgH9
XhudQJPFsS47eqcidugls3+t6ZRkXLjsa0V1sLX+rZjyLy8e1nPuHFszujLiZqYEnoWESeC+aov7
/bv3WNu3FWGMDa8hZm3+RUJEsGXxbpTzQXXJb64ywsy0Y4I23S4dHoXo2eqR/vMfWV4wkWqbYKtL
RkWZOtqURLGLLLHSWECEDN8bfIkckMSMGFDdZrKCm4SFk8CSpkJKWpdSrMCVrVfBV5flj+j7dzU5
BspEDmuEvyIZnkoD8G+hzb6eoGD2JusldI1/vQ0+M0bONVGmhb1EpUglDWp8qpnHkCMlZ8d7GDsm
nTmsmNzu4rUr5v1gDkRQYyqzGxYNHnxi/DwBVrWqzc9GUJ6cMftLZE/WN/jYQpWbxGgJ9rOrbT4Q
L6bFh4xYYq6b4kCdiqsB6Yfu7nN6Gqf+SNEGNrO61AK+tYSExXxLT0mtT72VJeOXKhE+Qb8U+NCe
LdK6q6Z+YXW4MWB4E66EKykUTxm7xNnq1pqOPEh3zoagviwmLCVGtefDQ0SmbYbFGZV0zZbx0nGY
jXMQIZehYK3z/mQI81ZEHPhZfgoTb5vl4i/R0PVUqIFch5B1o1G4wsutB80QyQ1eUZ3dGjXK4KIj
+o+0M9mNXMm27K885LiIIo000uyhqgaSyxvJ5eqb0IRQKCLY9z2/vhZvAZURng4JeXOYDcJE0tya
c/Ze20OjSjVLIGJL7yTCMrIBQ0QgNNqo5iFAxHs/z4+jBzmwCQyM+KZaz5yuR4RSVhxdeR7tqITO
n2lVCIrHh6huD7F+sES6C8z+KoqcD/LCLgo3vipNNuTKvBYtrW+bICsPfRxwyqD0z0dVfgt1+FgF
E6o0uU80ffqJhjqxt2hOABQgDnfy18ybH5dXVQzA38xizc8AeyzWHtpWCaXLIBgx2ga/ah/QQmkU
N53R34SYLA3NFhHb1xKKc9zPmzjU3GAEppfwV1+A2xaObWPwGzmzocUJi8NoyMeGPpbR0SwROAtH
BXkEDcVZkabUuhX3pF6gR+CgBXpNXE2WubE7FEMTAXAOO0nYyrtuStimgKWM5j0hvWd5L1f0zbdu
Skob5+SznKjO3OoApnOKQUHed9aLrxHo008molrjtcOtBGk4c+uDKSlsFJjdfMn9duScjumaKMVW
rsISM8oUZfvGxAjdStR5bY8RMl8EsE14OSvvKYsJtMOiuXicEKnsGhw+tWm9Vtb42LmLcqXwN6ae
L/qhf/Ncg7HDjeeFhxTeLrpFa1Xj6oLXc290NN8b13nI/WrbzvC3rODS7Zq7mfdeSFQpGTDo0AmR
aHwoCfoqmh6krTh3iZzGXvrUlZRcXc2RbbhJdcMKmN913NVcwHC2nz90QfxouuHl1M1P2WzQiMJ/
UyYPGdiEwgF+QeuaLgwlZbB1JsB74uawcwJgwDoyBDuCCbngwpJBn9XfS+z+3LrWKlio7sVWxfLC
HtJrSWi00EDzzE6/Ke4gBot82EkNAQ6V5jh8NOqFNePV8rsHS1EgJiBEWg/O7J5HBbfwwbjvgCJN
HE2lW98pHExuLl7dSd+GlNwyQsErbikoAHaivgMzi32ivrCdpwR8ClsPnCraRWgDxWQc5hExRc+M
KTPvKaJ55GJNcZ3qJxKtl9CL8W0+yUHc4dL5abMSF9ED3epDFcudHOH6R99kyu8TOUgh2XkryMHO
sLcy9C9R3lxZ9nhNiCHu0ifHSulwRujLErfbx94S84JKPIjIEyC9TJsU2x1EoMX0vfLpAOFttaG1
GJgC6QDfjhOTynPPx+LZkA2uu5S7NLi4Sux64e8C40cBH7Bti+3kAkUXXcNhFQrE3PB1W1htvXqq
itcx4RUF03PUo46mSmoBYilSEpQxl44Oha0iJGeE4KaJXbybcdTpDDoRvJAkB4QBKnrpNczfohi5
h+/+lBZrZQ7AKgEVSKAgYHTl4AYz32tuwwMe92SYiJ3u9kUCarzV1xgeD/7gvtlsC+UgXlWVn9Ue
PBwVP02WQ1r7x1AXT14A4HpoYWUiB6ZXZOX9xlh8Ts1+knTEBFYyW6OASNKCmml6WVgGJSq90MUu
SoKxVEogiEs4zBhfxybICKM2t4bbgVqklRERFDr6kKBmTqpwqW/iGjWaVNHdEDQHGSAhtTpJOnJH
NCc9eHowqFo2ImquIty1nvMxL80W173Bt8H57Hs1uj8S1d7MxVKmRmGQhlJzI8LrVFFPGYaPCXHz
7BFxHhnOXalquunTyocMYdMmgTHd0Hu18Qa1VfSjKXOkknxy3U0HUjfWI3I1qv27Cel1G5GcwBQx
W/UCKv7VqMnFwhdWIO/MpF5SF42zvGG/yCZ3P/dobducPn2bb1BPmat6onUS04nOEXGf1XaR498A
M51kEethDvIGdrthfE+DCemh9rfe1G3NqL3SJguzMEiPzubxxhhTcEcNJ7Xsw1Cuuc9LOmbugBm4
yNGLJgH5gb1uyBwssW6YzfzamvZ9nTa7ssNBKzjg1s0vTBv3YUmblZo7QU8aLU9a98QwFBo5S7/B
EopnKhU/nQnD2uQZbzWKeI6Abna2TA7FPQfFA7KFEZhI3lPctGzqByyT93PeEBvo7RGV4D8Io5t6
QYpZFR0wczg4fXlvd5TaKQuAdmivhhFyyJCJS3Yb7ikTIurBpc8wiOQAdMwDIAG6fc7m70ZR3ohc
3Zcxhfmq4m9G/XcXZ+VeBPnWKQm39po7R4aXBlnqsk2eG5AMA1aijKg1pAH6m6QaVnNkbwYD4FfE
PVk5kIFT18VqhvOebL8lqsGC+Wa3vPe4gg4wmeVuThGhG16BLN++jszsQQfVu0YlP3gmpggbTx0Y
LheAF3Fark12cBpxybDSH2CIV3PySzV8UkNdAii7H4f8nerBLUEQ2zhlc+7jD5hI9rrzHORmgP3o
IVHaZj/RNCqiVO5iNu+zQb87QJolpIIak5Ynyx+uY712yXxJJfJOjuUmaMPHUs1rLUYSVQ3qXUGv
sKcFl0lqciIycKqDqCJM5NyP20dZNQ+2zG6qAgglp1VUKYQWoxyLZ6LYMQWM6D0022cinLe4D1ZV
Kh/iGuXzxElhAgsVJwPKOpSpo0V2niL70MIiqkT1KCL9lAro1KrUj45pPxHx8HOg1DE2CnIqtAgv
3AHx2LtTD8dMdZe1NHcjP/4gzfZBWV/TmrpQJj5XzzgMvjpXFu5zs936Edy7mPWbgzWWVK7RrvOa
OsBO2olwNBb50s8oQEuM3GjuLDeCiBdjm7YhIPoleeyGv02K8EqYyc0krJckJx6usdbEH0CkWnCI
YFxtjyqwi8yg7OuD7jCqgg+MrHg1eDcWPMSR+o8USxCDWd91utiw5a/D0d3V9uUgpQVoJHWuXQti
Wx7eEh09nfdkVbV5txZjSqYWVU2UqdaEBk2iwB3GmkyJKV5PtiSAprkY02pvJ7S9eUwSWsPbLoVl
6dvmBebPhAgvGJdi5OYQDCC0527BdhGCllFjngcwMJVJ4ZPzyoTgfCqMRxuFz2TF+7oBW5wHiC0M
zoIl2ciSG+BKTND7EmO+7GvrXsbzLrdI3pks1DZNUhOTKT/6Th3aunscLRCsTW5+E439qjLugdUC
CR9QlroFni/dJCypJYrvMSq2TT6v64KGrYiyrY+ZcMwCZz3U7rzKwvCpVQLHG8u8gNPgj0/xlD7Z
DXki9OpZhJSx0GZYpZqi28nQfhti7mQgf28iTuVra9DrmYXINRxOARCdqEsUFwX+grPGSr4Xgfvx
V5VfzK+RTWZsMBu/Au0+lqZuLgoDaykxmDuVjlfE9F0n0fyuTB+Ry6yeVIZXva3DS/JVNyNkUnY+
TFAjlLMi9F46Nb2Vc3BHjW+TkhpZDd025K6GsLJ7gHTkgzH1V12ej7DoYR6ZmJYLu7x33OzJyHoL
NWL/RjU32y5J8309mKiuhl1Qs5gOarlbx0g72pGaFuRiOi+UcrMkw6RolmjmFnpdPp+Xwr9oneGx
yGLM4zGsiL6l7+TkGArDzL7nTLzkzJUPmSvp2yJnauyraFAv/YTF0U+SYYlWY21rrYe6afmAISyx
Msiv3UQdnHSQ5xwoiOoYB5oVEz4Z0JqmSYfW67lFxIsJtrKt+1Dn9X5QQMYZ+WOw6e1Wyn12e/qT
1sD5teWmf2bo4jmDQaEHiALNyEswDaNeW6Sz6iQlDHlofxgZduwBBwyAHkA2qqu+oxJ5jMzJWRnV
CMVR3Bv98JbHJRowi/u2E4TbYEgoJuVXdYjsIkLlPpNRmN10fvXhOBxhEoHzWxfDdWPJb0zU75xy
Gxo/FWgk/jSuFHzWUU04ECSQwTKi+gcJ4TFyOu8gkcLjn0oNtv8UHJoX+6jKIqBOIvUgOHdmbw43
mRVydh/9kN4hZfQoA5eS55ucam8UJb96UHMGeV5Z15HFQG4QoEyzpMHkQXxWZHFfB8UzyY8XUunL
pv9eU73wKdxip418zn/xGxB7uk0xTco3EDN3AbncOuf+OrP0Gtzeu66hiZMzTYJgnZdYmNPi2uym
d48EtMQrAcx39OlutGUexmZYm11xY8S4V9AfBXww/p0H3bS3ZiXPIOWXzXTe9NbdNPVXrjdAmX6H
nLUyF+kGTexZeO9OkO2JD96UmOJ7sgUGhLcrSdrEZRNa2aZCS0fqaPu9bqqfHIpx+NlksvT4yS66
CFZlEzb55Vi5tEcBMindVVcjbs7b3kJg4jTgyagpIYAALl6X7nTptWl8X7lViYG4QJOVkl8a3CYz
eFxw/m1JtZZQApfw2G6Bd4wsMC2uFZcLZ2jqezP38QAX4lc20/NKYHvUkFGAXOE5mu5tJGcotWit
8kr3I7cZdSgXyf0bq4+ZbTKAM/WrO6y66tDOB6td5CdcIuQ2Jvg8QaV0DlavjzdealxAMj2P+weQ
/iGddEE3pXqavZ1sXm21qwpiF7LiQtX5yi/eiwD+qLEWALRHkqC8YAtscmUl2YXfwAfQK4TDA1Zg
En4671bR5EKl0LzhyqRXQtfnrByeMaVSgIzaNXy0srsGaWUXIN63M+24JTpjYf8zhxC8bgUeAVqn
Yf5gTzRQUakuKQmHrN9wacfzm6AKyYOXABq276LHvh+bC9XBQYPdMwNagOdTpHhmkXFGBw6MKfd9
W15P5XuEtyr0NdfNXwbwSQIFKAf9DPAS9X12HqOvc+3ohtImP1lu/aymHn0+zfS1g/g8rmmTG2wT
Lb9doz2kyP5cHIcRY0bYBECioGaj6At2872nt0U6Ybu3a2jFxa7SvA/o02+hfdkaL3TqiQQz/Cv7
DuPoiu419XeyV2ndnwtvk0E8dUKowJgCg10B0hwGTvQyue52rBGinYk3Po9VEYCsLgoEl1zh0MJf
jVTGHTZRWnzctIroZmn+V9VzSXJASGeaLmNBZG/B+ZCwDEDv9Np2aX4ROaiTOK9w8cbdwqbTL4Xn
8xyVr5k9w3S2+C0QWabqb2F4yTTu2g2VE5LPZH859ms0P2c1HbTwzOCslJc/l3fbXJX5XloLTKso
v+Xxzm5vGyghHfaNiArXeTXSHinPvfy6T29DazxHg2X9rCnogj4Q9g0hF2b3fZzRfBya4S6x147Y
yMAkoWzDJePM+uFxiXcpClvetqjXPTqeeOnyIFFODl5+j89NAxTkShvCfc0JvGj4p18S9AxtdLn0
6TGvIp/N5XPV3k/VzzLBTDL+LEk9UFwsNPUeosVqPmFS7tr4wM2sxpbga4QHoPRBX+b5mUP9hfsO
spPsKp6GewsOYxEZly6XAhwybIOYE64Uf9H8UKVXuUZKypUBeFDFc8An8PALuy+Y6WfnvlYwDp4b
bJDGRal3Rrer248uvZmb+9m+wv6BPJRfRcDp7R7YE3EKGTU3o1pZE2uwD3t0hpmYPgoCKEB90ECk
eoTxxwNu8Y65oQmfOREvdfB5OzgXUbAaCwTf27ndjAEnmR519tlQmmeYVLilonffLMIsuh6py97A
7Msj6srIF8VKNNTy72FA2NDL+3c/fnC9q8wS+BWdbb4gM5wcF0x3oehcNoc+/mak6WZeoPxWd0ZQ
B1oZ0fxla11iebl9Z8Z1CQeq0tf1Mv2op7grq/hlm3dRcW+O3/BIZjhWUSIAY9uwqBPykYTvSbWt
7CfqgpKFZHSYSyACklv+08r18L8UCB25wGHtSK7NCEJsvc988tdXJm2lkpuy26u1blCjXFgoTI13
2fsPmdh0kn8Ai9/kALjm1IHrjsbTWTQdJppSXMMumhARXQ8uvXzAb7uqTBwYDk2kiKwpjwzHjRy/
QSJZAww4V7jfAskBxuUueVvLuyK6CPQmBsIwizt73PVUPeYlqa158lHJtnPN/rl1jaXp8Y2NN0ze
Q7WuRviC5XPjPBcIvIzHLFloEngczjNVnlWByzX4OzS0qF/HgD/d9splj1mIZsTKonewtxA+yK8R
xoWADyaARHB3nCIwK/D51bYtDpF4iagnCNgySXqgLYbC5NKYYZmaNx0b8tiRdOWs+vYDXKjTXo3h
NQ3spECldNENCOAjmjPnLTM0uwvRXbM9Cv2jHvfh9KOx30GmVmhzCyotybhPi/thEChrt/HihB0v
qwnYXngYu/ouKPflMJ+T6LZJYmD6sBj96zZ6CcIfGk/DGH8L+FmxbPXAJsxy34kNsIE+fELP49zE
8paUG82TAwHSxdrCXxjwfmr7xbZ+mZxk5pW2X7nCOlCzxZU53kCWRHOQjespxSNzO6AIHFiO+IkR
bTklLyKgXEjy23jr5ZxpeSPJruJaRapI2kCweamXDYPKL7XRs4T5Xfhrzng7SdRQuC2R6EyHaniy
KMfL7wYGrbAjt/QBAv6ZXS/wghRgQ6nvguY2n9aSE7sPuA5+sP3aEN9Eg7wWKD0RkctLXC5Zva9R
ABoAAIGRdu02xZqczZpl/TK0rlr5URtvnrHricOIybeTDp2XC+utwRljom5sdlb0wwIj02V3RvM8
GzbuJ8A1ks0Dtwu915xfhUNwZtjuGvJhDUO/JBNhG8Ay43nruWCjKdJydA6DleU8xwUcgstaNReD
/ZwaAnHZLndf2+a2JKvEfM2R2Phcz2vC19Ck9UTpTAsPYj8igsQtnwsSXO5llKxs6Jauf2nw44UV
xEVtZbPBpN3BF2iiKHaxtGRroetNkz+6SFf76H6RVjA9RWBjTNguLKkOjiNlQOzp5YCkGa8DoOPs
suJOLsJvxKsV6aUHkDOO72P9VFqouMwn0S8lK6q3oSZy5c4E8UAbHX7Blj4SC++bNFNgWjYq/us6
ehyzV08/dzVtoa1NU06xkMmBfXd4k1TSM9D7WDu47ZQcKq/dtESA1K0IhVu3qj5HjMjKANVy2ndT
Tzem3LQJ3dC1qYNdY0/ricott1Ku+q8F87AetyDbN3OTbYb84DiYh+2DyuW2MYCA29vWQbgDbD7e
Ot7rwtuPodehH6u9VyuJLpAvnjeoYXHjzoQpqoKeZfdhqYPEAoM8nYITqnksvux/OKRqoAdg0Dr1
YATvrcCxhRFTRxA4RhzANYBCnNeLGModnj04TkPobUVR3RdW+OaTmKMqweRZjGZom9ARWEjGlSIE
iV6wXxT448VZ0+lrupzEW4yXRmU8tD2Fco2bI138GpEb7eBebEKS56wIZTGQFIi831DscvXL4IOa
OXjbwpes3XIl6W2YxMCHbD3pkF7U7mJKI/pqdM3yuqgLAZ3SR8+ik0f0IYB4gUFlpjiPPL1tF3lR
HoYPaJbpm6L1sCMcsNrbTHAa8J03V6YESjcu3AODhvF55dsb6XubVPkEmvnxz9CjAFgwgVSbBrtO
Vo9ThdRNUxW+7WTj70QIF3gKNIH25ZitjKgrX+K2wrA1QWdH3Dpx1tJd9H3Uf1VAoI9Uk94P2tuN
drnwD2cM1pJfgO3wiy7Jj2jkHEKD7+QuyI1bzwuSrZ911WXnIVqbmhwhqTSvi8p9UZY1gixiyg1Z
SYktcC1WcfjlEAeag+LPPUsG94WoZJqM3uCs3VH6z8gcaCzYLQjVkZ4sBETqN97lnEH1RyfJeW4e
D9rAsJOVtre8zduhcLor0wiqc88hfsobsNG7wjpQ5OU+NV+neB20XXPaGKariINemgnMMurG1hQS
Q45W56LGT01jcVtiJW5j8922cVF27B8IB7ihludmLdxVVtGoKeh+ZA4/WRF1A4V86CJw3EaX8BQw
A0kxXeYKTOckP5SBTh1YJttsi1e8qezNKKS9rYN6O0ZLNFF8KaUHiEiPWCscnqfK+sNoJy8RxRO8
vmo3c9mZEOhPVkUPD2fYtFAP2WobOuSFAjxZd0uWQUKTqoTSaLouORbkEmCQUphWJqDxfhj/Qo1L
KjAprp28FyRxGjEk5qgFYZaTsjYhKJcdxZPiW+So+x7tX4gFYdX0/aYtvZ/5nHwEFf0R/jY6OiP0
k8Z4H0PsfQ5Ngrw139t2sYcbP0Qc/Axt46mQ4FA0R3vbuE7J/erQCjSiBnhXXMdOtGtDvriRHTIV
gtYISaNkjZvtXcvBPnXUM+IdpI86v6a/Jeiw4+hpsx2Ow3XvcS1XwTYGDxzF+KlJZnPcBlNnc2l7
zcY2zedsQCuJ/AfxWbSKa8COLQaK2cVb4uYHLscQ4dz4LqtJME/ax6jhvtRoGCsQB42GC4x4S32j
BY1i4UZvfc8mMdiN1aSJyqJTVP/yO2rk97Okdk+bJw5YyoLWxPoL/9GWIZhx4me51jutjAb2ilr9
mDKrnnaJNBPn1ZWD3+6VFXnmQ1BmAjSNqjrgyVY84d/Pc+wMLsS9ASEa7pSw2BezPbtM6hBzpeO4
JCnGDjgTVqMRz7sxdPDXkjzBOhPEE2w0YWDLXFJsSaMxhITUSRlfAant3NxuVtzR+uhiGBLMNbHg
eHExNW02cMiYmo8mXQRJcaO03oYpOGDmC12jDSQPMUANUkSP6Cgtsb7PYtEGxC4GRNlkItumfTzB
3hI+DkVLxt58zbptt0SZ+QQxDtFYyceCsblJwsCKOSLTh5+N9xJDHaE+Yzzwe0nZyXiVvhgteW9G
MsQt1ifcZjSN8+JaWb2tgdEWrUAroBxAhqiDOR171NlCN/f5jZo21IpNaoWOc90rrhicLuaMruy5
o3VV/fAstOGIiYsqusp8Hc5btHhz/jY5wuGGTtl8TO4g/pK+aUSTBNkXTe5g3WZxSq8OzbPfcVhC
Zt6i0qJ7P1yFvouMgxKgF1Y33PR7KKqiMCembeKb9ZVy01ijHW+T1IaGHEfKxIhgGrI8VB3nqlfl
UvDcBE07ZbdwV7lPNTKd7UOeWXMEu262qJc1DcqlF5UKZcAUHqJEiLOip517NSRZn6erZmqL6Zna
ZUbE1DCQYAZxmV9iJG1h7DOFhvYnpWmuO6hh7PK8cQOSPoZQO5c5/yhs75Z1Pfpoisn2eoiPicv9
2EOvBAUohYY9n9s49MNXBNtdvk8702Yrg8mL9yEzFHdCpemdv4c5DZE73OBW+5b3lr4ffaxv5dpt
kMuZzGCkb2aATK2cAkdwfQxNPptj0ri9z2vfa384Xlvk37q6CNSNZRRTsw6KoaPfawvmrhw8R6Kk
rEtxV5qQOAF82PGgN1HVDuRfG00O+rKiDUHew5Q5AjdNJbvL3sUYNnAxE/yYyLKSgSe4V0K71BXv
CmD7jJ9ZRl4ZvXZusfBQ7U778lfeWGZ4kwei0yCkjDTu90WE7od6crXokUuvGInzqNwwZgenm5X7
34NmbJH3THzA4l5Ir2ftBNdW0uBK0GIQ6Tr4XCE5m3cGG7LwvZKKCD8L+6WuSrSaYxM4T43M8o59
IkupF3I/6Pwknsr1OPhT5yGQVD3X6NU//ut//p//9TH+d/CzuC3SKSjy/8q77BbZW9v873+4//iv
8v/9t7sf/CeF09q0XFdphN1SCc/mf/94v4/ygP+z9T86P7JF16E/97ONBamsKp4amG5Rauw/H0ie
GMi2LSWEK7XWtvfnQOkQzWkQghEthlKtOSEP51PZQSBq3Kv/bCT150ihxDxtj+wrfvvXtalQCCJA
24nE9M8/H8o6/VTK5bRleq57/PpUJKMJYS7xrfqs3hcHvCWr6GewIR5yQ3b1tr8zt+ri80FPfTLb
1a6lbE9YWi1/02+fLIgiNdo1oqCmMw5RqzZZT7t2in9wRLv9fKjlVR3PDsdyBH11W/CA+s+hOOUW
CeV96huTPCiXSh7lP9Q9Pp6GpIsvq7rg5jNsPx/1xANaDgYcy5TCFvbxAyYIZVAU0T6fIue8d/ZY
0Sj1Oufsa2efj+T86/NZjuVJbdpaOEIcv0ojq3PLpKxtVj/oRmIaj74YwbJODSEsXL626wqpj35g
k8wszwoYApPc2lNnaP3305qjgjg3VvEX8/HEdLSkYwklHWlK53g62tGUm6OgLepH4IdsW1JSieDj
m2lSfjELl09/NDUYymEGslPaylme+7dZ2LS5J6IQYSFM4q2czQ9TLHU2e6uNDJI+R26B2a8xnS/W
kVOTQ9JWd2mqaM+2jt6ntqWfFwH8lVE4z7It6MZMF5Po78lpPXw+O07Mfuv3oZbZ89sjVj2HkLll
qF7cCtIiS6GJo3yYu/TaSQiHUnefj3fq0VzbMaXrOfzqzKNfm1k7oefjaSWqC+1t2DnDwxzbLsfg
jiIBCqb13xhPOq4npKKfZx0tySoqNRJWwkhp3ZwZqGMNzr3VWO08Gl6fD3VqYnqmdh1luUoyN/98
laOd8hCLDDUbSNxqiDrySReb++7X5+Msf/LRrEQa65qudJXN6eJoHLsdPKDwPFJpcFPVC6vWjOnu
xFn7pEu6y1o64xev8cQiIhjK9hjXkTAp/nw2FfnNOMPyPaMRWxcslaPeo2TQ7hfv8MT0YBwqX0hg
lP0vO6ih2L8ju+YXN7XtOnPzaWMCe44Xl1zhwKn7/FWe+GSCe6RWml+59Lyj2SH4Dde93UHRgAJ0
QfxQfGf5KqY+48dfvMGTT4ZsSEiH5cRyjr6abhNdKY0HZCnFyyXjtD1P58cMDe7nz3TyU3meYOGg
yk5Z6M9PhRIPHZ3Dp6roptUuQEzn5vMRTk1ALCtCWJZtu9bxcm+7wpEAJZHfZtZ+DlNUHWFQznCn
qR9idcv3BRkjXzzWqfdn4eA2MdQ5LIlHnyrLsF43MS1SBzKmSVfLoAbQRhxAAId9/nwnh1K2ovIl
lSnU0WSXltajDtBHqfzQA9WvErUL+xuHfInPBzr1qSzNXmY6npZM9z8/lcgtL8EvjTm9D546lCYc
2y8/H8ISJ1aL38dY/obfFni7cAVFK5OjNfgnrcRdOPQuSF33ylsgJUQY62T+PleVfyELmvvAmStK
ZJ//FSff6G8PejT5XUWFKwuXPyIhuNSXmyj5PtY+ZbHk4vORTv2if3/c5S/57XGTcOrCGrrgGTd4
bhOgSeYXAbrq81FOP4/HQuhIGzXl0W+s5xwZ+yaazhg6XIxYhxvqSkFlzr5a7P/aoI5Xew4B/3+o
5fv+9kCzrLMhD5gjRT0Fl1C05t3o5TiXR0KYUbXoC5k2zYYkkhoDsoNP3vSTe0uaoKhnHUBPdh3O
SpKtYu5LfC8TWnQXx+v681dy+sX/8+88msv2zGkdYepyZtknQq0qI11n46/PBzn9g/nnIEeTeZzj
0EYfxiIQXAuUGTFV/s9HOLG2ucqzNVu4I4V7fD7B+g1Sw2WZye0CbdE8jua3wVLOk6lGNHNjUGA1
z+owNL+YUifen6uU6SnlaaHt4/3Bn1u/5njHIaWLXqKhSla9yrdhg5r/8yf8aqCjX0hHmwI7JQP1
k4uwqMG6hgGZdul/NszReu03fdK4EcPwktEBvE90pRC4/41BNL9BwbsT6vh0x6lvNrucrzWI8jFS
9o/AREbo4dX5z8Y5um5bhlE6Y2iT9kUDM/UeiwLrnf7i1H/yw/z2MEfbDqWjqg2XqYdXpnHDbV6V
K91/dX06NcFxQCh0y6Zmqh0tXaGMypovznXQvE4X/234a3YfccFu6uHx87d24tfKCeSfQ4k/ly6O
+kmUoIKlz1xfxM1tHEdf/FpPjmBJy8GFY9nm8d02r2cNjYJXJjUFZ96Z7Oznv/EQvw1x9HMpaGHl
2lo+fe/9mJtwqzog7Z+PcerLa1YdbujKUp48WjtxD/llhZQPx3TxakT5W0W/0qqdL4pGJ96WZ0I/
AU/H+fBfKgFSJlijEr7HqMJ8a8EUxvUKMPvzh1leyNGGxSiepmojCA043hsz7SZ56DAKbVwyJ6Nz
oMntGfsYiXzIZz8f7MT1lZgalH7c0G1OUEdfB3uCHbsBBmgb0fumzsbwUPk40v1S2wSOw38B3OFt
/ebLI8BXIx+tb30R6Q74YcUmm7ZPYRqK615SofZ8ZBMA54Z10GHda4A9fPHMJz6jwjKgpZKuiV3g
aOQMYkOb/4VeH9rnOJ7XbVN+8Q1PTMhlGtrLamRrfXyVpazbhMqiG283OIDjBEzZ1DfvOSyj1ecf
8MRypC3L9Gyp+AFbxzcwAys6rgGiF/rGgvJezs5tNoJTBuQ+XlVeY9FDC+lSfz7qiedjVKpiFm2U
pZD058qUZ4jFi9QEEzwWABqetCJkHn7F56Oc+FDaEtwsNbcWJunRUttIDg9mwigupEuFqsiHKPX5
ECd+bFpAQKK6DW8Q6/efDzICR2uk4CDaL3wQQxYm+nQox4CnqL0Z4t+fF38Mtzzxb4fRKLaU6iMO
eT1R93Cn8ZxG2EK2f+OheG32chRypTjaCGeKpigaGIVbYIvJjGjP3H3hBHuRDOr587GsU2+QXwzr
LouW9y+VDVw7vQ4KjsjNhQUGBPnRufuert0VVp3z+Rk/CoF7qjkPVl9dIk5Nj99G9sw/X6bTuo2B
IIzlGBf3YKoza7A2nz/dqXn++xBHM7B3he6tfBmiQo7TAKb0a3TKwRcf7KsnOdrobYrZ4DDYI0U2
/0h8xoun/t/fI6l7OnRxtJSOfbwk9bIzBiNgWymT/GBYt7We95jyvlhbT76w30ZZZstvE7wb8rae
SkYJRg859XMz5Rdp8Ovzr3Lydf02yNECnjc+l7qUQSw4VoB54r1Iun9/r//jdS3b128PklhdU4TL
l4AxuyAn6n3UTg9/4znYJkzpaW5L1tHi4w02R8mlxx/Vv5T/3hf3/9m/f7TaQC6JMqRW5Bfb3ZNu
ya1b1K6fj3FiG6fK+M9nONoJkqliZfB5BujJJIu01o0JAXKygN7ZBOKx9wHPRkn9+ainppmr2YA4
slgOdbo/v47VuhrWP6P6mEushGANE/tF+9Uwpybab8McrzDKb+vMKXmBxfRukcRk+l/Msi+ewzta
X4xwyAyXrj9OTlBRzpUETtVX75+/rK+e4mh1KSJcJ+ZyM67Ve+WFKw7kX0yCk5sA/U3FHGa/8Y6P
VNwecrdcFheq5/6deWH+xK1Ed8k4R7q7oA3Opj1s7HPgLKZeff54p05A9Kc9QedY6H/pZ4keE10a
Ld2JJUUygthcf1eEhc/BYxR/Ubk99So9yo2MZDsOBe8/513YNWOXjAHuRk7itAXxhWdfPM6pKUGz
ha2Up1HU8v8coqumMjZCzV5Ql1fNbK79Cex+331xEjm1bf82jDzePK0Z0WjGMEHo7zB38rrIbMim
nZFEf2OSwwixyI9zKTEcH0e8WfuOU/GBVO09NnZOKitA3/5vtI/0b8PYR0/Uta7d/l/uzmNJbiVL
06/SVntwoIXZdC+AkKkzMklmcgNLKmit8U7zFPNi84FXRSCiEnWrVz1ltani5T3hDvfjR/zn/4cQ
M0EdrEGZbCTXWveNuBAS/PLKs/zsxM7sztZCM8jZdN78al38LG8ALznIpzitdm1tsxWT7QsWLx46
ps80MjWZDsjMoJcyu8EII/Bl4bnspjHEZP3+FZrO1NmSjizMPEQ45rqVN1gwtORj3yS3UB99bgqk
UkoGjTXBeC26zJj4kRfu06VTSN2JDILrRLNldtg9LzLDLPVhdhvR+yzF6EpupB2QL6gIkDh5f5Xn
xkxydxAItBZ1ujuzA5LLY6TrAUxvODHxS63A71YGE8EhdyFMwbtOs3rvmzy/zJjUaJFB+yzSlJv5
iw7UmkYcARWq4T2aBmIJ+jiuUiClC4bOz4hJEYdOtMEVoCs8M6Ra3lC7DAraAFPve9/6CcmUtmBD
WjIyi4myOBysLGwLQn31So93AUMpa+i7nhp0MqArQVdxxQjfQuB6AR0xrY2Ene4pOIJ5v1bvhEz0
GwaEeIkNsgoGHRRbSFzxQUUU66CVUv01y6UwhAYMnhzG8NIINiuYN+xAs8Kl+u+lY0QLi2oJwAb9
rBEJmMuLvJStzhRrj+yZLTHf1fkiFDNLwKtLG35savopR0GoP+ax2saY6pALBCyhfIZtbsG7SOeX
n3Mj65SzVJlm3bzfqZWMlUKnAQHiNnxQe1uFTguuVQ/l1Mi6SbbqqnckBznm9r4bbyqttjuk5uFp
XPjOl+7KhGqgFiXi6OZHGDibURkwuDLmbcoAiYvG6XPvRlgMiy8amvqg05UE1zb9+dGuon8xVsDz
iE5cFzIz0Pl2hPS5Tbc2XVjTdO1OHSt7Sx+UoiGWzrBR4Dc1Nek0rmWnXRET63btxw9h5R2AxSAx
Hi/ExefR+GQPnAH+DTIFZXZDTeCIQlDArVSPrnhtTpMUbnlnCgw24aKa+75CcTFRjHj9vp+7vM6/
7M78eMPMYcBXwzMENeNeRS/SUANbMXj1VmTku1qFfQ2J7r9h1VLBHphUiOT5wzgOkoA+LXB4wbO+
tJFxX6IBOBCBrJosuANEs3vf3oVeMNAUnCw4vgl7No/NmPsQwsyoYdOIDPkOJJXHkFjhX0EdAfVi
7mfrTouDL0rSDs7UcnEAgxOP9kaF5FedLmz6pXN89GvmIVwyKhEkpPwaMdqF1iucDnBrL2zxhWjn
ZMnzGpxUV7A7ShUnipFNu4FO2tFEG2SqLK18iASdiBm6NXHkwlZPQc385hwvTj69pAjwaaFvYBcK
v2/qGgLxl/JT7UQbiBkXPuslL3tsapaGg0nzfEnHlJRDu1yhi5LSFltY0KVXg2rRhDea6uzybD2a
UFGsAo0PAaweMOI6tk7YoD4WVwevjJa6sBePBtASA6YYBaDTzA8kY5vk3uRL9dJEhlAorjsfNnkA
69K/4eFwN39amt38krH4Miio0cZW1K1Et4jXdSH2KwHOp7CXn71GL1bvn42L34tWxQQvoT82b1rR
yBo9qHgormfsZzeYt8U4vr5v4+IGEnJMyBJwi/OcpRTj1G/KaSi5mYDr8ZsIGVia1Qvx79lSeHRp
vEweWwWqO69jGI3XUKyniFW6quCtm1gPD02ctvHCI3/RjiLC+wEaR+N9Pb1NREgGCHNobUGfuXBX
KEg2MrWeN8Xt+/smTUH0yb1lRQbREf7RoiQ87yh7XiaZekcZIBTdalMNWQlXbRt9y3QlvI50xkEb
LWBoeBigUtaZju9SRiAXfsSZ85h+hCxPsTAgvzNwMDJYIbBgtrWQkCduUmQKgzJl6H7s1R2dn2lU
ulUdt5Lghxon4j291eDbEuSl63F5P6beBWrXIjjs2U2UREmuzDRBHavWFcjiRwHVEh8R2tpX1lmL
BgscLbBBIq2z04h/PyVwIS98/bPDLGtEOQrdjQltRjBy+vXjVgkAlRGFVC1T4pLZXVVaulc1cwlj
Ni1m9vFPDM2cXBdZVSxbGAJB4DlqqtwVUGXpeseMVICETWA+awa0Mu9/7svL43uzPu28A+HmKmOh
ulLYchshixCSXOmxN7HVGMH6v2VqXhBMfcELYxVTJcQwedJsmb++QshnwcOdv7q/vtifS5rXBYu8
aZivIp5yEQDUij68qWC0O5TXTT50KHOvePplx4jkcp1zaAGxiqgo+kMCr3DhPf8bi4YyjaNqKued
g7GGAMgzCCqFVvzYab2jddF6aJTH981c8FEMR5C6AuenozmP5ly1N3olMWFZkVCA7N7GYAlSc9mC
Sno8YWTPsNNIvyp51OpwliDWFksELWNY/3h/FZcu/NRMpDMqoaoBtOL0suFYhMrIJyNwYiAyrHSH
KG0/quHoH0AOmg8eQ07Ir6LT90i9DBoGqa/bfCGmOUvqpgNEU4Gonukdy5w5/KGvWmggeZbLUve2
hbRNhE/RdcqJKhsrv/Nqa7ChxxS+vL/6i1fxyOyUJxylVrmSMcsmYjYDPZhPQ/9wLk6Mle+bkSZH
cuZojuzMvKpau0zjToOwppgThqbwUoy3WmbdxW60hjkPXpYYyeBe3nSutpIacR/n5UJZ89IWU3cG
oUFHbQrqTteqplEa1hoRSCU9w5hVXBMHQbPJf+DpSiFZMiHvkH14R0DQL01WnIWTfF9DBFwgY356
606Ny4kXt1XN5xwT6XOtSCp6OemhQXXSsfp0CX566eJQLKbATy6rAq87tZbI7lAlk4ctyuTGMuun
MU+WOofnY1LTkhTUR5khupCWu4k5DgFzedBeliET4bqW3w6SCE2FGmU3HWiYN53Z5RfBz/pbiLnE
gzpU+X2jQ88ShcyVGy6vu9wk1m0RW+nh/SN36WQf/7rZhUo6NfPrgF83dNDH9DUIyvKj71kL8dPF
73q0CbMLpHkaYzImvrab2IAow1KX11ZAGoHo9f3q31iTTlCINwQANkdx+CgLBM2Ax21EA0q/ch1A
ZQCO6t8xY1AD1TmoCkij2enJLLEAqY1jh3woHfpNCu9oaPxt3NR0fo7MTF/w2Pd0QToiCAQSJpoq
2R0aUQPIM3Bn2Y9eUJbKVRfvBGUADYCKLovzspkhSbpcD1ZhB5F/J7bDOg4Df8HPXTwNQGCmF3FK
GmeBWxGiS1MIfgkYO5S2Wu4/Md17E8XEUk2Qygvf6bI1KCGmJEE+g+0HYSgXgiqwImSAbF/yPwtt
9ClUtC/138/h6HCB6ZGtKU2gQD5bmV+MRWKNITobLQRPBkoWtdQU6/fP94VPRDyBL6FhB5xu3pWU
IP8E20bWY/ZjcxXV0GxBqZIvwE6XrMzeopDRFzdJYz5SXz2MWY8zCv/+QoBtEFDQFDTJtWdeIWwS
pNl9s7QHeE1016P1aCzk8RdWwbegMaLg39UzRJebp8LYde5EjvxNMZ5dealDccGBYgAw3EQ6IoP4
PL2egtg1ol+yhjQ8xBHEbi6caYK/cIbPl6HTZ6TIQrUVSOv8USYYLngRI9S0gkMRflO1eOFKni+D
XE7UuR3sFoXH2cM7gKCHbnVAOTIwlLtGENSVOojqOvT6evP+8b1gityV2rtBaVOjMH66YyhP0VRS
aGigPGNp9xpUvTL04+8bOb/0sDhPzkVjelemnHJqpBGDSqwNi9NbKiOcQETNGeijEoGIUEsZZulH
3/+7VWoZm5MDIBdk3MCaPuKRpxaScMxyk6Pgw11jW6WCFIRkRjZDQ1tJqqLpkTiMi4j6C2dD10hi
LOhTAKXMl4rgtJR7Kke8aePwJfbpraeNby18tUtWdHqZFI04gGevXc94mm56WBn6/MENomeIS5cS
mem+n4a/U3CvMUwOnAt3MPMHUehBaayHyH8hbeXHKG9ZL1aa3IzD6yh8f/+AXLCFpzbBJ7Gm8xGB
XA5RPpWSiS80aW40pNbhQ8mQX6J6ghwZ7dMoCOvV+0YvbCKem5dBMTknOKTTEyKnTSWUJaxiQtxB
CqWMEihJLdm/b2WWRpgKJAO4PO4xaS0j0fN9ROOp4H0gz8yMZl8bcM/4VCfQFngErG6HsPz2kBoG
w7gvBXFjIt/zO/Lvf51wK1S/uBa+ZflQBkjezP7nf90G38qsyn7W/3v6a3/+Y6d/6b/u8x/pU13+
+FHfvuXzf/LkL/Lv/93+6q1+O/kf6xRG/uGx+VEOhx9VE9d/sEBM/+S/+of/8ePXv+V5yH/85z/e
0EpPV0FVl8G3+h+//9FEG4FrmpoFf/JMTBZ+/+O7t4S/+fSj9IL8x4W/8+Otqv/zH4KifwBAzV2a
+vUECQqnoPvx2x+ZHwi7LOZOYYsg2dZxa2lW1j5/zfpA0j2xR5CZ0TYGnPaP/4AF+9efSdIHhn5B
qzF9ifthHvcff+zAw28X7LePc5kX41f8dXQP+V0aP8EkBzMp3jLSeXpMc5l6QqK1zIJcwRfYOIOT
HOIVVPeQmDtoTqym9kifrkHWON7GdNpV8floy37/ScfUHPNyA/tC2x9sjaVRnOF3zAKpAe5eFDEb
ppf3HpQpNEo0+N5s6TZYLUW802qOVntmanYpCwMQrJpkzEeb+kOPKFHoNbnTKvoVSgnPaSNcow3d
L8QlszuqT1bBZeOuGXfnUZ+3NL0IUXVjWmDnSBv4ptcDdL0OAo9OsoKcpTfW7++orM483tyiOnvi
1XSU0rjCu0L7Iz3Xfl7CpS5mKxnq53U7jBS/vDLYpgYy12EHi70lVNErYuACNLdxuy6SHA6Auu73
whDk14UwIEEhwCTzlWHYwbS7SFaE/YCEW2+7QitDtBeE0WGMh3pcB1VXCDdtbxVoAKdjVdiinpRg
9wYr/RqaLXQ0g9XeWYkkkLY1TftDjvISctIOyig5KoRkg+qrKD2OrdeWr0k5SpC+uUrA6KILKRQS
1VKQDvdpnBAYJ6VYHJIxtcwrQ6vUZ2/oegCCVRSvhqZJb8tYah/7sIWTLLKEZ08bP5ulFq56NXY3
UTRoHYTBNZoctVSEN1IlKU86wnWpbaoBrSZNL4yHvu863ykKQRuRttAsVICy0byrem34LAhSdhPH
8L3Dqz9CTxmUFhTvSqgeCIuYHJaK7nsSacVXBX0pBN7xaR8jOc25U4VR31V+UhgO1TbvOtWZcF7V
MTw1cFy71rMYZxlqVlJTOoyGCZ+TyndHZ+jGttiZPnuLYJBQt+SHCbpRfjQQ8jZC1cIH21pyRSVV
HstbtQ/rV6hFYV8eofMZIEUVVbRnwsG91ZKxgHE2RyBWEsON2UqcBRmxTJeIvYTx0TJXeu+bIP0l
F8GnPn7o+nDYDQgpXFUDaBkXddlqLY5ZBzYyr3J6Wp48MjUSh3dNVfnMxEJyspZzXY9WKESvcDji
zkti5bXNk2QbWrT70eQMUa5QWPB4FQoZwInSkJEVTZu8fEKYE7hBpgDvcmTViyaNskm70SzhSh0h
nxbFPoSwqKyuAp6vg+AHjb/xkXV4gkmq/ly4RgdvX1I5cQ65LqqNgUO9Epm3HvFPsFRFmlzJUd8I
XwMrSG+tqBBRe4i1YsXwUn0HxQdquWLZyk/tyAyuE8ut+1wV1nhQUs16UUZteA5zVJZ7nBliHGmx
R0bX/BQIQv/kUSrynA6tmOdEYif6EAnjGN7pmz4VxTszj4pPFso0XzxtiL/Tc8r2SmrWd3U6uvdB
jEwC5VVwHRBRQpcRZlX4iMaSf5eogvpmNn104yEZdO/Bb/jFq8rysYmgxQ8sLb71A6HaGX0JybHV
+844dPmuHdNyn0SRsam1sd6ATxEfxVyrOyiZI5FBBI3KrjuKO8NMir3Qttm1bBqQiSLFhGCHNm7Q
P0U7tEh6JxiNSb0TktDYapsVZBDfPQr6jkmHYS2aqeBQBoPYt6zNR7OQLEdHxn3rhnKLZEpn7LSu
kt9Qnc0cufMTRt/1YZ8lAfRoUHqta81DBsHQvHWYKNFObzN3lzUVRaUY5cuVBTPEdVCYPhKDVoYs
EkR1OwNWgr2lJYjFtWUGmWXZr+XMjVGQrZJNkcDtO4a5+Ol9h3vmb6FzYG7PhPaGCHMawzl9Rd2+
QHq6BVamw1avp3CUy+bTRJ2sadpqSBGxCeRXZDDvgubZS0S70NBDhprBe9C5iWpnrNwWwFD6JEXX
vhWuawSzteTGjw4xtKBIGWRsHgpfSSduyhJXZG5dEdJ2xpOrZBJ0RCTSR4RXfAqMfiv6wtpS7muI
G+sKIkL/wUS2tU/MVaL0IFoeY3kRWDflvscvKzugTtHINO0HwHMOfWKuS+kGjTcOeZNVqKxqbQ1d
K8gr5A2VkaTMybfuwjs37zHBe3lqdBa8CGbrmoGB0X4TP+uFo6zGHVd73Y7r0C7/BeKhWao5M0i+
OfvOCQrYRcR3VuASrRNhbwqfBr+9iesl3NzC2jRxFqqkMURi+QSHRPJ3jRos0oNrKEJvJEe2oyf6
dUux0a+C+/wTcn51EHRTyDkfryn61hd1l1Cwc4T7LvPswelXqG1CxGvzesIIb3skTetqhYtQ1sMO
yUTCwm24ff82EdyeHaXj3zF9hKPcmoyRoW6/Y3q0e5KV+DnUPpIQ/3zfyMX9PbYyhVBHVtQqLvpB
+LXaHhExbaOux920TFigN6hRr7yV9luy9rcypf9pOZBMZZNr9c9zoIe38u3//p+vb8dJ0O9/6Y8k
SP1A/ktoT54q03mZICJ/JUHge8hAwEpK0jQN81cSpH8AF2ORQovQ80ypAUHsH0mQ+YFJb7j8QJ6A
EKT+b/2dJGg++zGVC7GtTxUkxlCZpDw9CyBKYi7F4OG88n343bumXjR8gSrTgSR5AxUpmANL2vEm
ro626lLuM+U2J3cOsiiT4amJMo2RjPmdi/thYMewrN2Xe8mOrtqdao9O9gCp+8K1OsuzZBrTQI9V
nV4f4Mr5VDbvXhjlY8G9vvJ26abdSVthiwD9esnS9NqdLIo0EpwG5alpKhXM6el2Es130ZBqP9Vt
vU+u6l23QZtkZ/x2m07KDsd5IzjlMztT+szRmHJrKB5nhb/IHY0gjQnNvLI1fsh1LX1CLTi/V5vO
NWwrQmtkz9yx+ylTIu2LlEH95XeCsE3kkJlVJXfray/vs59GnnpXYw4RxqbP/OCuUaEvFQSkTmHi
qEuVJ9M0N67rjqqtewHlzLSQm3Xpd9KuiyETb6ShPjB90B+S2MpFu2G+clObcbIrm9q6K82GBrZm
tD+aEeFrv3WlK633a9PWKyX4KuRMyftVXu60WJBEVtPEcHEPbvFK5thQfevya4liVY/mta/uPUai
d6ScUgKhpg+jvT8UT6U0Av9FTmRdtzJs/7kl3LVxb96KcWtuaSPkaw8EzRVxaQpzdTipBgcFSptl
1Ew7qDTE31HZ+o+iXplbMRGtG9GA4ktU+P9MMVM/SkqMbnSblIg7ZOATHiMob3mfgmq4sSpomPU6
1LdFJ1ZvSuWLO7lUWqT1WFEvuQih1iYC3pMmgqLCtr81Q7f+KqQi8rACjD0rGM3kL5ZbtttIqkd0
MXQtdKykbbamEgvbMiuDXdBXxsaIsnyba5nxORmgrltZnSmQe/RSuTONQXmQR8vaqqAkPnVi7b4a
2pCvk7L5qBTAuUCqNemd2dXFU2WlnbSKk1L/ZpmJ9bm2pGEvp3Fj0wvjFo4m8UTSD8+NpwRXFYyQ
3+mW5r6TKaha0sNw7+UR9QOpHdAh9SA8VlZZkZhXVud1ntNwbFXUn0Io85O8CDt0jzx5341R88gk
o3xtpP3wlI2x+IaeHPJZQwQbrNIpw2MVZ8W9alShhO7FFLONqjgq/FSza51Ib3oqCFlxradSexXX
sOxEQhpAj6wVqDlZdcLcyRj2HhKLY9G+lmhg3heKbzSOp6SJ6qAlntyR+RBEl1LWr6i/aOgd0p0W
o6ATYEVtqptqgIqcrJsUkHQfNVlHFNTMssVmpFpbCZnnhEaargw/Fa9pmrb3iVqRWFW9AbFqSUh6
1cghciWdVqZbiIlTYBS6194XvtqgKJgllgxwzGvMT4jt6Y+NVbcbjzGWVzWLhE9NbuSfxdoDn1yn
KQLLRY6Ej9Cpk7hsV3+hIVA3e5mE8hWt4PzGmAoGXTgm0P7rdeMYQth/9CAdR9JBlhppxVgvQi+a
1KbWRtFViO29ynK/jG0YiWs31Qify8AtMyemLvQ5V6LwuwSHO2qYruV+zQdUJRoDfdjEzeSPWj8i
EOCzs6TMWbaNw6zflH4ceLsm9rTrnOTtKwUXdUfqNvEXBBGUb4NBVmAOcL7HVPefu3rgRZGjkflC
N0fgzDfqLXVxdAAjdMTEtakExU8pEyGvl7xBF66HzBQ8O5cCPFOthEG595W20LZaafbFKk6TdldA
TX+bq10qkouYyRfYpi1lKzcmkgxVEje+o3pEPo4Yi7BnM73EgGsOEIXKh1qTOcfo0+m1hjpPi9bF
bagF7othpsPPHLylhpRTkhhry3UViCGTOHo0ijL/IZEPkyAawPJS6tBXvRwLvlOiMh7ZUdbDLI/s
XXk7Iuf6UplmvYVbD52WpIu867Awre9CLDA2yhwxuxR1lZjY7ihbn5S0rWK7C5Ch6+hjgfwxrRgB
4hZhjq6Ai8kMgASjdCHsClWrkCnVYed2JIg5dqVkjrsxDdorMJrKdVrJSEPqgzmQCMkF2iIt9Oy0
9EVb1orga06J7oHkOgqYIJNLOiwMlKAElKvCwafqci/6A2qZmYVuJtMJm8B0syuxCtJtlqkdctGZ
McBhj1T3NoKFXIWsvXV3jZCgV9f5dbSxMlH6XtItwAd65lWjUDbqFNU79EFoPsVyzsSImkrWvRIC
ygtGT/2OLpeIYjvOJ7Wq2mn1sTgEWlV9a3w5fPGUeo28JHLyVlAweus3wlbsxw6us+I+Jivfddkw
CUvoiGUVRf5ETCDYZYaImEc/4LEo9eyGcQt51bVhuftFWw1rdb2RA7ieV6E/dtvQGPTndgi0K82P
+u/oklDZGNv6SVFKYVsMClG64MrWnU8BkYYiJ+cqyDt17/ILM+hZTeEnIoT+tQcgmEF0TRQ+Fr3k
PatRma+tURq+p9CQ75D3zG9EvQVS3hqed4XCBR8mw0UhGOylD1FtjFQltPqHVfkUTlPR20hUFu/r
PJceq0H3HkzCG7srSwGXWXS7IlR8sm5Y4KzUhSMgoC0tOqllhUDXjVjZBrLhO8kY6v0abdf0kDZe
ysStiraW2FTBY5IhOZQYce8YI1ccONgYf4/lDh3L0bByCuSptFasXL4qAvSw0IFIMwfCVulHnHuC
bGteiZSeGNWbsAyRpxRraKk8V/W+6WYV7xVPNx5zNUSHGU575kwSt91oRQg9CCNEKA63Bl9xtKQ7
f+hEtjJHLt5poES5FX30PGUEgzcjetfPEQ94g/RY4m5pSku7jEr0GwO41EkY5YgJanXN28fyaG6a
TiifK83MfyZF0T4HlHnqNfVR/c5oxGKlVeGwEXVP/tiVoEHUpph44oWR8DSHXx6hZ/QMkUwYG/Wu
KZtsp9ZJsMW/aA+62ArXsjpE3z2rS79bFFftLO+s6yDny0W9ZNh5DjLqqpbM6jpuNUo+wKM2fVh6
t74OeBCBxPaj6ZfaZqKIAaCUDOaKOnEfOW3AmJox5DouwoqEz4CmrEPrWurdkLvCnWCV5ppDKB1A
CPsoFA311tXV5sVF/OJpSNvoMZSVckPVLn7UYNjyHGqRGhIpRuFe+7063qSxqX0eEhikTNzIo1pT
UKG6We9F09W/ZggY8KRlNYNjiuTrOxMVjBchExp9k3u1awdhlmw6KrToTlrJvZp43UfCCgS+0tyX
KJcXo37D3/Y2npmpg+PRJVhV8M2/CaI7PHup2j4aAFTftKJNH7vAq69UT2ruhraUSwSch/xbHBjy
x0D1dUdPVNTig6xqDr2f6CZah0WMEnHWfK9iKYE0TjEKxxcLqsOWEbzINdzytitTLcurSoYxsKoD
iGiMSr6OWpS+UrNMn9tYk6INj3fzzRCj5EqNEYqNKYenTiOgwwl9SK9dNxVDrpSwEXnq+qR/CvM0
3qWyi6paVzeIeueTtnJXmK/wtkQfvUhUVoZbu+59KRhtuTddlA1siabERpN7K922uRhqdhimIw9O
rshOUsfmWh1LJIulDJW1JLrq4IC4TrgVP82gym4ZbBA24ThpfWdwWXZjnR+g2UESJnNVOBtkxALW
Y4AXUaxA4lUurFc/lOpX2fNHnqZMZTcKNUEhJBCNVYPT3yeZ5F4D3QVfOireEyiWelNYJWo0USkX
XzUjcz9Jeq9+qsQmeCu1TNnqlV88CHVlfSoFVbkZRlE5mNw9YtbQV5+GIBL2SSNHNyFdidsijfwf
MBE1iKoaHTqkv/LIv1VZ+P+zBwsizqQ080794UeZviVfm2/ZaQXi11/7vQIhWx8YzqbIQKmBoTXG
5/6sQKjSB3inIPCkekkLfeq0/t6FFT+ASwAYywQNExgGzECUBf4oQFgfVKaSphatASv41KX9WwWI
2cgJuRo/TKeLb8L2DRp2VuyDfpXiu2+8CK6eOOMoik4klY1N/hU6KCLvK0rWg6XYxcidNRfrqFN9
4yhhV5npEmVqEBQ/GAYG4HSasDcumPwxIH52unWn29SXnfoawjZH3VQ36oZhOSe+XeI+mg9Fz6yq
c0gu5BF0izrjRd1GB2Wn74n0NupG3nmbJcJD+Wx/mc635ImihrLRNDh/usAwLalH+NJjeNOsjRWl
2xtv56NhYK7iVXKrPwR766q7VyhnMvy9UKWeVSno/Z/ann1btdSrum6Ml0xKUbMtg89p4i9AbqV5
9X1iVqCQRP3K5LCCTztdn9QoQgpFyqN7K22SXeEkTm0zsHpAmsT2Fun3f32Zo/MCTABz1PTgU59a
93PKMUEGcyRirlibW3ldvWk70ve7ZpvdWgdk1Tat3TrJLXDPK3R7P/bb5J6W7mZ8DTbh9l8oos12
mHNLJg1gTjcYTpr46k5XP4xdY4yTQFLys3qje9w8xhvzIQd1hkDzq/Zp/FIWtrg0VzoViI83YbLK
uM7E1wrLCVCpU6sRxUzDquDUjRqmkkuzQ+AJDcwufYql8V6qh4X63fkqQX2BFoFDg4Y/pk/tEX8q
k/x0gAhMLh6QO3isatN/PfKdD7/9/OOi2rwUyl5ixSIjoigJPmU+wpJZruQpOlbK1UZ0RsF9nQAZ
CpKRTrcKB/nQC0+a469Rr1+CV15c4JHpGWihrQPATO60QIsGjtgW+RoGBGOzsMILJVdVM81psAV/
B7HF6T7Wso6KoKCRLN6YVybCubto2zrWVm6d+GqpFHqG/Zj289jadIqO2gx5Q02msLCGMO2qv2Hk
abKnbP1d4q3+hbtwcXUU37iWpgT4bHYqUY3wTN/AXrgPdjSf14JTrSSnPfwLBeUlW7OdbJOo8Fg9
5Y29R75tgx9Y1WuE1hobccnd+99t9kb9OphM6eJwDOa4KIKcbmSkJ6ZW6KJvB4bgrqqSUpQiFfmu
5j/btAnzhdmYS+VykFtMxzAIBeXKHLUTmI04WgUGBUV+hGzhlQRAAmXg32QC/UV0pRAMddetFOxq
X17y6OfehSHXXwO1k1dnKPB0uaQmPWpttU9LAsyxrWkHyb0v3CdtQ7Vv220STbcLGpG+jwa07drq
bmnDf825njq4058w666iwpyFfc9PkLdVtDPGO3dYow+69Vffum/Fs5rd59n1uE5Wwcp03v/Y80ma
6WuzfHi40OSZ7uosIimhlet8DzTj1P00+49TL9lw2nX/CSKG0UmRubfz7VI75pfPPl/yn2bnfATl
KJPsWyh1Tmb7G8Y+gD30b1NfWV2BtU3Uz8gVJnt1k+3TdX6XbKKH8VMq7YJg9bHeNgtn/uxd/20b
zAm9qoL2U2Y+X1WrlBoqMsn6rfZCAYUu8Kq1sxfzm3yj7oJNsXToJx97vgF/GZwFEuMQRUXRTLrM
q3yffm+2yZaEcQXyimE4Z+mITc7oPWszZ9WC12dQiO3O/D51hDR8AGZ0G5fofi6cp2mj3rM0c1VZ
p7qm3rKuATcsrif9KiZRbNU2ttlG/Fwt7eMF18j5/WsfZ9fXpLQVpzUri/fJYeq1fQPKctdul4Ox
f3JN/zI1u6Z0NkQonFkanuJnfRPsjF1whaj6Hm1yJ74Ld8VT8rTMdTP9a892VJsQGLBrkFfN/XEh
A/zKJq1LXZFojkXPVCO+CYm/r1wEveuotJwxNh/e/5AXT8yR1Wnfj57TRpazNEyRuQWF5ssIRlc6
enQoXzkek9Or940pF7/ikbVZRFL5TaTBNzk93tJmhGXZtRGBBCnQ76azE78pa+tnuJM3ff8Gamsd
H8QNrSfZNnfdTfDa3Bd7KsVIXiy+hvPk6TcHya5TKWIQgc9wuhFMBw5lAvaOdx4415rC/6oFpJts
qNfY72/Doq3ZNUUoIWjhkvARId2723zjbwK6W1txM5GZLMm+yRdfvqOVza4q9RxJh6EGmcN1VDhq
9FlqHCV7rfIHq9wZihPd0eO1wUQFu3jjrwDS2rotI0SY4hn9NdyDUHm1zrCqSeaWXoiL58+wIHeC
QAf45Oxe64WU+pnovljBwVLvs/hL3D2/v9sX79WRhdl1VgTiOg8LddzaubtBem+dis+1odlF8KyV
H9+3trSe2Tur9JmiR73wIpj1umlu6f3a0fDzfRvTv+PMU/y1onnkVlUuos2a+8Lhuaq2vwW/y9Ho
hfhQI+H648v8ustHnqHOYp1+gfASIQJq1NOwtK2aLvHRkprORadwZGjmFBIpHctO9F4bf0g/G3lc
bLU6Fx2V8YLO7mXJPNCZ81aVjHiIPealhRzxmCN4n+vtwtze5fjgz99Cz/PUCxhpV1ldVPoQnyV3
cbVCRXOHwjsTT0BIstVyhHQpnznaZvVX/ni0zYEVJ3BUF5NL7NZwKSX4wnzt3pNijET9S/ft/a9K
Rn26QBNCiCI2WCCyhS89krs0cByUrLV4iQX4Fyb+nx9TQu9TU0pZN9TmMVWvzK0h3Pf1XjG/mcln
r49BWh4M+kU0sO0osSMoAwNn2OR38a6VbxEANHcU7qJgNcb28NS3X/PRJkJtddvQmXjkvw9Sv9J+
Bi9CRZnioX1UVQK4ZULxy7766ETMLnTYuPUAgcZ0IuKHZO3um023cu30CuXopaDqoqf+y9avqtvR
WYjMomr8kB2beNO5Ewf107QzhlPd1OqrEe8SXd200n7CYi4vdXrhzr7XRA1F0YdMXpzdw8YqhCoJ
rJd81GzR+iiCg33fb53ji6Yk5P+xd2ZLluJYl36XvqeNQUy3wJnP8XmMGyw83AMQAgQakHinfop+
sV541t+Z5ZVW3vVft1laWlpYpOOHA9LW3mt96y9X+FJ9rx7/cejKF/coroZb5EujKP693s0pn/fD
tt8hr/CbS66/9L/7UF+29ZrR0ZlZ+cLOaL7g5ao26VX6w99KVI7D87+/2N+u/X/5eF8Wj8GJxeD0
5UtNewwm9+Rajft/f4WvYMY/qpS/XOLLXu5YqNBNm7zQMznWOdvilTiAaluIz3OF3tSn8aAelgti
3b97OL+5k19boiJcQPWfPhcqmG6c+/9aGgXCvoPj9/vP51r7b7669MvtnFJqRbVe0N/NT6x6W6g6
CZH1W3yHucmnKKtUeK7t/8s58Zuv8msGip3lEjYG155wbuUpRH3BlAWFgRoaq1T37AW3Lc0YBu3f
qnW/e0u+Kr+bJYJ9c8G11zOzQ57WozrqQ8hriuC3vAsibAvfttX+tkr688FKvyzWPfqCcqCfH1ie
DQGMK8iYcDbJTwjLCuy4Gbvj7BA5j4NvduL6+3PX3+5MCdy4yMKEVzb6cv4JQ3ChoAR46b2hMPGQ
T7IsSngRwFf6Zh367kpfzjwlfCCRjeOXMIDADao+N96Uc10sfvDNO/PdhdZX6i/rOWJY4CyqkpdE
IC6g2SPuDM6tu6D67gP9/dP65637sq56zHqBEOlLO/6OyE0fPiTt7TcLz3r3//Vl/L+X+Nosp2wc
4qrmfxRGaxdDbfsrLNn5f28T/PM5+LrODC5TUZkgfFhvh6seWy4mMGmOvKHDqh2GQG4o5sL5Tb7X
8/79CvfnZ/yy4LjjCGWcgyvTg/q51mHrQSj8TbNVu/5dc/7vlzfMO6DXhi47+Wp9CAUiUqY6eVnr
Ph+mAJiz4L7CFREojx5ge19uvr23f/ug/HnN4Esx41QjcL8DvkWzLXc/7PS0ziJWjb5a1n/IdvV4
/HdKzhW8t2aYQjH9VQwOr5Js4nGpM2jmxucEstJigfbhiIKDbJJF/IdkjM89EiNXwGswm0Ys15c9
cl6GfhILVHZks3qbSuh4//3L8HeF0l8v8KWGDpyI0skvX0Ko0kz06jjTNxf4uzrwzwtA9f3P68Yy
e4ySFOgYRs9L4m1m5xriNure2iX9Zon62/r2r9f6svCHESVBWeJaMIZwA/Fz9zB4Xt5odV8N/QlS
l5uolzkJnsL4OxSyB+DP13UFvXjodjAdg/sgBrvqnz9qr9jAJ+kh4oL6YbvVgOP6uV9Zht3VSfgb
MInjryGtJXSjvYp/wi4Eb/6C5OlXM4EPH2ufPir8G6PgakiiYkLuW19gsiGeSKCiBzsq421k2fgB
KPlLe+vEE48LWDarkxShpsi5wwS0iIAPu/Gpb+AnltDCYnMPJCpvrgg5jQ2n7yNsbyKvw3h+qMfe
7CK6+H7OUs8ZkA3VoOjjGDHsK1Z1TT4wHb0krA1/w8ip+k3Hp25v4VedN1MJtuymBY1oODZBUD8u
dYnfMzbLQ5POocC3bjXJQl+EKPPpOF/CigRXcCGOFTjxMf25BMnQ5U4LmWgmXdFfu44yT4EIuuEC
KJllhYRiimU9Mq0L67vmDDREtXM6f2o2xISJk9fMaLDmKhjEe9z0snD6ykW8WyKQqRVWlFSZp4P5
2gJkQhExC7VvoVxrk81s/OlmoVq8QPcB0SmghPFh4KG9p+EgVYHxXH81uzNtM8BE3fcA+nk3V2BA
e1nDvXbcEKRDPVUkae+qinLoq0TgnJYK01gINGx3cOTsHUHxnB94baddAx5QmYs4Hu9qrprrEPrU
9AYUbRvnTqf4UxnG6sMLtAcUhSVvCP6dUINbPLUQ09LbGoqlFkETLR6OwY1+O37IcepUSAy6Fi13
bpppZpfWcd13xA4EDMEDfDFZ65hwv0R9eYpC099BVx6rPYMStsk0C4YicgzEtU40zLdI6W1uGO3H
NCNtR36G0GllfYLHLHGcpBCxz16DWf8utROeegSjFDJoHNjrCA8+IlizfwlOy+MQjOkuMGOPJYXi
dBvUyb22yCLLSBOlTywOBFSpJVlO1WCjE+v6Rm54L/qjWmjpZwITXpgXGH9xTESPUTL7Xd5Lrfvc
VMa7jUXcneYxDPHUAA33yPmy3E+txiPPazd5detqxtc3RHsM7+SezoY4CAFscACHkX01gJjmFpbq
5RzK2LvBGwXef0sjrOxTnd6rrpquO9BN5GjFtgP+DlkA0tcwuFkrvW2Qzux1WgZyFddj86IjGxy9
GohuiAFHwAoqpfKlNTa3WNNzvwuGfcBJCgtA5czbCTg3ZFQRfYndGWOkiFhva0O4JOolaIqo1di9
0jommQ5cuSeEY95iwmgrfIWWNkeYQAaG1Zo91oGmqmI2Ao/tQpjcBG16H2hX3KfTbAtLtL4g8USe
VcgHDLLHnj/G44jogBlY2I9Ke8nF12CygSWWGJsR0gwd3v10uqo6DBUFmdl5EpEtypi1bSag9H1V
i4DwlbXY2Hnc7ToStjegg5evcxeTbZuYeDfTcTx0cymO3mKDXDPf7MXkePCztoDUZBA0pUgyqXt/
w4YQElPYYEDObVOs3bKDjLSPUc8KNzikMccLYz32akJ40fMhQeJu1TZ6EziSXtJqDD9av0weauRw
4hmuOz1nIe0wA/OTjj/wOIEYOfbsG8Wb8AQ0fv0eIE23gNpybgpnNMGrRRtBZ1CJiIuplvFqFhCV
yyGxl9bXSQV7V18dkq4hj2nj+jswySN4QzwOQGMgx+pI6irYJO4UJoVKGGJFajQH3niypVi1Hrmp
EK4tPrrWP01yGjcqFu+AGxYBAlzApbpEDhKXXfpWQSQ8WpiP9HRFEZGcRvPjYtlVp7cjZCRphZMT
GOzJsnHSGB4gBuvZYrOoDn47IYKJeLIGFFVTLpHcKSKsdaMz4GZIcR+2P+ZqPAYEfENQY1mVfjgM
p088SF787iArB69NgNdQnZm3CrDzefKeYhyeEoje3RqqKI8y6N43bp8c63G+Tnu+WQjG3ArE8iW5
xeN7ZlXwzMV0hFDlIGt5QPDhGXveTlYReMn1LZ8hoIdfQ7Exp3V1w8MrDz4oJ6m3JPlBGufSgU8T
iasJjvPa1NuK02sWzA+ifIbBBNrr5oc3PyMFA/QCt+ic1yiioB+Ue9t8rEFgkYPM5/opnG3uu11e
81fme8AqttsGkt7Sv5LRdRyfdHeIoLqH7QXw+iqj4y8GeD9QCE9qUNHGMU4xhDAyVRF5w3K0i9J6
M4xjUaaQzDMkVUTVb97yrJNgRfhBqfNyKjHRkvoOsXNhAXe8t1FUvcOvXm+7GF36adovAoYqp4LB
qiwmRKojw5XVq5SVQOx+I6EVhXRH9kBdpmpT+eU71fA6oIl8ThfnVyL5VePTJzQRmg2M5htoPABI
muEDyakL0qngcYO1uMqSpHVvTNxMhRfNgMM1GE5Rljy6PL6dcHTzmik3YC9o5m4ASjt3YFCWKT+F
oNTN/XAbNg86DHZJSrdt0N3xmhRqgVJcVCfVd/lIwY4A0V1GAdQ4S30d+NUmKWFLqFeWLznbOdli
N0WAUNQf4Y0vYr8/9GW8K3t74E74HhoXim8keaI/mAWTtyVNtx1me+2BtNGu1gszw4EmvA/R1Dur
zSHi/Lc3dbduKA6ABji4K8FeIdoyH3lJ9+3ExitW9e+W2nZHaVL4FQ+PMyP3qP0OSJfqCqcbxcti
F29D5voHNmwwDRBQ9zMW7k0j0htAQfat6Lch1fhY3DWb0VHFUuF0gWoycVRYcMTx7cN08nZIWHdP
y1KSpzmuT1EzneLBZJbLbTBEx8r3lgLuArH1qCQZ9W3yaDtd/7IS225vvCZPZ+9jahr0Q33sc30M
ggNKFqeYdBPnS0hqVH01PmvFg5PDhhZbCE70/Tgmj2UjyBbYdYI4CL8GNwp9VFgX8j5ukUQ2i27v
a9UcBwsc4NA3LIepDBaUMMQWEsU5KylMPKQ8Ip5vzuKxhtvAY7lh8q1T3V7x9BxLvhYuWKGIA1yi
1hxfbljC7W1teGNK6WzdIHl3IeE/J+AMn4ldkShiHmgGXL55c0EGucLHqVGaJAs7urTdAOTDNy4C
YrNaxuSM4Fj+K1jNeInbBzfBatArP716VQ3XRz5wN76VYH7c1KutT6wGPyCFnV1dD2oHXiT8f0nZ
LVsDM98uWe2B1ONofIDxipg0ruXbNIFevTOrqbAxbQ9znWQH48EsAzSjzsBLW/Z68KI3Kx04FUpP
50Y19sw+nYuVmNxbtOkIyhBqYdBLV5sjIIs1umVDeoaxAv+CIH3nVvgzodwS99uva2jVgSgpuPLZ
YQgENEKzKf3XOeT4zwpol6O7Gi6RrJPs5tWECT6c3rPOj7YDQZgclFNBhmDY+jVYDZypO7rdqV5t
nWo1eLrwM/aFmeLpsXXn8bX+NIRGn+ZQz6+nfTXCMRrB5vSGeBSRZNLzvGPb0mSndIl5c99bvoV2
ubo1oL7snUayjcEXpuDAWZJHP+7knV6Nq6jAvX23mlnjT18rfL0AySTdYmsQLa2CzWz1ws6rK1bD
ESO20eqVrVfXrL/6Z0vHRk0Gd6J54NyN3qVcIBEC3mYbIrtMHmBbS2OwHitQbofKexpcJ/qYPhXw
OAuvavjArT40YqQvKnHa87LK5mt0H+7nEbcYWVDdsnOock4918G5UtDbN1qMN2LV4Luobn/6qy4/
WhX6YP5MbwzIEZbB5wA4I4psKPpXbb9KnekgVr2/8yn9T1HNxSDVwBEgG6pee0bSVzxdGPNDzg/k
RunuCOVIu5Kdsh0GapLf1XGPPurqPBCrBwGZNMMFp/cRFfOIv+kKuVz6OT6hMQjDggdXyrxaGpCd
AHfD/Ol0iD5dD+AxeVsxB2gXhsRNauwyuk4KbNGVc+1QmCZqIDkf29VIgcQoeCrG1V4Rg9yIegyW
Cwgx6V0quDjPVphHVg/hSX/aNLpPy0a4ujd0k7CjXB0dU93E7a4cAvcN7QX/ZD4dIPAqrcvUagzB
DgiPyDSq5qVZjSNUBiOOMIS1oCbBWDLG8H86rZ2rTYPAhzvAubnaQ/0X5kDI+zC7wKIygk+Hoas7
KsC5A3HEMtTfjo6P6zH5Cz+2/1GudpdEVP3PinpxMRIYsXODQ0ou0bJDkcGjM4y+CMJVbgv7TCUX
/egoeGrM6q6B/A+7yOq4oR6yc+EUgg+OrI4c8WnOGSIzhDgJ6egtkZVzhrwoOTjOEgYILWr9QiA4
tiDRkJxdOZBjayKM9lQ0duhgreYg3RqAslbD0DjY8nq2U/Vrmie58+aueXZWixGFLWmzrLajeTUg
hasVKZqC8rlXPk7h1FUpBDBoUOSOa9Wxcyz9aIc23FpB1GOzOp1gIa4uwep+6lYflDGLOI2f5ii2
+qRGmGRgloJ3KoxqDLA//VTOgskjjNbzi8TBAm7vsTxPSqHXbCfiv+BE2u2GLupvokFzFGk+gDuR
ZI/pmM7nLvTqE/Kz2p9JPPDNIPtkk8zDvEUKFrtzkIK9F9jKGswoVs0tLrupm1n81sso3hUfX0WT
IBusc8SjGxr/vl/gOc48p/FqFLU+yhmQnECXSskKoALRCwgg2A6RZTmltj9jSg0X2ujE1S+3kvNW
p2RAy3fugFcycReDkBhUNCtBgnqr4I3XmWu460HRI9id8C15FGGLiX7DFplzPN/zpgJj6ThI45wg
gm1OLkAAphhIDzf4TNjqbdfjEiBGrW6iog+r6Bm+/w6SX0wr0p3n25KcanDZqm0Lz5s9xKBVXQN6
qX/BwzaAWC38+iEWVgIRFZKeA+e5uHDuQ/X+QJPSILhAOoO6pE4w3hvGkt8htvsbQw04oEjlQ9a3
Nol/rGfNvUyWFDSVoF4dqh3uQwqgUxgf46p0njo3aaqNdcoEECyZTAlO+vBiHXvNGxjnSteOZ4Yq
J0WCOGtOi0wjmsUYtl4jmAqae6YJIE3JglM+CMEoIWNxUhP174TVWDISwvtrtt9T4qNbq1DpVcg+
gy4+bQZ9g5rS3oQpm3+DAp/8WDqA8GYckR+HRjXnvkGlNbR6uZIVgUUj0MHNFLr8EfUT2VZ14+5g
xwYjrUbn6ZD22PzHxoRXi7P4YBMtvJ7hAO0UKng9YhlEYofNEBBCb6c44GGuDJhZGVhEgKTh7fhh
ptbZp1WkD3CCxc8DXPAvU+nOOBD61fACN/x07PweQfQo1uOrBjLhH5Gn2h+datoTrJVl1vlJsiMe
geGy4wgSyWkwwo0uBVpB+ClTd+f3dNybkmD5hMthi+ANfoRBUzzi4u6OtjhCIYUilBew4vWOjUji
BHirBYRroQFeEQoK10k3eDJ7A0u+BE8Oo/4F/gM8NA2K+d6vgtellOkZQv5fzez6V8YOM0rxAe8a
2ARthj9LLhov8wcYsvNDR8DOEiPmsdmI92EH1kW9dbFPZZNnfRRZQXKFgFg4EpNKHsisy2uaTOwH
wRr5PiiFnwh3aHorcTj+0VPVH0EblB+89JdfgyIzulupsLlCiGP9n82rEWoYg78CnEhAoE51w68e
Hg/mPp0AmvEpASibC+5Te3Q20wYja1gPvx96/HMD9l8u+FVMREzE4NX6vCD8rkGhdnqPom5Dh833
KrsvvqF/vdqX0ZuvSRyWaf/HbBNO6TrBNJOCg/aAejVDZbUp93rj5elTv7AL2leQov+nI6Z//S2+
NJ2XTpkAOsf1t9AFgU1qnXtCIQB7KfQ+I4TJLteZv9z/Yfdhf/Tc/7+58H9gmLVOBv+NubD5qf73
//qrsfAf/8s/jIXE/Z8BeP3uijciBFmaGN78A21EVn4R4CZQCaL/h/EOnp1/OAsd/3/GZI38ToFc
RYhruqr7/8tZ6MF36AMJhD8EVhrQ0PA/cRZ+mf3AWIi8LFjrkM+RkDW++J/nFQFROEUZF4e22iDf
nGdB//aXG3Lzx0z1r46hf1H3gYSeJBgJwioBC/1X2RQVQTSiWdJCcAT4xU7ug5UqdPxOKp76//zm
RxHyPf96oa9qI/BxHCD/CMnE4Df9gfdJ9+A1FuS/tLTsWIUe9v0W2/Uj0SLZKDn71yXha7oJGZMH
VMDjg2PL6FEGRGBT9lOBExrvUXZKg71jQHt1rRDSoc9atKr3slwWcKnVbFLIuGr9SlAfPhjHk2yf
uGXzVvfrSRNgzA4NHWOcc+V1gKS1RJULDNGOeZM9BkQgJHQ47gItEEENjFRLdNRsk0DeWVXx+4R+
9/UUIoIOnZbOdhg7hvUd913sc05isYcHC23DHT4uLB/ciAGOb2eGRB6nIpilVg8XlLktDS7W4pgF
FyR1gIIJMKrV1HkGOMncYETWnXEkDtvcpYAwYmbQyJ9Qbw8/KOKgjh7aJ0FuiU0fhrHu3qnfmB8L
silzAJCacRt1BvWJN6XNgyynXu6sU9sL9ayzAfhiKICVqVB0lW47bUvPekle6zUqeBlQy2zmDsiH
Q8h8EAwkUkhwVCLY4mH7jvWwoZx4PzSlwGeMPuZSV3hv5mcrZPWzR4WJswTBgRuaQ/8sWzOjqC/5
sZyIPAyI5f7ltzHk4Gk5zz8I4sPyJVDoVqBkugNSlN1NTTzvgAWCKGcU9z3yUneYnyTHGROIZRO3
+MvDQrqfspTkWUq0RAvM7fC990iwGooWLM2XAGycfKo6gqwsD4dLm3J9jJBBundVB2YPMEToCOmE
ggHQ6jRv4cW8RZ3CAAFKAy5zX+LR2WjcuSOCOJLLki7TC5NLcu9wqc8DWQAetjOojArxcscmmbqH
iPUB2vANfl6FSIYHAuQG5gKYW59X46yfTXPnDLmdp+AHGvf+EcgP06Mh16LtFVajZrmMWXg3RL27
Rwxg9T60BD8ByAYL9WKvCdsiT3p6mUxT4rvg1H9ER368BQvBO4guoQqQFRWKTViPIZQgApJvdCeC
wnrU0CxKLL7Clvv0Z+rV7NDWtb4LMdO7mmwg9t48ssdGLP2VU0V014F9diK6AT/IAVkqcYD/cAB3
IDlTSbwHVwLIHsAMxJnyauozwRfU3svEfZv1n4Vg1CbP4dDMBzYJZz+tBWMICwKUPwBsZ4G1Y5g7
XtncV7R00enHmO9xQrbRc7qWoE6Xohp1/AF/NwGE48a1bnsCCm5MCqdCJYu5KNnOAxgzMeXhhTcz
v4yB6h4Rt7VcLU3Y7vq1KNZreWzXQtnjY7oRQzccorWCbstxuan7Rd/Quv2BKexLWrPMwOOU0RqF
73Lwxv6WLu4l6OS4b+NGob0xaP8uMa08za2qX8eyS/sMuz05WBPEV30Xo87/LPkb9K1O3edBABDS
EmCNsMaQRSD80d+HY4D4A3AwcEUvVkQXYTNbDs5yRG7xuyZpzmAwf9NA9d7wpRwWnCUDdzpqgf4N
OqCee1c3KWBNhrbTfZ8Eo7r0XWh9hMMGfYsWLIUKSKc2gLC51MgXVVOIyNZGuvbKoODGPGVoiiCs
vNckrvV9i1p4yJuhNQblLjrTM7z5gIGivv6lQU3IS+6yU8iVeq3Q7bnu3B4AB+sI55cbd/h5GOb6
puhJHbCCCc+/o6IMsZRbNz578A2BjKWkiPKxr/pbp4czGDSfyG6hznZJ1mAZfxgW1wfbNgCIuHUq
B31U3IMPOSJ/eAfANcCrqgtBi2vm6Z4lWoKr6VU0zlhH3KfWd+TepA7m21GUDDKT0YJVQCvrnTB/
0RrUnBr9KypY8N7agJ4xikWmEggVwUMf9PMVmf1yg4KxeZEhhv74PsMgj8G+KEhj68NggLh1vdkB
ubYOlSzcvjIP4ChXpxVJsI/F0sHFM6bjs52tffGddHisVdVckjF1QR/2lwPwHdUu6jvEqbBWAlCo
VLWdG95e9cqr73GwMB+xBd0XwdsmeV+4GH85bldv+xLdB8/znUNsaHXA942Mr7KM9FU4k3A7pXF4
w5Me/kLFnfTAxhjbU1gn48Uz3Hv2wzl86uu07DNiq3EEncsL3VvdJw7foWFKd+0Q+M965Xphtuec
xgWS8Y2LMNxls4RljGWgHeqTMYLhHRrnxe65Ttll0qyjm75fukdm1WJzD2OQukCrQe5M6jtPPZhD
a3BDX916sTeBQuo5YdYAzYs5ZlLijrRJgZYAQ0u25/y1bEr2q24n9Az6zgVoGjEQ/QU9X6xoXURD
GEl0FNy5CR4SBinzk4BhGFtA7U7A0s2f4Zbt2L31DqkPLrHsiaQ8KBK1wlK4Nz1Inng37YzBzFqX
sNsSLK+bgJT9NSRu9AFhmfKt5IsH4Io1ITpHjdg0iy9fgrpuzp7s12V6jniuqKMu8Nwr/uIOQXcB
Dk+d8ORRwLMgrch7fChIx6cJtOVqFP5r47f6JZkDBxmA9YQREbclWhwQKpC95SDjgn+emHvupg7B
SDUpBTauxjAMGDGyzDDKxlG3L+vpV+kFbM4g0jAgNHdlsFVm8nM0UMVV2AFetTVSEbYJ0Mbdl1Vg
zmNf22bjtKCkXWGSpbrcnRKLvnIUNgXI1pUqHOgfACRUcXozEdX+bgITnj1YWU86nCHfsS4dr5Nh
CQU6+Vy+SN2EoCAFqLGzUhn2HLsdsEj1FPPtjOHRLunsfClBw3pUM+c3kokKq3wE4iDQd/GpwgC9
AChdVFmspXwYbKymreYhe/M6zTaWRTzNuLvQm24J09+46SpPp8VctDVDYcfR4G54YnmMRKLvEIQ1
Fx2LyG/4QeHx533QgKI4AuA+1GtK1kgtiQskWra3UY14yU1ZmQTVIgH5GdmdGE4hbUQFH7Sv5/tZ
ASIj6BLeN53XANFYxbTbatzhtW1jxT6qMSF0fImdr0cjCbtrhZEOVExznWajSK1ELwvbjbaR92E6
Uuui5iJ9FwhqrHI9VtUTiq8KE5qwgfHFReY1Fn+e3MZthTuCtt4kcg+Q7g9GSvsTdwT49HlyLi3a
Nm0mk5B/NGwGbE0ZxK9v/UCxMK86K44l85IqR4u0vQ3RfPsl+WLf59GON9bW8NpMU4xSwzGSyIIB
kYmjqVLhTwCm+LDpaukoJICC531gNERsdAjWEWYbYylRUtlY9PkI+corYdbdl63p9jzVJXop6Rxd
u2j1nk1Cq7e2VBHGOW2KtWci9BfvZ/mMCByic58l028mWudhCBme/3AgcH/NToRB3aTHzcSEPbnY
d9E/x999TKYGz+voB3zMo4E3N6lM4VsM4OYs0CRbHhQKBqSodKlLN8Fsq1srIzSBGmy6D94cY+Gw
FWxTCMdRAtkRthFPpaKoQYGjJliPmuF2QXk85CVK4PuK1OmuRA8dP5KGlQtltjQ/wTfjUWH07F6q
qgJCA3C4HUO3bz2A6OaZTZhMZERierqJwSGV+YKYaig63BLcQQib1AVmdHSbsKZBLaIHjMiywbqk
ysVclwz8Rbc2uaV1BJo7xjVXSx2zZx1Rec/SWPwsScMv4H81O1Kb8SdzO/UAb1t5JBTQQBQtGDQ2
cQgAEmYV9sk0AglxQMTdY75Idn3awWWnDQaBW75ov95AUlJuhELJnbnWQ5PRUQ7mgFy641MyK/zw
AN27ec1sxsFGokXu4y9B5IS+LVQO9S1VoI4GsZTPde2IF12Xw00yamfbRuP4ShX2bPAb6U2PPGQg
N+IGUNKlQ8cd4K/xgpOVugJ10PaZrdsQigenBVEXWM1D6c/iwGPXgQZByVtL3JhtQjOY12iKcTCu
p2g+dm606I0PwQwYfx6H7IJZwd49NqIxPSSzdzGmxaCLmrheH550lMW6Aowbx5XxJVjq8eKTiQOE
D7m2j9gNA37d2Klw3ydt+bMKG7KbIXDCSoIx50PoIDMgrwFZCbNQNy5mNYG6woEuwikMQ+kpiztW
NgVW0uSajzDh7kEi+D3Gi3uLqT8CTNxU61sQVpeDbDvvbeYef4eShX+AtthAABGg9+9Net8EHrz7
YzMWxnB6rHgnrjERSdDG4nKny9E/IeU6Pvul7MAorNiuhsbt2m+V3Y7VuFxPCSc7pB5Um8ninU05
epkNRVPWcIn9f5p9xIVEUbhLQAk70aYsazxxqOtGr43utejIPsADuAHbUF00H9w9GIl8HwwSWANo
37CCkKC7oRwtTYhfibn300Y+L5j0vUdVOd5i1E0vTurpOwG9zoRVg2F+bmdklA6qsgUqUe9QsQ7n
Bb5QEMrdMar2aayGezRS/R1oZfO5hqQhQz3kQU0U+7sQO/umHKZp64GWanCIHt2NmQgkIjycoy2G
XgJKKaT/PMS2Rx++Coc9Xebh4kELvMdJi5xFQoafHADSo0Yo7y6ZNFGbQMTeqrhge8Ow+ERAFj4j
DL29gs6mP2gccbAc4uk4pb7FXC6WaKlzCv0lTdwiRafmB2jAdocQFv+aLIu/o2Wg3xTu9LWnMNcq
EBqqzCrzDPexl8orgkk+pDHgh5LYGnAzDWznBcpyyBjCaXhyXCiOkKLh30Q4DEELY+rjMJj+Vkne
g3SLKXNRjt7E15xmssNwHKDQeQZIuhg8DXoQJo8P8+zaI8fThxn/rJMiXlRyRUzsbiSfyz0t9byh
pRDPiI8a19hgqh9ZKtszTPcGUFcNal3kte/tJPpChCx+Zm2Fd8Gk99zeSZCNm7wDWvPNV4PttxHk
LLoIAq+qV65fd9a0R57oAk72kIlorrYlj/VOez0igFUDmnLN9Pwk8PBAmMuGGSkrE4svyzg0h3Yy
BJ6coTTANrcTOXKH1pcZWmxUqgk0mBGkAYXToIWWJZi9JljYEwx4RsS/fBhhE74NO2Q7FC7SXQ12
/wD99nbBIVYQihWYCMnZcQJc+j7wIYyIbYUcdsFJ+Shx3oiheJ16P6vJyvHtxyGEAAOK3ev/Q92Z
LbetJFv7Vc4L8ATm4ZYAR0mWNdmybxjyBBAjMQ9P/3+l3b1NlXCI9u6r/6I7HOHYTlYhKysrc+Va
C+MQvBjaALmrraGbwV3E1wZE/MGE8I+RucUQ3sLYXW6TwYJy2g4G9brMHFAXVuvecoMvjrCQoBDu
qWU8UA4yT/rjaYjLX12thZ/NQ4BwU+qUK8s5JIstqMLhe9nntGxLpzo8aGq1WJ8SCkvHrLsr1KN+
mGsOvIPv2xBEUY23HEsxFBCwb4uPNFPSQxGEqOI9O5typ6EIkd2K4fF2FWW+IJT4D4rlohj+ZvJD
MirB6RfGMBwtRGIYUO39ficYMxYIWal7fXXaWPeXi5/vpyIkaxL03SI1K+E3hXv54cQgPtzWfnMj
ODNel0iA8+eXaL6b05GMSkXdKlbHY+mwRMo547rcBVdMnWyZo/Cj3bj28w8mKlP6VTc23uGOete2
u1G1zMt21r75YG7NlI3nz+Za9098D5s5lcMh9SFk3TAzfJMcFpsGziDew/5C+Wr4OROc49OTdg0C
d/VXj2GWY2DOV6RRj9HutHpRspHxJyDnO4h21urVX75igyTkpyTevxob/yeD/PthgrcbaUszXJRC
ySF0NtKEF2S8TvzIL7f5dbg9bcwZ4or3o9rCFvcubyDNNFUhgnA+XFX1bawAiWWBNHA+6X7mnx5S
iKcan7MQcRbmyGNeFQbfnYTfFuXVqe6hrdWc1b22jTysMBV38LubcVtvD1tH65D1AGPLuaAR8aqX
Alu3dzQ3x4e5oRpVakRY2tvl21InbQDKoCYdy492FpPJ7jrei+nEdjVC3rCkyDfbNtPEGNml9Utt
M3soc6DDrD+8HtfBVkX6CHjP1WlbXAMdgWaw8WAxS9eCJYI3blehZdJdHVbW6jVI/FH/7P872Q8h
L3oWC99JH0Iw9z8/fv7P/iX7Sb553iEDtyX+098dMuQm0HeHMcNiYFoEs393yIz/dYAJo2xsM+Vh
vv7V3x0y5X9ti8a2y6F5ZebEn/7dIdP0/xUlS6FfC3GlimP9Fx0ykxEvkhnI4FR8FCClcNyzoce4
ao5FGjiF51rfChdsHjnE2cZMdMhkJjETJj3afDSwHGTRXe7CtyasGIrhEypjHhW0XZx0e9or/qEf
AKJGq84ufjB+Qv8q3pyOwd2Mbemu+JdtF0kmFFMAY0uHwADRVJYUATxt038Eo02RpbuHQuxn7Olf
raX+iwkD/Yli1vayYem8C7s2WyumY3EHzZCu4TEdgYCGbumppD12Tpvr9rIB6cKQDZhSPLWD6OhU
J0SfVCfbMVS0OqGrUIPGnPl6EgYAaqO3K5EHfcn6097NBSJ6AwMQV3zl9dvsKn0SU92nFw12H8Gz
ISavqdruLq9S5mN8ta4KYljVNMFZyAwfSc5omdlaaKo1EBCEYDuBBi/Ie8WoBu8hL2fIwgg+9xSc
aD/6odlt8r5g/qT2a1fxBAx25idJ435//SQV0iHeMfw0Qc97fmJqGiJlFR9KT7szGQwoPPRF/HSb
+AxAr+l0VPkSILO9T1bJkzGjuzzlViq0vIjBaBQyTekoBU2rkuualG7g16aj1sCQU8SGP7PEGTOW
tESKWblmplnlGXfdi7YK9q6XX9t8734F55HffJ4bdZUv639t6t8Ls6ScDkyjEqOzWHhQTT0ffjWb
gmcbJFOfCu/xkK+PG2upesWPwbf34hd0KFPSuF4HD+6PmbVPfl4NVlcbSTvLeZUJOwuIzI6YLTAx
vPx79nhqVhlNoMizfOW5fuk3ee2FX501Aix72Fxnpjsnz5r627bMd5dDPsdZIOHr9kegqQ/OXveD
fXn7Lb05eoeHdu9Fo8fSX6K75Ob4eWblUyHl3Lr4+7OVR8hdUxpm0E3Zu8/Wy3BzXFEThAa5u24e
2xtru5ilqRBR6ixH+euzA8tAats1QFBJaVGpqUWtpIRJyG1X4Wh5Wel+iOvQLwtnFYSgATV3LYoV
l5c6udIzs9KtUFv0LlqFmFYan5zoQxU/Gc1Mwjtx8QhsGIPUXH7IQEnxmakz1ADSkEFxfW/DhXM8
flow9XUkTv2TtfxtSM4s825RaF3HWYUR7urgDvQ08rtkMTemPXksDJpKusb/K7p0oUVh2boLhuYQ
K7K8snnom1+dDerF+okezOUVTTrFmSkpFjBqSSMbiSRPQGoqIDVCQEvZzjGtTd8t6Ltp5D46QmpS
lItPRtnlIpBbN9WqvD5sYoY5rvRtsFeY7fJsig7cL/DcuPpMgBUreOf2NHxNttNWyMHenjRgz2iZ
GhpE1Ythteg+uNWvk8JUBTMYh8NTRjP78o7+H0sV6abK0BSKcW8NjseqaTs6rl61GlZg9zbOLtgc
duJwIy21cf3G6z7PPXomjwBUypqrQCLLffXWKJOsxwYUe+Ed6DW1OhM6DGQv7I959DizPHFe3+3n
mSVpPzsUCUbeesJj6l1n0ThaFs887bx2o1Ai9wZlJlLLAQR4FkTqqMk5/M99l1aCZVVOTFpXXo6e
VF7RpEqeouH58rLkW1g2Ih54Z/E4a60Tgrpj5Smnj4vFc2p//e/+fWH/7N+3mGKjcmURBQm8qvEV
CZ0Zv5M94HUFKBiSAZOAv6OxrROjiBjFaLw4/1CUH04p2beLLs8MJ93k1/htRqatHfITQN1GQzQ5
038y2Pops077E+Xpy/slh0BWI4QCyLpQqiBsSOWSNgzTjsEnJMiCdpe7UKgSoCCVQGxq05lzDMgT
i+I+BKQNw7oOxY7w+bOvE6M4BDqbvQNY4GseAxXf6Dktj97olR+6a8DZ3hxplIwxNF9XyONS1SG1
5NkqhYlDcwpz/RC0nKNy1/zKHtVrMjEv32R+vD2tj7CbQSQzenq2yte19R+wmk14jM7l8vcvkGJG
n5i9UqpW7WVkf7a5tw7MmIBw/3z5U06awSPhTiPO8oe3m5s6saWMiyOf0u1v+8QqVwxhU+2LEOHO
4ZK9bO1d+H3d1zNz0r6GNK9AZ7CvGXF2ZXjhs1CW5cWwE3llQg9wnUMjPcdwJled/vqeZ3al3XQU
psEGB7tA68Z8eSOu04PPdC8V0qWxpuPlq7vLa53cWaGhoYM5skHFvt3ZyCjLLnMihKzqbmd3jD3r
MegyfefUMxmWzMX41+rQTaW2wPnA3ltTlPGtsjc5IfYDqtxrdYs25K7xmZpeH2dpcSaCsa4rDrVL
qAcgnZWuGL12TXXsFEAT9EGdJGfAYiaKvZI5nt9iwkt01URdh0KFbspiqFaY2T0C481r3lPfnhT/
uK+vaPbx7HKuqABvjr7CKO1sqVD89veGmWPQbbbTsaWLRqtAT3UBPLN/JVzxplzBzz9bE5FrwK8f
TFd/25EunHqoSv2EhJCXXff+Ytn8hEqdKY9P1jpmVfbjZU+cCqCEapdATY4F9vWte+SLcqHYIcCP
JM/XYcnaYApIzeNMKjDlGOdmpEWp4FCDUuO9SLHuEywQYKwM68vlpUzbMCkIKgLPLEvXtsE4tDYk
B55a6Hd6uWDCZbG6bELmHX79OGSkf9uQ7hsnOIFeKpUSJ4g+2rv22dgjR7UCSeZ8Is/x0LTaHDfm
nYHr/0hWtCZX+i5c9atkNX/aJl3l/NdIH889UZJv0bvyat/aHDbNZvHhe72qdkzAefNUnpP7a2rQ
zQMtVIAdvHWVatBOuaaxv8Xh4O7QKq12IQqNM54y6ZBUsQzTJWlEqOatlQ40mGbUBi+1UHtQApj0
tSiDvlstZxKVd9UUEUlEvezflqTrLYth/qlHGC/C3WLdPh/vi3t4Ef3TtVWtjafjHdOEfu7Zq/xa
AC4qoCEeUU3buh/nlAymd/b3L5F21m3QihuVtvI62D5aC2gqaLLLniu3sf7y3LPVSveAzQSuqTa0
gBmeXNuFcVu1h3080PA+tUzCHQLl8aC6nytmP7uWzgvqr5d/weSHRcIa/mVVtxQ5cOcQ1QRhx2vA
TforKzx+KQAWHdRihu54ci+Z2HGoS3FJGJL/QP1TMZbacBi7o4okavgIwusfXN/ogXER2ZRbORBv
fXSwet3pIClCJvUmCAemUptdWL6c1MPMbTe1GLYKS2wc8z5SuAE9g9wccwCeedJW+YHmADC6y5/l
XeNBHAPEmixNNWnAoAbzdjFjEEcJJ4EH1NCe/Npw2j0DnMkGSE+zbvIufBnaylxWKHpSyBCwKPBF
M79BOJ98twIAEO9FG+E1WcmjGuvR6g/8BucrMAiU71S/2BjdMkK/YpNCmg9hzw0Coeqy+ny4n9sC
bca8/DQq6uhgHV3y6XLtbPpr6+WGufWVQtvAj1ewRuyp8D0EG3BiD2CiaIJqylJNlsoamARlgdkK
p9jyd9vBTUgSpQLUdyQfzlVgkckxRCz7zt7Zt8lj6MUra+88ZbvR156o+kIK9BUEjwdRLWxNWbWk
4rq3Z47SZGaMGhqezpQZ16rk50nMOG4K6xwRskzWw+p4pTLN6Fz38Bt/12AOnxd8m4oSZyZfvfXs
QbeorNBE5BnsP3PXTfjDzgyv6+fIRadX5mo6qj0KWyyPpDKBZTHgEYMBpTFx3Jqf+63rpTso7KDF
FAocc4/8qXXxXDQo9JA78lnfnjIndnlM2Xh4EFjrRfjFZdTONBp/5iCJUrDsOWdm5Nf3qKsnM04w
Yy7h2UWkL38KNtGHbDVs57osMyt6fSaffSknL+vIjYFmn8wfB4tdGxdLwIlz99b7s0ALl89k0+aF
oUR+UmhqaSaZRjoc7ZKPN4+Zn26U2+Qe3MkaAqk/D4bCmsO7gvvDduVLKortDG4brAlm9Mo7rkRd
NX+M9nNqfO93T8yyqBRJXqnJX1O7s90bhkR0m0uKCMMpWyJoBhdX9/WYzQI83u/fW0PiijkzVHdd
l6Mc1VDUhOJarGidvgyr0EOK67anUjKsGUfUACHZnrn/C7gzF9Be5zvfuuXbHyF24+xHWBW0ejTp
G6/gRzgvC6a21iOxNVyXiPg+CQGybj2uREtylgZ6bqelNK+sdd2wbGwP/bgMLHdZJU9j9OmPD55Y
oSNa9/x7jimtEPiCquUNtRJlD1XWOt28st4+/wNBJDK5t6bkBUXQVGjhovHMyIH4a20wqjm6M7F/
etd+r0dKSXv3YGZpVbfAEbLPjmLBrwPtBFqCcyJI7+9eAf0A+0HpG7I2Q0S0M9foEfVNUbQWkbj1
g3EJLrtljIhCRX0Vfq6+q3ttbaydtfspv53FW4moK/sltS0KMUwZwU4gfbUDEwRdkKXCOIMJqaev
TxATLSM/9SA783VPeUSYZ1hqa7qrtMtngpvYRNk8kq44Dg5I7Vec3bO1D6e8URgQo+IFNanWZhAp
fR1PzGuC6tarL5dd9H0uCRsttMykE4yb0214ayymsla5Kl80HK9CsKNZMRerp3zm3IJ0x4Xm4dBZ
KRyBx8aATwqG2gYVttReXV7IZDQ5syPnCHGgusOpYCVZES3qpTqU+tUwNMNWjeDSGjMl9p2TUq5y
C6rYkdfktoKBiXmU0l2T7fTL0VTb6ybSulWMjkK9dAa3h2VJqxgcHdo4m/nMMgD09cSe/2DJxztF
z3PoQtn6Xb6kjnlTeIIWu/GtZ/gWvfkMcuZLvBYFzxwLCtY6aNMFt0tKKzwaPLNH3b1OZtKNiSe0
8ClSdp4mYHflw6sHta4yRMjRXdcIba3bXUboO23TjXmTPLir488aTVDIX9AUcH330c05SFAzbmY8
Yuocn/8O6Z3EXHu8aBg44Bwf7oJtuq+/Jf7xvtuM8BkwzrekdL1p7xlVrB5o+poz+zDxuGYfgDIx
Y8ErSpWzu9jK+hamxc4rfcXL79Wr4425gXvzP5AUmDzGv03JGR5cLUnQpJiCgvSJais0oNbD5e2c
NCF6diT+Csg5KSpmWt7lzPXTkGpKDxpqDzK8yxamj/CZCekOq5l1QiRN5N8wP44fDMSkUcBYVV/z
jbuqV+lHBs95YWl+CcHBLKBiotUAwg6fRSXUpJwrS2HAtK0GuXlAM+zB/S4KePq3jD6DujG+H8iF
CipoylXxbWbRwgulcA/TlUmD2UWHGYzK2whc5XmaaG5GGLg+7QBfQ/8vsoT2k7GdL1dPBZ031qSv
aEHe3R8WtDVE4lcfV0Jg0MjWgnUnukohLV3/Sm4cZSY4T/gOVnlRifNAqVw6iZXaRGmbJi1EcF+Z
HB6NmYrIxEkHG4mgD+Udk6tM6pxUWT1CvMmXg8LxWgiF9fvFRts6M8Uq4X/vPpVFzqYCbnIMXVoG
etztiZpA6wW5uokXP4YFU6/Vrl38uuwTk9tF9DRBfIPecaRzoAWdsjg2leh5FctF+3URbi8bmOj/
4OpnFqRELnDsqHdynK7ba3t7XWwgoL1LdyaqfPbu5M9Ym9w3sLL0/flK76iexOColYxULoTWWK54
ROIrdfCs286nXnAXruyduoO8caYPPOkVjoJLmAJYLJ/nTKnLFhkwOpXqnXv4kp8em34XZh/d4mPf
XelHezmzTuFm7/zjzKC0qyNFtbgNmSEV+tD5XoSOxQZix9lu80Slgq08sySlbS4DZ20diVbhuvWH
F5j0//W4CLfmvv8PRJEmXRKXB4YtYD+yqHBhQ2NaaBgMzR9DQgxmWndm9+ZMSGsK+1OB2h3R/3AD
pe5++Jk/xZ590/nDtfoS0+ONv122OOkfYARAJVDjtGWZ5hOcrU2UiESbS89rgYP5abxAB7LWkita
C6Vvmbl65zDEe99Ux8VcfXNywWf2xe87y8cK8zTCyMYxL5/btfarJvqPn8tty8siX+petApu597c
Eykg+Feg8bRIwUXIn7HrYkQjIBDyyhh6kKb6ntdBuayKxawm3sRRODckfUx1dK0DjIm8FGs7WAdd
rDJiX88ElnegTx69b5Yj7WBdWobTZGbrRccl04BAh7+735VV5gvhLHNjPRSJVz1rz+kPUcpIZru/
k9vJhcPvsHkwvo5bnX3BIFBKV0tbXFb9wojKMgmeISC57KVTaaSlcg2AAQI/CGHYWzdxK5spAEGy
blCFPnFfx9ew5/vh6h+uhyY2uBmuOWD/killCK0yGDsmAlP/cLrvqi+9Y8wcdHm6Rjx8LNEq/7cV
6YEbpk2X23CneNG1tc9gzEAOKNu6KWWnxrcjTxDjUUP3mm9CqNq6PzCgfjUvSDn58XjxooOLWg8T
Fm8Xe+qY9VsYLDZt9OUIP3webg72+vLXm4oxusuQCsVdRF9s6UqoYa+vdfg5yEwYmmN6SrwAov3s
W0f8WPnqwTkY3FWYmNZeARJnnniq7dA6ptixb9Gf8JE8X42vwG9aAFyvc3FkMlemTGlCdUm50pXR
9EZ4GGploTeec2PsbcbWtwWgSLdamjf2BimK2+Que2quwpk3nTaVSpzbFR/1bJ0x88ijnbjU7faH
jXIHwfQKsQU6sijbiz+hMGz4+ib4eLwO70U6I0rCos0+B/gSH+79hv/eAClHQ9vdQZWH4G3UCEsF
mWe4PyKUPBcqox3hXKN2ylfPly25UdyMSpRUZJ5ueXDWulbsDfFkiJ1g9hqe22EpckOqbmah8KT6
OdkF4yr7ESJ5bu2OO33vlH77S/dE8Pnzbjeg0DOHkkL5YrC72Bgw64LtZXJ+aTOVf/ksTm0i9TyY
BjWawCgxvfWdE7VKd0h4JRg1IwIRM9fb1G7tD5ZlzKGGX/scsnuc25KKO1qJuonqknuGO3jIah9p
t1X1ZDCUkN06u9PKeFb87rb+1a/ErCyyi3P7ObdYKZRb8Oa1ZcRiy0h/LuLsSxufnnR7Tkd4Koc5
X6cURF3D6cYRCSjvdNjB1rZ0Tg+XP9qcAfH3Zwce4ACfLWMjLUqwyJF5dft42cLkTgkhWBesLTMH
0k7FcCdU7UBqqwFSpa7bCbmi/BsqR4P/31mSNusEI1PgjKLAgDjGIV8sx/al/kexQox70SoSY19y
Lahstb6p+fqwQ7UIsiCO1eWrHkDC5cVMlhLO7UgursIufDRNIiBcNtnOWBU3tbI8/Gj32nfdy/1w
f/CC21ld2El/OFud9LWiXK/LU4E/RDsS5o27TL6I8bEWbhtfW9s/y6e5u3XSP84sSl+tqEnLzJTY
28fKVjM/wFa91uEev7ydc1YkP4eoEgp8UZiB9clfQPfNGMey/m/XIn7F2WmC3DkojgZWUlglkZ9c
IsyDFvdcIU98hHfR72zLpMuxb2uIyEoRaTf2M9xbO2Sw9+2qZOAxu5m7ied2TrobI8OMwl60a5BC
hAj0lP0y8+FTaiOk/U8+keFCDE9LisbQ281DviBrG1HGqLMvxw7plub+lH7/72xIh+pQHOHiKrja
62KBVsPpWzso6z4fZkojU9kLhSVbE4qcUMNJewaJuRmeEs6ubX/r4wXjJdqSadUNonSrlBLrP1iU
Q9VMgARhKZXudkFt2hQtG3dSPqbdXWRf2epMx3ACg+nCpvi3DVf6OAZPFzs3OaWLB3WN3DppsLJK
bo0vzg/76fhk3IrHhboKnrOb8sbeiZmoYW/67dr5MBejJh3y7KdI37CDUclUBp2ur6pvj+UBkQOr
5nGYqk+X93WyDHS+aHEOz46zW0FIBoe6KJkwQrwSEuqLailolAUCSd/NF8knHedsbVIwbE+OXtch
Jzs+lpsQwZ2iJ1JFft98Hw5zrcPJWH9mTIqJfTIw1ODQIVOtGJ7Wh7wu/JkdFL/3XaQ6MyEFxAAO
4JD7RNTD8wzMT7JeeKiyQH9yCw+9d7qZm+yagKq/dVQpNg45moDFgkVFu/aarij0AbCS7d2VsUxA
5PiQBK8HH0mq2SfL/2HaBEPLW9R49+KNENOLFh0VNvshX3414NsXPuN8QUMFfLD5FO0fAn+uDTZ9
Gn4blT7iGLcH3Ral5sRyP3X54srSkPpA9WgmyEy9tEHN/L046UvyrwZH+g8CIQ8NJY/RZt1da9s5
6Mz0AfhtRvp8LTwNLdThIutBUM88CbWtYHU42tdHdDASBV64yy46vX+uAhyNKiUTj2/PeJajbqTX
GLRgMoUZdHmK09WhMbz/zowUtCLVHMLQ5UZoq/pX2mvGMu2yG5YzQ74w+YKHg+Pv9UgxK9eqsMo0
ArV2pz4LaAUsRPdM9Kzbq9ND/KR+bq+Onr4pdt2uBXSxba4DnvGH++hrNXNnTHZBzn+KFMzCWq1A
wIrLlgatBs0NvEG+wD7pq+TuT2ktRNXLIlUU/CMqNRPJ2KIrj4XdcO7zPPrOxN0mi9Tt5W84eQTO
TEhHrWrTYehbcQe20XMdU24aYKg5FrDQ5UAZLdfXYmWNLtyM3emNPDMsnb26LPuoVngFRjtEVNAT
D65H77AMmDcI/LmXrVjFu5B9Zkw6gcj2kojrGAuUZqcEyd4+zqFiJp/vNqwn4PAMMECuVATpUOKN
NZ3TkLnwOzFx89xsglUMHs26BpW2Ce6gQAo2Ffrenv5TsLZd/RMc0GsRlgFgKiMQ4Lw9+L0OBZFI
nTw7UlYRJQIjDGHdO61QTlsm4a/LvjP5nBM133+bk86l2x2PSdlRgIG4glxC8IKFa8sHSQb87j+7
kMSXkr8kFUugXmJ2iuro2xUaqJbReSAvNEsdOMFN0+iwF0DDG8xBOKdOBvgmndERZqhsWWc8tOoh
0vpOvPGz9Wmw71oUZevuuLLLnxq9CWUxbpTZ9Gzqrji3KnlRMp5c2p6sr1qBJILONrgX8fuBdCld
VrrX+WgwB1/gyL2F/Hju4niFK7/b3rNFS2k3XOt9CP5F4NgE7NddL26PW0HkI+b9mAxCstHrr+J9
6CuMszNckq/VlfqUfgw/nO6r224791KbrBrboGjpucHR9G6oGSazJDYOLlUxqIO+l7vTGhEzBdmL
Zez1dzaDugJr+tnuYJOfuUYnkx+GKnXg1jx6mGp762waUrVFHNMrqn0nXVm/bGhnQuqa7ZWAW2jP
5cvwUD0IRq/LB2vq/j63KzmB1gEQHU/0iKyxuI0HWKx7yz+E7uNlM1NR8dyM9LFHWlFw9NLMjJpi
HY/lynHXly1MvjbOTMh0Rj1kBZ1qG6+4yNLvn+OXw0bfihtTg2z3sXqsN3MkRpO9onObUhA8dkFa
dgVvqeSaqLRxbzXndf7i4Osfxg/q3XGXtstgpz1nq+yGJu7zj9NmDkcw+QVhLGDYGVCbKs/bdBGk
mlWO5+hwsZdl5SM696S0c42+yS94ZkZKEKyqpACO3IcXZtAIVvFLpCczOJkphJVoJP69FPEbzh6M
am+p9liynUO5jB4Rm14J5Z2Dn10teH+YG3Og8az5sDfOXtvTuwgoWNFh9qIH/dZ0C724mwwOb1VY
mK0y9bTx01D9+aCgmDD+bUVKDuL6pKeVyiYW0Ekh9YFoya9/VKRhRFuDXo4RBF2XllLCoXlY5Gbn
BX16nS+QQkj6O8dx/MsHbnLHzsxIa1Fau6pJ2BhGScP7Uem/qtXpZxYMM+d6wgxOTQNbzJO5YBXf
fpgRCjvUM3VAkl3v1eGVmpoPCMDOtLEnbmAbkSc6oMReWj1SfGqOaRAudPbs34PSfyUWcwVOsSfS
nXduRn4taQZyOaHLYlrS+ir4nKlwnCPVeVzMPB4md+33ekxp11zk2KMOQQLPNu/746OCHPPcpNWc
CSkja9ShUOkeUyOItot8xxgIDKDqzL04kaOwYWK6DtCjhSLf269fxQCcQxUj4yJZH0b7s9k1NXTY
5jq2DpWnj8dvl716+gv9Nih5dRSoI4qEGDQ7t709KmqyQgmp8I46979ilNXusr3pXfxtT7r3g6o4
VIfQYBfjbR48WI2yTJS5EaspI8wrMPQJy4HO2MDbXVTHVIm0FCNwZq+SsvetA6OSyp9XbWFP+G1F
Wgr6XQUzkVipS+PGHHkRwJgeNdHe1deBMfNQn3oQvLEmJS7H3k0zrcNakK7iD+B9rxj5W9dbFDqh
Iu8gi2g3w7aYOVcTtyBMCjiiq9JWAczwdifDGDUI9YTVUFeve6O+LrU5TMbUxzo3IW1jbzInc4xc
8Cd1cZPFT203PHbJzLeaXAdzfQzR2sAxZAoFI1yY2VE5gMi2iyujMreaMscXMpWQCY40qnmKwftQ
noqPc1cZ6wMxyLqByPITs1uvhNXBY74LwM/Mgx6m8oc3FqWvc6jBIWRCkg5h8mvDU3cWwPp8L0o2
xvdxRSZ9625QdobV8vIpnhoqeGNZ+mhwDsYntcFy8KI+A/fq/eQjvNlrkcFUG20V0QSEzzz0qu8M
5h8/Rlt0esF9zCJfhCH5hjnfdOlY6KejUZtHvKdaBYuVVn9Lj15M3dhdnbb000D6jF/D3teu4Xvz
tZlbdPJQnluXrtFFWpCjtmxDuANS8BLDTex6lV9e0WHzTE9/Au0zs/VzH13ue5l9U+RDj81uzxCW
thIEPCbFAdvT9yUVayBGHwLgit12rtQzhX0TNNSg4knr0JmWb6eIVoOLhCDMfOOTGfQ/Wnu4H+rT
XaO1X5ReWyN0sA7ccX3SbWTV5gpqwp3ffesz85K7u9qxruKsRzWh+D4edl2zqtFSbYeZtHzSpc7M
SL4dmGnuhEXQe0HNa1T92Kswr9UQxULU2lvVzPecDH9n1iQHRpOmswIjgZG0NJd5fpVHG8QnZ8rJ
c0uS/PQ0WovQyeLeQwzHN+oDylUNIo0/Q8XdFGaxvhwdJoPt7yXJHmpTFj8YIxuI/tzX7tDeDvpc
e2HKBFOcjIWQ9kPwICVjdaTl4TEXyVj/DREED37bzeVFTH2XcwvS+290mlO7GLCgI6mRlk/58HAw
X/6BDUYwmCJ2qGzKXdLYSaOkVLCBdAnPimSJ8jliZflMUvlus6iyaA5Mb1zlbJdMClPUemAh1Dhg
4uHUfzeqOXzVe5IbLJgKKzDEgJnmSOl30pglhCQEhl5dNr9GOPH7rbbTq2XzTN+OUf0/rq9IBqXv
bxsI0pcqDp2NxbI7oc/p/DEbACbo5vI4EiSh7wY/7fAYmqjs9MiNKz6K9f7YMcc41yl/52aSFfHt
zkoAzrFNjcTJek8BZd4ubrsRvQZ7JqJNGxEixbga9CHi78+MhHXpAOZnKW10PbrfGxPl+SSe8bL3
bYfXpfy2IoVnM0fjiFPTcxmedoLut34d6StB1P0DrgbJmBSk41PbHcZahE3jp23exPb3aO4eEJH3
zXWDCUZ+EFwmwoDNkD4NupJmlMUFJ7PsrZ/A6mIfKiL92kjzo77sonHYLXpFhawHXPsfBgbJtPTB
0kXUKUcEb5D7U5ZRgtqzbizD3vwnZiiJK5BBUo13pLunPOToI1p17yVquVWOyA8XafY5MoqZx8uU
/xF+mHGioAHZv7ScUHC2BgfsFNW1aqPn++CMMw+Vd7kBOwZXiJjuBzOoysjuxqnDPGj5WOVovwRp
cZ2ik1I76OgaxczNMGEKrgsB9KD8CIhG2rWjm6VhitSRFy6g26lRD87r9KkKk025yGZsva+4wusi
SgGC71aIk0vXUB4NA7LQKEUl1/rSXKprFV0a+G5XjCejB+ibG7qjHw4Por3HDMImqP8DBY6J70ep
lXEjprYm5v+t2O4qzWLFEVRfdXN1pMk2zqx00gZYLhhswCUhsPI2RgFtdMeF8JG4ca5cG552p/lY
WOPq8sma+niwu1BfA4IgEKZvzfRD79qJgZnuNCz7+MsiR6f2Xg1/XjYztZpzM5KPxG7ZDdbAZ6uh
lraUr7q5b+I/5u7FN86NSFndWARVfdDx+S5HPqv+VDYvelDMhPWZlcgw7THs0rStCUXpolvZ6V2q
wpqdP1zerokM5XwlupQ/xBkl8uBIZl/UAXLpx2OnPajGopzxsfdPdLFjGnM7QE94ostlgDgN0l6x
KKwO++HXgMZT4sfFklL73eKueGQqaa3/Kas5B5cIiyKJAjjaZFj7rcPpjBGdTIAAnnaKHkpjXLpF
+lV1+pmlTVxWb8xIO0gahAyY8Gs9TJdW+HNhxFuzGyH4LJa1+4JK5kwh7/3bV1qYlIIZfeXm0MRx
YMlbX8qPww0UMRVUAskHNOyW6WO2gqWhnUOhTfrj2X5KARF1wCJPEN7zUrNdnsIPLnnTob677I/i
5EhX/5vdlK7+5oRGXD1ixC529kgTtBT0bvtj9C1BP7lIIi+r5uDoU/kTRsHpUo6n+C+zKEVOazWN
hlFBbR5cFXv64feHLZ651j4jDnJ5iSLQvV/i39bkR1qWWEVzOIoI1TL7GzwCpl062ouuNMvanKuT
TJ7v30uTqf3HBpxbmio8qT8tbs31cJM/1VfJVb93N/onKjNf4s+XVzftJb9XJzlnawV6SZWk9xaJ
s8yan2Xz7dD98RjQ6wn4bURyxdGulDoBFekhQ+2H4Qd6EKi5hN7lpUz7ItwVgJUY9pUzgMKtENI1
sAKaZy+oO5o10iGbOSTd9I79NiO5fH7iyuwhXvHSmjJdvG4620+j9eW1TDvdbyPiR5w9RDQFKeNQ
RKmm0pexMi7z9rF2Or8Jr6zgy2Vbkzc9OYugBnCRLZQiohm5edkG7Js1oJx8SKpPGXBqRz16dhLO
OPjrVMq703RmTPI3m4Z0YS+4WLLrolqW3CTbeJVuklsaubf5Y4Xu3WZZ+cUu95nKuEddFwqhudLg
5CdEAsuia0gaLPM6JJF1QHKaFXeMp6bDc2f87Lvt5V2dPMlnNiSfzxfmccyLkXfXWOyUHpRQ7868
Vv+PzYQGX9EReHgnZxEeTCfpFzbnyrKSe53K1WKVp3mdX+daeKiftCAYvrq50y77VBu+ObBgPUUV
+is7JGW7aNMUFgAPPS1a16/ToEfouT0t9r2Z19ddsaAVmbp1ue3Tk3bNzbwI/dxw7b1rHPKZ0YvJ
3YKJmFaeBYGEzF015G6oGTm7FZHVBOG9k85cVNO38JkFcQrOTlSZZ2VYKqTm9fOQLNtH0XVwvVf8
0HGnrAOmAwP/sLrsBO/ROyLygdzivtIhnbSlYDEaeX1iWZxjU0zTlb6Y+kw331PDHz5SZvjVXXe3
0cr90syyQk4mOmempRDi6C20mx0nLYF6G8zURv3mAFv6nFwV16qHXO/NcGV/TAJEJmebDZMhRSCl
qAloCsNcbze708rALTqWXazsW2eD1sT2eHPcHzfhiwMlTbRqrsrNHC524lRD1o66nmEL9jM5Zy1Q
yy6iGH6oAxTAamJuq4X2sQiMmdA84aqCRYXAQTXSfMeqeAgTE4qSeCDPj57s5PTUuMmMs06Z0GnH
Qq8JPfc7zFfaUiW03WLgjR6jZPKz+eNRDzjZzw1Iry7tqGcMY1dslcHYb/81SF7SbCbvnfocJO1s
FKPWxjuGbRUNaAat+8FrjtpyUW9ttGiS6MfMAZvwNOfcirSSID0q1dFiJdUq26X32ouYqvseirZS
d52DCDp8gBvGv2x1bmkiEzmLJadjqmknWxjNf4SnXWbDq9fMlILek0SIb8RYPOgt2J1gTX5rZAyz
5EA5YfAEDPK4zdbNi1DcUyho5Js2XabP2m14r3vFOgf+18+pP02u8cy88NGzNQZmoh+gvhg8rUFB
NcqX7umHMucjE2kOJ0k8MkE4gkCQ3nz051I1t/DBssyZgf9/nF3Xktw4lv0iRIAE7St9usrK8qoX
hkpSEfQgQYuv35OzM9GlVK4ydh671S0kyQvgmmMGcmjVXd7SGlJaM5x9IOZ841r+l3rZRQLy25IX
2U6a6Xbqqnb13aTY1BI2qWxXQuHNeJrC5gGqkNRzQbkClA2G4Z55I17Pb+1vq18cjJYuiJVrWJ31
bgNgXvtSZs6NyLm1xkXgVBZXad3Wq09tO4SwT8hudbCvxQbkXi1Id8KKA8SA32OjKJzBYAPBrdbe
09Xw1qL2h5u8xWtb++sqF89hV6bOCBOrX8y7HImhyd6p8dLPNxAPV8oGBMQ/D3MR6Lbd0F4YWOY/
CC8Wn6Hjt3gU10Y/WAc2N9CX0WAled4LXzYUaeZULA5f/SFCFwrG1HHrWxvzUFQeXKijLGL/xQGM
+xdJPc5gOKZcPNgoDSmqkSHLMOCzruMC5uiNGvRGuP1JOsBB9XWdc7R8ebB11ge6pniBU1Tcy1e2
+V/dQumXp7zzIHdNALCAo3aSC48mn/+FQOTFDzgH0pcf4GbUHNM2R3XelLU3omzyGpEe2ok9/P3c
/xce6o/tCwDl+QOiOLtE/jvaurRS4FFnXwR63Gzsx37v+COwBRz+48umg4hbuWfbZdttyLsKa9hN
Q/cvvuVkd3WPf/khl9ceJDFdVyFDcGzqD8Wjct7+/qjXMle4jaKYRkMOqetlRt4jfDANQzY1RXPI
oiYCTXLYyDh7XnYiVD4NFjTSF8/99m/36P/TpPz6s/2z8sXn1EEdrmDggpcMjWPRQVDn1s64ugL6
2gzOO8hQLqXgc/jf2hmpcLdBKqR9ZvMtx1h27VBBBgVjz7NwIOZGv4dkquApxIWCVin0qFfzCRdd
mMs7SIL7BQUSOx+DLoVK6zRsxjY0ZB2R6V4n1HOKKunk82jziHUq6gx2HHSRrGvmmeoo0l/LkuO2
/ECrdNdamlePT878rZutRw5yAjRQArc/8rH01ua+KV/XfkQL4VENP/4eHtef71zeArR8Hv/+/nyz
pSmcPIi/szTeWdxpjPL72zj6ax8KriYmgGIGTmjn8jUuEPybdeSQZCxCo++CzrxxSF5bAWpbDBou
sO5EO/H3B6GVNnZDO64+mKdRKpuH2b1Vl1y7x6Dld3amcK5AiDM3a9cBYHy/bH6WVut1UNxp4TvZ
3WgH/ElTwTkIyTd0Rc9qkpAg//1ZFBG1mjOkbOeMUQv61Gsi9eqAmgszgNMaFAl8J0J6q9q7lg18
XfYiFioXvNLUxLKd/jRiK2nLs2PfqIiuroEiGpJUyDlQTfz+aKndl+VMz2tAQ9WGKOLwRpsbicD1
NUxEgQmuP4Slf1+j0gdzzRas0XZ3lnG/5Ae9vzF8vbqEA8Q6rFzO2LCL5LOqpCUx7Vr9HCWDsH5y
gEyAtfz73rzW6nAwB6Uwi4fowx+efi6GN5NpoHKA7FFQCLCntGTygI5+6ZuQnakSNWQJbxVF13YS
ACBoeDDtrAh78fomIcdG2Xh96Bt5NZjv+Xqrj3yOpMvr9+sSF5FmzELHFsASKWEdeHBt0msAtpW0
36YrOwqm/5D9rbP81qIXoTcMszP0A77ZCmeSfBJ+a69eDjh2rt2bRhMX8v3v3+9akNjQJ0NebcEU
7jLJWGuHNFpzPpLEk75808QL097+vsTVb/VliYsXmRrGv4FOgn3W9Z0ab+Eyrp15aEjC6AczRIi7
nZ/xS0rmLE1PqhQhWHukEsAhCs929zcOhasptQ0eJhDXDqiYl6vknTbnZYexjAyBW+88uC1zeB0C
zhqAFMe99aaD8NVg+LLiRW5iw9hDy1ZEIOffJ1N67vLpQgohXzuvWE5sfvr7d7r6Gr8sd7GniK43
nQOjK1/ZHw39pS0wk+xDeePiuNpqAPeI4d5gEBozLpZZDYNlYsBT6bGxpb7xUn6fNsAnQ8b6TBZm
W7Py0sgGQjr9aG5ipK/N80Ct/Gf5i2h0SAeu3LmdcnZNOLM721+T10EWCeS455tSfOfi9PIQ+bra
xX5Onbm1CoGHlSG/P/dG6QvfnB081AY94chBAEHo/85+To/UgCVSdtP0/U94ME6pLz/hku0D6Wzs
/AZxa3owegUAPkNrtN3zpHq/xUS82u/4utbFlWONBTNUi8c14mkvAgWSpdcE5963DAjcdECHAKG3
97rotnLHtWPGgUItlHfhDgp0zu+nQD0qLQftHd2O2vHcQXkKlm1/3yHXDssz9Rt9Ztj4/VFV0zJr
+tFEIsrMX414bfW7armxPa7t+a9LXITnyFw5uGpdYcXYPzdWuVtKOGU66jSUw7dx0DdIG28seW3f
f13yIkZtsbpkXhEgGnln5MjyJ9t5m29hg2+sckmMRdO2FqSiqy9Aq+yVGcxp5Xc12NX/zZX25Xku
855UY6Q2W6TAssbQr3hq0sc+2/w9Eq4G2z+RcIl0XiXR1JLjM+E4+cjS+nW1b50d14IN4D8THnYG
GjnGxekvNeh1NecUR0w8SqsXTYP2hpqDvz/INfAN8s9/lrk4jqfVBZioxzLpIYMy6b5/Oje1rUAG
derxXbq73dG+9vJwz8ACEKBDCHRf7FQ6mnPDBAIOybFPqw9HiP9io35d4fwLvmQEYmLcMDoEG01f
2/6ZjCA3Gsnf39ytp7jIOrSyzMTMEAKp/CjknSFu/P1/snkwkUGr8CxpA68r45JS3TUmWS0dC0Bj
e2sfx+/qx/ppvqlA+gVcUwNgQvrMK16UD08C9ryE8HhGXw9J4o23+eeTnn8I5JDgHXCOxYsQ0Yy8
Z/WM/kIrPjGAATH5Fpriz8MBHorAdIMGBj9d67IaGlBAuGztlA/xvR0dIJHp2EGpdzCdkd7/97Od
9c8AVTp72KFmuQi+GXAOO0W3BDYLtZ8DOdnSG+Plaw8D4VSoQwPlgH7MxetSOE+tptLRtSKzt2aW
X6H+KgiIgcUtwYZrXwbVMFDQztmL7xLhT/uCT4DVwjFdfCu1nRwf//6yrmRLeFs23jZIhsDxXnIh
YA7gKnn+MM1+2LNAJSLRtpp/Ro838U3piz+zJayGpBa8cQcs28tvYzWiTBcGRGb5AsHkSCUldK7t
WMEN/na+cCVZ+X21i0NimXuwD51JQewCGEpvgHAwWsf+5DWJc8SagdqipxqtgwcDnpvq0FejBO5d
aKJg4Iap28URBf8qnVRS+ZBUW9lr7exIvZNt8//fuwgL2LUgLYIp5uXQizVsFO7M8JC09+rp1Zpu
gGyuPMdvC1ykfJozo28G0JDfZnWgmc+6DbN0bVOQm6LLV6Ljt5XOf/7lUF9HUzbGYOBR3tjbsAGp
L2Qn4wcNwOKMbrHq/rx9dSyGpgk7k/7B0Ph9sdHIa8n6ivqd+CHGBBAXb3VuJF761UWMM/8DJxFE
Js/v9ssT6Z2zwqHRwrv7HPawZQlS00sPEBsN6zu0+NEHnxIHekYRT9oeRqLeeSe4UJ3Ib5YJN37K
5Z1sKabMTC3KlzbdNAwurW0ZTG309/PkarD888CXRPplyjpk1viEbl0EvQb8FQUPVXPBpvj4+0p/
al0C0oBx1H/e7SW9ipuN7vaFCXP7aMk94wE4/SM5Lm/58m9YDH2EkP4W0JgojcAmAVKfvtW1DyG1
s1l88Pefcz7zf68Df/81F2k9t4k58FJTfmWmUO2eMTgiXrls65nvXXKL+XXjY7oXGf2SNRCqo0r5
ZYpChXReu5rBIp0bXxMQ7b+v9AeO2rU5vmbdU5jVmU8ZgUiU3lFP8eVQ1d3g12xgXiXkU+/kiWTV
wWL64hk1DBENcznNtb0fKy3pUnGoOoB3evm4pNVm1fUn14XBCS9cD3zPuFL1AQSF5yVbkobzb51R
Cq83nV1rDHrElzoBAe4gBA+anmHSsboepzTIheUBOBOnOv3Q2/4tRWvX5zp4yS4lgRqmMaCd0qKW
iEe9T3VfaWXE1ilWVEVS9Y+2paowK/oG1pc0qtP5cdHck7QgTd2uzbYdzTfNOdcxE2K4Ac8E5BQ9
mOz6kM8oc0QBRWk2V/YBOhj0SExjI9kMw8Iav5Qa7WstyZYMNfEyxU+0ZlvGS/wJ0JCjpofnkdta
z/uMl8K3ukL4dVOHRuNEXddsLdZsSa7Pvr5MRyhE7IDifB8GVQSt7nyMDTnJXHsooa/uLeP4bLDi
21AWm5EOUcfbHfSC7hradL7o0QNZ3YdRd9Kwb9NNTfO9Iib3e06Eb8zTsyannzXXfw6M/By5eEhd
eVr0dp83BCTCniazmyXaoKLVVtMLjADv9dbUvUZp911p1V7HUxKYFCS63NHucBttgY17Ha0Usz1Z
2rAEmdsABkhvNFfvltudCi76sKS1Betu+SSWJlYEEG+uzzSu2+l+FeCuavbwpgBTTVPLYwWsFYz5
uRvz2KnUnUOH0pOQhBFMPMIfF2pSzDyZE1Q14Sc4+ku96hFQY88wea09VPxdWJXtT0qdX8DuHUwD
1rKZRRdP093dyjXpqbI/FrPctHIeMO+ywxVeA2GTTndTOW3cOUvAfH2CV2tkkf6BiiEyumlP0vIA
E/B4mNRTzijSdXOO296AmFfTFz7PXMfDqCGWjao8TCJ6j+fWAyYrIYZRDhCRy31edxFsaIMUR2dS
t+pRiOWEidwrzbJENLD8toYKyNJcvhe2c4SXx24UbJvNY9RMSu1T4RLfztbHcur2VBu2plHvO91G
CTGVz3wpMwyJTPwb+GJQLr1i0JEGcRHh/3uRsrwzqjWYqmbTOPMTXxY3Wtw88xr4OXhDmf5suX2q
9N4JB1PugTf55i560BTr/Zgb765IH22z8RgXMI+cxshI6++N4fy0BLe9vHceJmXflQsyZaY1S1gb
fRbbRaG8ZTDjriz2NYO/V+Pmudfw/IRPGtFR3gGGtdFM+yhVduwJwYihHmLHUB9GWXxMA6biytqN
hVy9rNZfpWjuCnOE6d8SZazYSzPLvYyZb5KTH5O0f6q6+2ZD5WLBJ/BSukZTm5/S0dxN3Cgh29/H
hNPQ7orEcsQ+cxrDG1043hkk6VX12MMvyKuwtT2nqwBBKNXPylj2hju/Tw2x/cmcfhIHlyqc4SFm
p+RGVq3rs053PTezdoNlwW5xWSNdTYGrZx9rUcSr4cKWUz30GQ4jOlnMS93uocysX4V04aEh+p8F
wnlts03fYP6qzZDLhxVarm9Kt96MJlLZtdhk7tOsWa1fDcSAi0t9ZFbja5VxkoInbteGea5FMOSI
4IcUcEU9CVm5FmjzWcCB0l4CRWwIgIyHJn9X6XzspOWbehuVvRXqiCxNdkezWrzWseOuWJKODb7E
S+thaj3gP2+nUJo2NtMYKidh+vPKxUtJUEV0kKVY3I2WGmBX49Il39YZKpHAATw07Lvtlmh49/C9
MfSkxKdoeP9cKkhHlEcqjR9QPdtkgHR3LbAtGZ6xc3GhtsNm6oqDkQJDljXFNxd3etEdbdfccDk8
6QPU8Bc9rAYn4UPxUOSQNBZip8EP2LKrWGc4A4bRkyl5rpo6ysEubWUpvdp+Io4MRjCFtOVQAkDb
d7OH1oaHgIsyB0pAkzA8RcFKX4fAGNxtvfIA53W0pnYs8vHA5ftY1puir6OqhL0BL33V7OWsYqJp
29QGr4SzTQscmFNBKYNa/myZYcaeWvq90JsHG9bulr1uOX+vmYzbAvJug9zVjAPpOMZUNkGpARol
hbdA06sSNVyDhEe0B6jMb8wSBqKEBjaUUM6WG7NmBK61AB47i7CsXU9zjo3RAf6QRlPG0C75LnCd
Yya/saUOhYXQqb4bVhGM9vPkNp7QfqKqCZdsCIocopTtO+teIb5zb/U/IWQeAc4FJiYsZ0YbsAoS
lu6utEgwNGjrDzl41VbcZDnQ3b+sLAtbOPiWogtqQwazNtReYf/I6ZtuDiEtLQ+gAI/Q+4KSZM23
gC+GozFHqc7v+nrvutCG1Hdthwmgyw0/S5Hu4VJR/E0wqBlN8ZRbXlmIO01WnsPpXhrLBpUfnGGa
hBQfPeZFDq12NXqevXy2ZhgDpcDjUV+IIqqaKmC4nurlWa7Fp3Cak7ZGgxWVuRlkHL3sMfcIOSwj
vCGbJloE7nxnyYPWfeTFEQ2cwLa4ZyFcnPJFnz6XHtkfPlBvl8fefVcE6qhkW067c+KBu8TXG813
3M6nLtx4nXfRFd7iAlHdHfi4d3NMD/C2HB1zT6dAo9sBu+UNko6RvSTjmOjydaGn3OVJqdOkWO3P
RoJwpqHIzbtj0ethb7465a9xtgJuxz3Fmu9q0veVbceO/iab2QMWGVAq7a2eq8QZy96z2a8Ufwvl
DJ647xqozynOI2o53mTjXHLaoBshLAOlTkBETPt5pGFZ5D4D3CxtP5b8vk4fefqE9KHCby7hjdeu
HyU7VNrgdfajoR1X0/SImD2SrkkOM2s5YibjwM4aynGsNwJevhHEGwz9PLSKQoOmHpX3Rv2Ujlup
N3Gveh8yANAa2uV2GzbUjEuhXpRoAghWoHjTJs8Z9k7JonoNy7b0HfpYTN9FnhgDi/i87aDfqt+7
jMRdS70lF1FTveLMyDt2Oi+bss9Jwu9UYoMO+mMqdM/KZWBzMyRacaiLesexcXA7+1r/WeQlvtGT
nd2TcfYKucTL+WvpsIU1Ld8wZq+znibrx9JDmtEgcZm/pkuzpdhPM2lfVJNvFmfwYGoU2DagKCU/
OXUygh5r018prgakTH7n8sAhy4aOdWi7qZcLM1SzG9u8jvUU+Wdb+Ws7QqW6TCSOJ3c2/LG8H+ip
KF9rtXOWJaTsl9t91uOyNaaoKzattXVaAv3cRIgX3j+Z4ocxh1lDcdKGNYlZHqaT8HgfQ+Q7aHBB
EFANNZy3wtG9eTyo/Nl0N60ZKPRF8cx8+XSW+8IVfj9HdfuJHxxDXCEZ0u+9y98hGall0LB2EsUe
S1v6Pd5cKXElhWTwySISIr6x5aVQEBNOAVd6WC0aFMOQaJrw3MZKejhZIzr3ddV7Rq6d7Ka5S4UT
SK3YZgJ/tdX7azcmGtESWqNZsGjHzsx3sJDYzuQ9bR+W8n0URqwPg1dQDmUB2HNZGfSD4XjduVWQ
VXmIc21EjEu7D8AhDkwi4kqA7m07gQUBruxR6Q9u81Hy4yhrD/mj7wjUnGsVLsUBJstxbj3pzrei
eDDcbwT12Aq7A7pwb3Zf56Lx0JP0huFHphlx4UJ3tnjteQa/id2UbQxwVRhnuI+reCnxYbW59ycJ
bwbpwqC2DvuijYxqjkkKcBRBuleWQdcir8f+oqseKFpuRlY8VL305NDEBgAMay98pzGxavfgTL9I
k4aLBMYrrYMhK7apyUI4eu+MZQykrofjOb5QS6BonevBg8RTIgto7k2Vr+V7mTl+yr+3juab1UNq
IN9omO/ApmpWuQdw/mYchgB6J3GJt6ODklcQC2hvdjdQ/Xs+V7U3NFOw0D7kThmvYxqyIuZD81iK
Cnmp+9w5II/oNE5RkSnT2pvM2S3ty1BkOFdRV3eQ0R7v9WIOzTkLjVH4mXKDujIP09hDzbaIzGIJ
coiTZCta5Fl14rUWW9WdNu5r2Xp9/i9Y1kYjOb4J1Q6yAR0CF0CvdZ6SuPFquDgUVbC4qc810CV1
8WbiAqVlGqX1GEpUC/VKw7FGZxSDOlhZJJlDomXAEZOexPmTADG6QtOY5kWoLBa7ygr6ZYpLow2m
KYch9RiI5dgzhuT2jvdLNMpXoXXHyXjr8RRLi2CTxDd0MHktLV4r0zOmPDYQRo3O3t0VjSI0GSCc
PjnqzVTrboA+vOkucZ8uoUvvh2lBFdX5teRvZk89uwOgVBs3HX5Rk9a4d3ay0CKjgHw30vZVz4JO
Vb7ShTdjiOauXZDZC7jL+WHVD53ZHnBrJqhGAMBJA9PGBbDWR0hyJ5LeO5OOEnhvZ0CF1TwwGsgh
MOc4LPf9bCaQhoBT21uq13uVyiNFgki1NwJn2CL7tc7P0ANG2rHtOzdYrP2YKlQmA/4itXc66GL0
9seAIxh21AHHK0PjlHc/HPPXROewLaqYozCapwM81nHafmTW0XScZGx+og93JzXTH3UcH8ToNi4z
YosI+LuYIlpL8CunKjFV+yhUh7+/M6Ka07saPqSek/JTMfQRgRtM2jpbppETs7PjbNQhtd2Dktox
y9WPupp3UELCEWAhA9HmxHSzR2qRXwRo3tGdAs1of4wZQK5jMcP4kyB+h8HwwIy8Fz3d1KmKLLMI
03bc1Uv2raom7tVdFkPqcls5lccHGqi6jpu6S+qiTNDFQNaN0qwVZSJy82eHa1k16Y4A2um04727
wkOAp/juHe7CgrLNos3P9lCBstpZgSHMraGGI67VpJJIcDsjsLIxKiYRnTsKdgFv+la+qMq41zH4
QtQhBV71HJGxvueaBgDbmCyWyLxpzXy3m947Heg81+x29gTlMbc61Kn9iuE5zKgc8moU2Ap2KqGR
6PJXQtAskPyXm2nl3jVLwH3h9OTj8MTZ05PtqFf3GO4fAfJKsWqzwBrDgjVHmj1nhZ1wYZwfCo/c
0g7ZtPWYDuXJtItNqcuXahl6vzNQ2QxGy8OU2ne1ozVQz85i2Fd/U8pAYTSUj3bFOsih9i3eXB7S
TN03ZGo9KRn3jLFs/IkuVQBHsUQQ6QYaStLKnFzPqlHbEo29s2yNwYLftGcw5DQntMn2vEFVOFfp
W2ebx1S1m8aon/NClFs2TKdhYu8rce5n1p7KUbbhall2MLpuUvUN2l/WaZjL3MtnloW6sMa4c8z6
oI9UC+ys7yDlNaXhSGkWQa7k2dZHFOrmEyjDsFfU76x22K62+CBEbOXCto4l7ioL4dtbUBGva9s3
SPVa99XjnGGM2WuvZOUv1KzvZ2f9wXJ6TyyIjlaOLg8dQJGB0PpnLhrEMPIRr1PIp027TSwXPbSc
tL+4nXUBaUtg8vvhAOGQKcZUCRPDvKpcZCfqNE7nDpzLu1BDkejRFsqSyEKCIW/QTTBI4c+u3Xqc
Kz2ghb1EwP6+lMb4DC+DwFmgip5lje2Z+fJrmGz808w+m24dg6XKJPSM0Z8qJxmiHuHK4yt3TtJm
05bl7hTLZQXzRnL3zhla2sA0vMnjeZhhagph/wfhgh4XNu2qj6FZuuZBstR8HZuOPC0tk58tJHk8
0TuAYwh7Oamhd4OyFWZUCXsN5SDXB6OpWdjNhkp622ruoEPU+xYlJvC+FjuVld5+N1OjjJQo5lOj
cCMAZZLvyhyieS06I++ZyuWnXeUawb7o2u90Tj9GRjuPT+vQAI5lsxiEmA7sTrOaXwZL0e9TU1C0
HEzyk7qcP2F75BG1RR6MBQoAo5VOwJ1aBfoqRNDJAYVO51gxk5AG8hfeM+SfpbGdas0BIbYikTE2
ZYorsEexbbIKPoxCgTRirUMC7VstZqmAsGlqsE1qFhX6lzlmtRqtNyy1tGhcaxd/apYxtmYWEb2z
97zs0deo0ypoMtOK66E4C7ihqyI1WYOv2Rh5wNMJrDPqFkkKHt8mN40T3DKGU5UPgxXi1s/n70TP
+s9OM4pD0YtsQYKoSlRHYqjM/nmCpHZ5tMa53lm5WmJ3hfNq15p2Ygs4FwxNyqNGMxpPn232hpMO
enulUcdZPqCtW2BeO2U8D+Fw3fs6dCDuDYN3p7VHM0lXZo/5Vj6Fi0jzn8Ke2/vW1cgW3KRGeBU2
VWzlgkUOxS0Oth4Yc05O+m2hahURuqCWN8SyKbo6RWpiWSFZZ5RGI8031lmsY22IFulZLaGJq7JQ
tKjyhlyDjJDoeMAYei1k1ufvlJXWC7ok/TMUXy0JIYwe/4/ujLoRlatM74AYGJJstDj14V3W3+Vj
IZCR8Oqu7tPyG8gXGSjWQHR/s9dOBIUDWUhql8WhAqd4guG8Oxa1h3R1YYFTOgR5Ty+mXEsYzcEq
ILMG8H9hrM17uvSIsbSZ3PbBBmk7ixxkpM6mxCYUAXNarQ+7UhQSs3xjpD5EVlzm80oRdJJgueaN
ldQUqpmC7VF0sa0NPIVf9T02/rim4ewAsjzZGT3wzhkP5minH61O8tGbpAZ0IpNd1EBidDMZWXFM
m1YLDbc3QiNz7WQFktGD0wt6Tn0xlz4SSYrO1DKFRamjqUJH3CN2Rw9Sr8nRqVOGe8uakN8BNzZl
4hWJ8bqTioBQIbr0VceswDPheL6M+QMUp6XXInLDNoPYfZfljafhCoPuPatslBCgtd/JaZHgQtkk
rEjd7kpj0hLd4lakscJKUgzA44ysqNjZNH3ofATXReGysntJE5JS55t0x2yrj62JM8c2d5Z0LM+1
lH1YaOGi/wEFowLTlUBONvLUuYDIP/bI07joBCWUZT9hzE4xNhxQDi4jbn7kEJE128bWHSzMZ2dV
HtEGXZOpmyDIhVtaJuNC0i1ZRnu7APB/5KzmoVpV/SOvaRqP3J138zq7+8lusztNoKmWjraZe7DD
nR6zWRDQe0sjnKYKmxpOIkj8s1c1nANHc0y/SvvuI+11mDtnU7+v9HmO2pmln1qeFadRlO4vy3FU
ovppPeb2IO8UfDKAfq3nwptm6cQ0Xd24gGpwpAoD7ljoxUNZdi0c7XF0ef0MyIfpQR3a2PV9Zd5V
rqzurZVqseMSzfDbPMsiyQ3k/YMFCr6ZjYduhMv7CF4e9GqKNc46NKsqs5sCOlnlnTSK9g2o+ezV
ogCueinEZU/WSiDhC+HFvQLOI6y0poucskTdVTDe3NVrRuKKcPVsEJ7GYnJgWIYTJRxwWOWeM2Jg
AqojQMq4jO5HNWgbbcKJ3rEuRv7Jt8yRi0THYs6PVo6qAjLM672Gt/e9xVb8hqknVMjhkhq4iP8A
clrtJjVEelzWcgxhFEEHn862+SCZhhYvqEFH2mWpP3LKt0DclfcGHFfgtVI74jVPkR2li7L8FW0W
8G4xxBLtNB+X1n6sFgjPYnw6ay8mT5XyTN6v1nbGhsxPRUqtBAOGro3WPKPkbjWrMt+KhuoeGuLT
Z6EMt0UnL08pGnIV+5XNWbtZMnSVvCJ16+OiO8iUMqMl/gqv88BpNO1TKwuOBoAo6OpJqxefkz06
L1zY+r2cGnT7x/7cjyXM8c+Z2b0O/Xc01s3BcH01sSkmWVGGIOjNe67Q0uBkMcsEyfKMHiI0szHl
yLVpN4MHdJhL51zMsGX8FLMCxoNNQHxUtpzhI4TwohzkSVsp58FAI+kBXeppS9qVHHHxtn5etcN3
Ig0XQiLE/ewG1/I0BmzUwEYUKrJlZiIMrUt6IO+3OpoJga6RDIXiPKRQptGNDSdQsaQLjkK/L8fl
RY2Ftl+dtXhQajZ/ziaakErqQORpZRq0mpC7wZUsGPjCg/8h7cq248ax5K/UqXf2ECRAgnO6+4FL
rkqtqcV+4ZG1cN93fP0EVdXlFMVJTnkefWT7CuAFcJe4EUKLMhRo4xwlbd1z5DILkWhExqpRWLjx
ZdVDwQDndZW1IeQkYqlPbNQUNdMd3GRd5HJ55Rm9ZgJvGt96XoPeT++iYCDUWl8pbpQfqw7FUJP1
YIVPeEEd1Zeqe5Z6qKE0erkpfQ6u81p4q0JuEKG2XYbuB6s6bqtRWpiyoMNV3BDdQU08dGK5BG6h
FtpgJkqvIg8f1J3g/ZCN8aFrRaHQ8NwEFbvSvFZ9UguWh1bWpOUFCHI7C51dFPkg0ey/xsT10Eem
irKXwMJwy0AADO3ijVKTg69Ft7He36dSfywSDTFAouJm59VKzrM7xG4rIMN8q/FAD5EiGzJy49UY
uLC1oNjmhYaKpOq9GF4POJ3U3dWSjIWHaGcqknQrFRqI1sr2RutbatOK5IhhEsQUSrdtBGvXSc6f
iNGDP79Dch6UqWFrTSB2XoJ0t6OISiVD3IBJ49HzqveK629tbdQWeFrXfpeGVhtkV+ikag5kSCwR
AbOg98KO3Bo5u0ANLYWHZ7Kyr2NEmkbzMr76ZueFr7GUHQ3RHLQ6fc75MJgxCaiZBfS+CdT3nPXM
DJXwO6hZSkutNFzajZI6YOxdyVXkbd22QELWRmuwRLyC0x6qdprv+CG5i4vBIaqOu6fhjhEywxEI
SFai7Dszb6pjWoTXPMk2SkaJSarsKmXqtQg9zQ6IK5yGYAtqZAKERz8y7u7YQDw0DvFsZH303hcM
nMex9D0GhYeVqd4FyhDgG8jjbN37TDNTl78OFcS9GhB90vJO9eE/Suhj8qLXj7lnbBofLP++CzQJ
DYpX9LkvC9AZYP3ohLiudCw6FcUBSXlmEX1ivhablfBvKfpETmfgVW29mqwMkW/KttvSKjCASOGJ
SVpv3YOYeaACxfeAvRsRM1ZG7zsFqj6aJumrgqP1DGy9Z1aSt/NjOpiy5x/jqH5LkxoqYcxFMybG
IZa7cgWyzU1C3R8lqZ94LP0oxTBKaRs3Os2AgGlk4Hskxm1kiw+u3OA0trKd9qM0aiQk2y8E9FED
oW7c1EUUFID9r2/EpVHpiVPHrYsQK7oH25VwDOoBNaewq0HDuya4uA4I6ru99KOn3n2EhmdXIuny
qY+anu6lG5x+eGeKikUbB9dqOnxLqHSBVwmV1aL70dXBQxtzABcC5Uc0tI+kMxSzzodn36fXshbj
r3neXS7JulmQukRXwjDsivubllc7kKcpNuo3aOcKZiFa2iYdUuokiiu0vORdKZdrZPiXrt8/Z2X/
UiO3d3ydxk7joe7u5cig1dY1edJcuTGmTSPZf4VXaehqE9nM1PyujFLUzMEnZPo6kgwOaCxKFteh
wleUVj8G0B8kKJuEqrF1g8pq3GjHuOeoGbHzgRyEHwVgT+9QQOX5YPOwOagZWEogttEmKHZSEX4v
2mIbqV6CilaCiqYbrZjb2blUrJtSWQdFsvGNb7GHogApk5tQKlJkqd+EpDlelu/7snbAk7CVquox
RGpeqcOaFvUjGzgiVjhIloykA1V87zFdsr0Bl/F4PUa8WSnUvaa+8V11H2O9u5QHzeJeekgSxfGI
RlAhET1cGphMFDyRUlz3JQ5k1Tue3+SmFo115ly60lLtXpT+Y9h4sc0q8PMSJy10M6n4W5Ty0jYi
aQV5DgMFYfYc5UF6EeIRdWX2LWEPevVcRx2qjsr1wPrYajEBRbCtkY7bKSkf3L6wgCI25aI1S9Rj
s6oMbKBwH3hTd+s8LB8jARskRZ2qVl67pHtxXXapa0Ng1417G+fldxlVSFMqXdRbXQqW6k52POZC
bk0W0VYR6pMkodEbF3sf4B6wsuugiIyJaqnx8KOSYyfMg1u9aZkJPRPIJyXdVk27N4JxXrNpXHhS
F+Ny0t81H3hwX0cxodEBVALdsMnocCmy5I5X3FuVokBHo1IqG4nOBVjT30MEUUA8uE9IUvYtsiRI
XGWNbSCntXRfvCkla/BfB881HnFCoLVVgx4GQTr8uLoPXdSnWN0oEO0DckiL3Q59MwgUEp6tXaRL
5qD2B9D+QupNQs0x67zLUK2Ai3Er1QQW5jLPvR1keFFAEtdVBAKpXl9HnVfCY1xhx75rOIOh7BO0
FHHRMWARwEyoMHEMA5k53FWeM9F4ttCDhyREnoORatTGvQBNQtpUq4AO916JQDAX1F1xtXqLdDD0
xR1p7dxD9xT5WbRuUgyeGQNiUbwfb8pA7kqUEGzsKup14UCsIeavde398AY1tprG2EZ1KqHPVpK9
1grXgqLvEtD/g4P0fwfWgY73M4Qyo3Eo9UaB/NJG4W5kRsDlHNixpZooaa3brW9B8MMp7M42dmQP
5Vn1wtvF++4pO4rvuSVtvdpKF0mpzuP91A9c9QmyM4tL4dVaLltaeTvo6Jo0A9AMmFkH80uWmOfB
hTMo8JFIHgBStL4h3zjZA0T9EnIvYHwTo0VL6VFlCzDwWdjmiYEJ8jbrqZLzBuDQDA3FRmq2Q15v
Mzl3eoTq59cyCyg8MTWB5wtJqN1AgbsdW2QieUJ5zoYm4QIqesnKFPpdpU2IiGjcMcyKKVsDaLG+
uzm/lBFl+cU1OaivUHjCWMOUjo3oaaPmlS4wDNdfVGvJUdfVVtksqXkp45acszMu9tTXclKlbg87
xh1fQzAbTYtXYgZOdC/f4TnqN4BpAN+aOm1hKqsYei/VJr9fQrjOOuHJakcfOvktYhSIEqPgmKtg
4aEPqn0qjIXBirmvZsjcADnvSFY5hUsXErK3HEKRllc8ZBijdEEZyIIF15g5ueArB6M2hh6oSj8w
2yfrcI1Mz0LEz4AoQzIGaQGp3/A62C4q1b8C1AUtiAzFNYz4oAY88XYJJbPcazB8RQASUNB4hNYy
sDFiYU0fEzoTF1HZOASA2WVw5+uTj+P3qFG7OFiWctO9+9ctUFSv48WICRirLU3+VO67lZ/a9XrJ
O2fc4pPlyTAMJsBS0qZYYRcTlF8VMJH8/WOGuXWoXIzzxApoUD47Hii9B+9jxHbYtaDE8Q4j+bq8
WRrHm10IpE1U1Ca5jPmUz2ZUhACtx8epQre7cYfiO9cBbzp/Y5AlI+PPT5xPL0gLnRvMreEJ30qZ
qW68Nzj5ttoO29JCX9lZEv2dudrHqf+/ljW5PCiXWqYUmO3qfUDg+nuZYExY56b6t5U7VTDgnBia
uKDny6CX80dDJeQtaww6/H09DVgAAQDkqDn4DD6w6iebR/Hc6gmSKmuIHiHfnaa+6S4Jvs1u14mN
ySqqgfhxU8ALtDoAGOmgq40Ta0f373N3jGuBYBkFLRI4LiZ2qDFILjDMGGAswVHaV+EK5XlUaUm9
Ou9yM3fqJ0OT88kJGjSuD0OJjuIDVW0takGgSJzzZmam/j8vaDIAQdXOz4EFBZfBVqeO8EEZgxfq
kO+Vq+wFlbnBoYpJNwgvTOMuxIDL0vv0wWb95Q482dLJUIRO5UAP/AATLnVH0A4CvrDCmM8O3Qjy
lBWFsmvVkq1yoBYPIpfxmyCLNr1I9ix9YJ2dRflL6sr+Gyqj6KEK9ZqhH72uhrSx0dpAQsKAvvES
Uh8S3La4I0i5kVRpWImaQ4AXFcbEMvCT9VDG/gGt1fiJRgrdoGTUAw3UsNsQSpJAjfVI6v1SOibg
GbEiqSs2cabx+zzRshXQu5hOaSSoMfNK36qJCq0x0MzvM55nyBzQew2qLF+R0O/GrmFjpSyCDDAB
665UoNfZgtPpEVJQuQl8VHVI+0xeN3pYbvKSkUOq+bU9AF6AMQNqOFpeCkdW+o6ZlVcBm9My5gAF
T1ekLNyDSBVp58tpt6u8uLAbRVMX3HOGXuaT33z41cmhTgJRuTHXcCPeRZfdJVD+WyZbGIpS12B5
248ivGzLswV3nQsCMFMJfmq8K0zjk4g69Xmt9RwkEWBvwKwIsxXjISqOcmeskmSBCWg8yl/98qet
yfuV054Hxkj54sfBjgODk5C7TsvXKV3STprfTMgKE/RBIPY53UyFlnKIzs7ICgjMyw7Qwk0AZXN2
qa6F1Wz5Krli1wsHf3Z5GsNYl2JwyNNNtpIADDFEKeKpGvxAKUaZgTq7ke7ojlqF5W5LFFR+9Lfp
wyiJOI6aNxfI3YXlmoqJPy6M7SvjNfNls09+m8lmNw2Qc7WuDFBIzLeZM87StSu664FyMrv7Uaab
QKgRgJg7th4wWBitAETbqeCzwnjYpvhxfnPm9wYRmQbiO8an866uJ1VNVCAsa2uMI5XRvtCNXVwS
x10ioZu95rWfliaBRVXKTMQlrnkpRvavfC9AK4RGlHl+PbNWQOFnYFJMQ+g8eUyUJK2NMGB4TES5
4h3ZxUS2wcG+MDc5GyWdmJm8JTlDYwBSdjidhruqcYkpUb8w1TqTu2Gm5udKJo9FoPu0wvQMsoBm
1BfM+tsupdi5UGwL5mIeRwGOG6A41Jdvz+/h/OLA4MbHIwNOo88hIPUKX1UG7GGXuyim9ibTFo7k
7DUA0DN6oTomgsGa9NkEKz1NT2IsDgqZR/SDpNgKIM45aoOGDwq65xcxNIuSBTqyebPIPSB4pmMy
Ypq+1QlAdTTH2aNrY1M89Mf4Lt9Qk5u6w6+q61EKlC98xjmH1E5MThwyZ9TjRTu+HgGKZY0aX4RJ
+A0Vt835jzZ3kEe9QAwMI8IAUcLnHfV5U/iDBO6ZqtTNUroyKLiTjB9pvpABzznHqZ3JZcpCpRZt
gPxAR0DB6JPoFxYy/5FOVjLxjQqzQkMoRvezMI6MVgmyRG2bO95xnPoHkNqESsIvEEyoSEvBtqcB
BwBSkM/bh+xU421qDMCzRRclJhuoUTvnv9CsJ5yYGL/gSRxRN03B8wjryglAwjXw6299ezxv4yMq
n74up+uYuFvMiMuHVh03T7Yazcx27jZA+iYhzQZHg6U6yVXzY2n35u6qU6uT65DxzFP67ONcjZyp
/6kzLSXAs8npqZ3JnejFmGkoMJ8Bnv1xQB3AB7t9FIgcvG+K6X+8pef3c97bwblGUO0BAc7kVEFT
t9MGBm9XYyDcYoz3RAt30lycp+kcEnhgBB9nxT97RRkXXi1lCRDT3JdM0ujXuWw8yLl2LIgXYo5i
iRF81g05KC4Y7j+IgUwOcKG4qZ/pePEbJVt7+SEhqq2GL7+wbydGJmcYpCeFWwOTbUW1cCIl2oaG
v8DDPLtxJyYm1ZAhqoayGGlG45YA/1bYEfBIDeZ2mLfSfGb+/xY0OsrJ4ZUbvcirMW7t8/AmQkmd
d0skWB9X9Jeze7KiiSsYoLEEjhCPYgn4aGGBoe3IEbMCjFqCx4wDGYyb0H3VmjE4BXjmMNj1bbqr
9+o6vcR0HprSEAAw7KVUZDZzBuzpL5eZ3FyJD3GUANA6C334/CKkFrXiVW9GVoXxPFu7UoDntUYa
uexa2RTEGTZLqfOs0+IEMgJyYYgsTi+YzA24aJG7S5hTKICdyNWDkS48bbNPqMF0jtcTL4E8WaYM
aEQbjLx8mOEzg/CpUYDRqG6CpXRrfjE/7Uzu6J60Wg+4yii7+0aDpybCt8x+nPfXpbVMNiwTNCpE
Bl9qCqituqlZdJjZcS9c/dt5Q3M3JFiGgNdEFAea94nTsqDIeEAR1g/pHVdfy/T2/P8/t1mn///k
o/gA82qNhP/fx3AgChhrowK8Xe6d/5+ZyTeRkCr07kjdByaWrVSnVy2BOE9JFvKG2fcZs0LokhHD
AOvZ5EExWii5IBHCtz/oV51Dn1eR4+0MS/8OnWIItYONbNOG9vnFzTnDqdHJlQ+EuAjBUIrIA1Eh
GoH1Jiz4peoX8G/Wv583Nv/Bfq5wcvUPeM4EV8EbkaGL7mffIYqKuZYluZ9ZK2A+0MauhQ4Wz8/3
cZXmCShXcSF43pWgexEc/GAhcp/1bALZYhQrCJX5xETQ6wZo/uESRpxveCTvoTywPr9XcwRrqn5i
Y3pMcUpH3C7c7gDQzit1vI2+ynYjrX63Wme7egOEjUMvwg0GSK6TVX0DnqEF159tzZz+EpOoKqQ5
mAnGX4Kug1vJMNsLjOhZ8ZVvG1b6jvG0h2zl7+XNElH4/GH4ufoptVeWe12SD9hhyAtcdIjiNqoN
tRfLsCjIm/mLeOjXw0Zand/0cU+nz+zJco3JaUiAw8tKYGOtxBNOisJnl2xqAKhAM+YkRr7mwCKf
tzjH86WCzVv5oBtEq22yw7WeyE1TIRyqHGS6fFdfeftxoQIzh/vIwriu5al276BvakESeyk8n/Xk
n+an/KsFA0BS6xDyaYM2gnzNgdVLS5zd1RMbk10FA4aWQAQbL/RGW4OJZN89RPtRdCw6uBth5c/x
7XChbXyHLmEPZrOCk92dFhN6EveJzz5yHvJEVuxCbHzbuxA7zMha/X2wYgv36ezlc7LWSejZ5E2W
DwkMyoVxlYAqRykBxNYXJVTGPfviqaDGBdWzhq7ztFjKjJoAcamjdnDV2t4mtdsfxr2+Bk3w2680
SRH2ECiJod5MpoeiiVzCJMjRWklYmjWmqrTk6fwhmHXCEwuTd8HNZZcD3YxHKAMEvY1ri0bkeN4G
GXf+y46dGJl8maqkLsCwuMr6VfGgWMOh3TNHM4G1XI0c8OpCHWtpTePPT7KCLqz7TieI5BrMhikD
TvKwRMe+ZGL0xRMTfsTAuqSM8RXNzEEctWopOpj15pM9m0RYRS3GkT98GODBUlNO6pu6NiCMmQUP
C19n/MRfv46KzjXoMnTUWj6vhfhdDwje+HUE4Wvm+5i18/tgmxYJsbKyIWtD0vw9IgjJBuBOvgpV
UhzbVqOHNmRLuivjus79NpN1h7ESeZj/gEMizgeBrgW0mj20e1otvPLzG6yPDPdo1EBhZrLsIun0
LhivCyFUs6flGqRb3AzkdHV+g+dX9NPQJJpws07O4hiGNAw81q07wrRXaRdgnHmJw3RpTZMXLaWa
aOMOL5os3NdCJhd5n688sGWdX9G4NV++EVpg6BihrAmZis9bhwZjoYIsDUm+QmzEYabObuqgNNtB
BYvAQsD3gdM4Y20ajzQiKKiujlXpHV+rdrDDUBZz3Cswrazcy7+vjYYe2M+1Ta9c12uhVxpwpPv0
FSxUQbNEIDn/MI46qVzH1mlTpduO8aRGXIfA7gY89061du12xy4LG3Ncu2SlX4tfuA8BAsQAO6r6
wEhNspuuTcEGxrGBdXWIw6c8X+wfzj2JpxYmYUaH4SxfBNoYSTUPOUSPxdq7HhU2PXspaprzvVNT
kweryXgaQUwJtb8W5AyS6Ld5I/0YkuGSlfkVl5fKArPhMHA9EOYZC/jg/vzs7FITKSTLQ2GFFwTI
/fcUwbBru6vhCbcjqGBBm7JGdLgUuc3dylzGLB40hwBdmd7KYY1h2LrzICCJkRbbc4FelsoBs3Kg
3oHAEgQYQZfis2RXgIarl4IdgHa+qTT9L5RfTn+PyX2sR32TAIaClE4Ehtn4EUgI4p2fg5G0EXfn
75W56+vU1uRKdqVKliMfN6XbujbPnwWgzlX5C8y36qmVyX0MpgOhFQRFQ7xjVoAyz7CEPJuLDk4t
TO7HGGQaRaji24mWQwzEza7dUl64gxf2aloD732Z5UBCIrIXyjMG+jau0mIMMfqVqPpkLdrE/flA
8iETcH9X5GDpugmU3CmG1/Mffra7dGplcqpTsHENPeZeLfWqb9aKpTgE2QI1yS644Ff8SX0oFxGI
c+8yGJA1IlPCZHl6LeYxYaDWw00iqH5VJu4N49Gq7yVHA6Dl/PpmPxbYxammckBhp0ULtyGgsHbH
EKDFGHCjjVgeU5MN67yZ0a+mLyWklv4yM/HsvJDVMIrgE6AzqfUXDIfr0VPY7ogKfrf2R71Ui5nf
QYNyBRo7CB0n5zXoWZcAv4cqYDUC7TF/wNKsAT9ZuJG7aKFIN7+4n8Ymiys8TwCpNd7D23o7EiCX
jr5bFnubfZ45+WlncngH2Xc7beyagQHwuXsY2cYNq1tpL/7tCETx7F+JpjAPAbQdaHLH9/nzA6NU
jLauFwuLRJVF6+9acwzC0NJTAxPO0eq8i4y79MVFFEMHmz6n6KlOPpnLND824gGNrT5YSfQeXMur
eHgtfO8Q+7VVs8o+b3C2mMapLBvIlJlmaJMHJCBJRVTQHVj+ReOAokr1nfY6tnG6t4U1AmvCBwx6
4ugTK3XGQou/Nmzx1myWWOTnDiFKu5ArGNsV8rQgkYF5RQo0YKhbzNoEvX8tc+9KwWje+QXP+emp
mUmym9UxLhaMzlqYQHmR28zywDRUhC9tNfJWxiCnKcE49n7e6NLaxhfpJB8VJIOISoNNLsCP1L8E
wbOsH3/FBKWIScDf9wUjJodK4etFD5hkCyoEEpmKim42+PLOm5m5U+AsBKRL4FfH5MrEQXko5Ep2
M7ydGbcYppBd+YEHkBfFCNh5SzN7BkuI6gBLUjH7P3HMPKEtkwIsSOflMW/8h6znFxorH86bmV0Q
QZYJAQMdveTJA+oNrPVoBc5tI/NAtg+yYtADt+qaKd3CguYtMRVB6pheTMEmNbC0WV7ibNdZsNXL
bh8SH/S23rpg4UJUOBcVU3ylv2xNVoXoAyEr5q5RnQ4VO3s2nsY2qISBEgxWKy/5A6j4HN/5hY4j
zHJghSALCxTW5BHQcldoLdCwVkeZAe7dJPkWpFJnpVC3zBe2czwzk6vyk63JQ8BwF2pGB4kLtxqp
g5NbEBxtz/vGeRNkqvUADHDSSiE4WXTvmXbHMH08///PujiUYpiG5wXEE5OvlKZxVAEHJyxUdTZ+
DCqrXnUqr1hAS8x7w4kd5fP1MyhaBs4/6BWMmp8S2hSeIzlcQnpmxiaGYS/rdWC3ocMW7qS5xxq5
+s8FTi7bCmPGvkg+DAPAPTyA2dDyDh4Y3tCeN/kqdEDAubTacTVfHAO9QmVUI2FQ2/u8WllKU4A4
oEYC6fbCYqtqzW2xVl7SS2blGMU4/w1nXmw6niZtBPxTMp1e4K4xDAAij8kEO2pg7eugOklBZz6k
95UOIIK7dAXPReOfTE5uRmR6ShQb4Tg7GR7BnJvcalZ+5d/Vu8YebDCnkv9DOD57FhAoQE8dYxqY
5vq8q2FDSVaUWCeISaymxqBacnN+J2dPA4a3EIErCPCmT0vVVTJ671D4AfWWSWMFJKLZWh6W6n3j
C/XFPU7MTNxjyApVjcDNjYGgxxoMswLc0AH4Tpm6Iu6S+Mn8rv1c02TX9AY0gLGCNXWqHq+0Woe2
QlX+ysYZ0MwAogDKJ1M4coa6Yq1LOjYO0o+Fy+yquhmrwec/z+zzdWJlXOpJDBMYqZLEYYlAsW12
bVgjzZRstb+pwbN53tK4KV++0Iml0VFOLKG9W2m1B1dLpHpleJcMhLqgVu1KyERox6Az7DJanzc5
tzjAQMGxQ5ACQqD2s0mwHMg+azgeEyNZKeUzDaFHQN/jxFvYxTknPzU02UUWMrmQyhoiU/Qb6R5Y
BkLp4OX8Yub2jxAIf2kE+TOWNFlMB+XyNMCt+8ELG4O6kSYgMDGi5FoK48dgnGROue5Q9HDPW55f
3U/Lk4cGHGwGODRxtuQ2Bk/fm0juDG/pTM2+Kqfrm3wsCRcgwihYqVf8hkH3CSOQpmTF742tWuxB
AYepuRTZzN0apzYn381oiyJTx++mJ0UEYuawNRVZfy6M9MA1sLJ4jbQQw43/4/QUnFqcnAIJuhYg
LIBL+tIh645afXf+W81vo0IwdSdDWA0R6Wc38b049r0SwZo6oqoksFIo3hbSJ3YXggYYRNGl2PHk
OncRecv7GKqcLljcMlCwnf9FZp3m5PeYXMg1trUH+ypi1STflt1TFLUrHa2e81ZmthNQK5RCCGIt
/cvIbp+CHSgfNcraMAH/Csjy1IXAY+bY4XGE5hQSI/QNpseuBFedircFgD5X20DsFzILF4YAx5C/
SyJoqZZ8hVGR86v6GMOZeAmMYhZ5bBBSVZ80D0IuiC4VmLsHvbXjPYMPJf6m74H9Ds0AOuggxTX7
EYniILM1lV3/Fi9yJszuLGTfVAMRkAIOgM9+pGq+F/Vg27GYVjeXYO7mIOoTS8/2zA3NMAaNYvso
io6O0mcrpPEVyIkje0q0JxWMnuDhMhVy2QrPOr+ls4YQgsi6QnTyZfApSA1wztW4XXRwxJb+pZdW
dk02mb7wapNxX758OgOCCngP0PqZPtsqTwJXjH6fgwQ475mdkshqyWORlHtfuo5AeMRF6BjS6/kF
TokHAMaDxMo4eT32VdmXowDi2Jh14IFECa280K/wPFjVmn5jm8HBcDnEjZML4rDdqKiF8eV1seo2
5er87zDZ5C+/wuhTJ088qbg8NHlaWaq47Py7Rn0MyqsKgl/nzZBJdP7FzuQSjUqiSLLwqw9kf/dA
7HAlWdF+JFnQ7NaJrlVnHBXTZHMJG6IsLXH8+ckSgy7ymaDY5Xgrr3tIVmfQMLIMJ1trNphDR5TN
be10eLJiZ9hD2gi1yxCQrmXJwukl8WUXJje9q2bAfybYbXIXPbQ2KLMdAqpjO9qBnvjbiEEGneo6
A3/vrXKhuXa3/H7O7wamF5EpISSZXo6eVtYeDcBhpoN1M9CPheyoIPIJ+uvzX3wKu/5jrWNLTkEw
NxaOPm+7AtxmnI+eFW75TtnR23Y1OM1l5EiXgVU74RVYd2tHWUW5SZEILzZAp9nZn78A6hucAQCJ
vuTnX0AfeFsWQVFZch4cvEh7hgdueZzdk65fr4zoLQdhm/NoiO49j/mONQNoyOR6IRKbPEZ//Bbj
k6CgIohq4GQboAmYRiKDRBh45uwIpEHuewKmgIRVZtG+ZsVlMLyf3/kPyp6T+2xq8uO+O3H4NBN9
C77u8uOsQeoJcEx6VV6CRdrO/nj2/uul/2/vDRy88eBlafXvf+LPL0CFlYHn15M//vsQvJRZBYXF
f47/7K+/9vkf/fsqf0vv6vLtrT4859O/+ekf4v//0779XD9/+oOT1kE93DRv5XD7VjVx/WEEv+n4
N/+vP/zt7eN/OQ75279+f35NgtQOqhrBff37nz/avv7rd7yfY4n+v04t/Pnjy+cE//I2yH5bl8/p
69tvr9lvlyCCfZv592/PVf2v3yVV/QckqIFiVlBeQjFQxqvZvf3xI/4PhvYaJKTRMx+nFVP8V/74
b/7BGY4OGPRk9N7GfPL33yrIF40/0/6BNgG0fg0UTFGuMtAM+c8v+umj/fyIv6VNcp0FaV396/dJ
TA22FgLsHGDCqPdryLsmgUPqs4Cnvfbd9/YaaAOBgTD9SEIKFtjEeDjZpD9tn9qanAfYQlsP3QU+
RkuYp51cgTHoJrOm0r4D6mZBkuNmUNeFDNQwUUxgpXEVgNxQh2zIeatTcIymKJgWQmPl44HXAYn+
fBlIA0h6lTZ5BwtmvMqvq3Vao+Q2rCpcQYCtLoEf/5BBPj2EMGhAeNxAPXEEePPJqzMkMc0Q7Qe4
UgxInwUe9t6RRM7rdWu4+V7tWnEVjZzQ4KLDTJgcdDVI6zNQ5BCMWgHGKGd0o4qUfQcfTXFIqzb0
NlGLiSQ0SqQdCUK9McEn3j9KIL/eQE4RqmvRoN9zFkYjB2cUviY99C+qwC0zS0oZ5kLaOOsrO/Ml
ozE1aQAar4eypL4eGWaIWZRyC2J8iYAEmCoRNBOaNugUswUN9yqM60Y1CUDP3zJICGLaPZW1J9B5
6yn0l0A3P4AA3xG1B/2COtfzRzWLpAdpUMNvTS9jSBw7dtOVZccfiOxBK7KMcwC7woH6NxVYQzWz
0yEs4keDPFL5uPq2kroGPC60akGyg1/kSvNTea8aEOoqJTQJRCMgeyIwVAPUd2SgM5hwkRpmhYeH
gla68A91XZIBg54Zhf5QHmmbqGseMs8voc+k9PGjFMvJpaSkCcUEWwv4o17roGmUW1++Lw0wUBfQ
/pVWYMcGplBI4A7VUvAGF03nHjKZlzgwaVA4FdgKn/whkm5IkmgvomgrZSuB0emyy3T8jnhWQoif
lGl92foEAFLRDckaCCpxGUDPtCrS2oYclriIGDg2Lb/M06NmuPWxqLLequOwDTHOAW5kEzcCJqh0
OcIwZBm1h1CAaKbXFCguqUUNBTDeJJkDgpXhqNJGeWnAj39DPNpDixYtGyUp03Vb5OIOduvYUVxI
odlyCeE3LDpEsjeIIKC2SrM+vSW01g8a6dLYqaWYYqK/hoTAGkovRecMPbayBmiQg6YzTP29VHv5
Q8VKqjmFLGKMspVu+xiGVfQm+hCvfZkmILeuOr86+ChjvkO9pc2drIaKmx4ULypNi0fq03BN0YI8
QMNxFJcL9GjPZP0hKg1QbGYZ5NcSMIZufa8PnzKSdTcxizB/HUjtwcOZci+LsjEu+qAIj0kzgGQW
hJntwe/r/hIU2Dm4vUuorfBcqsBqxwL2hky7tNVchbSMpyM1RE/SjAwZMlpZEr/j36BWKDSQ3K/9
IXVp6fQ9pEluAhqCC58KKIAQ0vovHQg1XVxpwsfEaujqz31XVNc19CO+R1kClv3KG4xoU3Lwateh
lFwbtFeOcIEcqCi18J8iMDNfgye3e9RA71mYmBtKjxFGsO8EIFw/oPEpX6ARCGFNiMYNOyPnorJ7
YUi9RUWqbZMwp98StxUgz0ZnFQPUFL5p6Uo1DHYv9eW6rXXIKomeZ6kNHbbUxV/JxWAXQ5cdQh2S
UG6rJXtZHqBU7kPGhHU6SFUlmneO3ATxc+42UgIAAzhUy6w2HgEAhEJZ42ZIezGBBBwKKLLtJver
a0PBOcrj1FuXacjW3CPKRRuGdE8lWl8qsSY8yHqo0PTjg3FdUuI+xSD1B4dMXmwqDx0RllSNU9NR
ji6SNZSXRs2CXQTBlNaCpHoOjdUMUiJABLxKHtQguy4tn3qtzO49pP+ZGUV5tjcCLr0bvgJ5LbwO
DFoxXX9Z90MNTbbOdy/zQQWni6KW0prWbnOMgEtZUz/qX5shYLsURDHHNNO6taKTDIKBslaveo8q
15mmFxu9MUDIpYf5hR8M4kZNwR+sG7pkKkWR32X4zPuo+R/2ziRJciTJsnfpPYIwQ7DVWdVMbTY3
d9+AfMQMgUAEEADnqhv0xfppZGR3ViyquqhXTVS5iEXa4Go6iDDz//xfNT6YNoXDGBnnh7Kec2zh
otCDWN63ti2flPChsweqeRWczz+G1VEvNApmW/vTemlasqmDpfU2cW7Dn2HVjkfb5NmjbsVEuyRF
8JqbuniZAk/eR4WNAV1bMId+BXA2LYJ9HBZAIogQzk5VHdfhxjpFcWxXDTI1H4aZvkOXnLwik5cm
ydShJpP8wytQCnNSyx/Dvs5f27SF5eKYXg+8IQRQFemlyZNvo/J7X9uBYj6bwC4Fgix3p03JqNZ+
dtLwS+66TE0X5ZFM33cqPbXxsAZbTitNwFQvnZNQvQSdETIMohd1zhMJ54c8as2wH7IUbHer+/RT
gy7RbhgqtcAjaz1Akb3lzJEG5KT3yyqDzwKyx1WLwEDHKAmeIJl8zIptMi/jZUyEvQTDUvy2ywRm
iflo/Tw3dRBtg6UHR3u7FCNIo8Hyu4zK7PNKKXpF3ISrQoI5ubWuDs2LTu10riQ8hq6a24+1cZ0K
bAEH2dbMnZCM5kij2ZXDkCFdT6L9KkNLhnCf5fE1mrLx1JBNoXbGREN01EFVDmfplbgWF6uZ0BaO
CJ07l2zIcJMEpfpPeoO/jfh4slk1ifkf2jd729HfhjdTUbVirsXvifToOEuJJv9adck/Bjf/3RT8
2RTwlP7fNgWvY/P3loCf/qslCNM/kpuNCYX+Hx0BJelfLUGU/BFTKN9CGiMmbKAN/k9X4Cd/kP1B
hh628oTxaUwB/c+ugC6D0GGWEzAuEYZ48+D+P3QFJJywzcmMj11iIkeiv5XMqcXcQtLXvKsyf6Oh
MgbwAeP6q6Pe1/9Uagr/vvyS3Hoglkdp1295n/Bh/n2Fng6D6Qtbq31vksdSJ76CNMCF0Qlyzkdo
dYdIZjcvs5jzhDR7R8spbTfD6CwTccBDHtVceSCCxDEZWdXZ1EOWgAXsEmLT0FysaD8vY67repvd
8gyQXXIYY+1uWuulNsi1Gj1oa+Xgzk++CfLoHSyH19TbbpknSJ2p6XMST0WWa5kCaGnWCgF2DWQP
sYBQQ/Po1Lm2bz5Z4bBh65ESwnpLAZoxXcKvkBgz/eL3lRBPDSPUJ8DM5b31CUzGWZOE1P1VV/MM
+1nwnae9386kKzxhocrqzSTN+N6UMwtUWNQJaA64vjcsbfX3U9n3zzcq+q+hGIdul03SCzapKpx6
67p6Fru8MyRtJ7VY1kNR1cOPTlc1NU6J1ZKcQu3qTdBy2aVeR/Hp28x7AqHpFMcsb93vPSsME6Cr
Qr3RbBA6kwOFsulgf6y+ij7xl5fUKihOPyOCd4qtG3XBs1STvM9NEamDdtrKP1bI9p/mZU2nz/HM
NgzHHcYiRvKES2OFcfH7tD6LnJt0bPKvfQOOsku7kUlY3bJnGDBIhR7sFVVEQnVZffNHdoJ5xibq
wULyUhAcr3oBa4uacNs5GeJQ13KFb/pxSsVucqgksP1mwtv4SUlaKDYPf30r9ELKPfRtU20l8/N+
u7Rrl3ykgzMuuyDNJ5Y5o2W+n1fbJ5vO8qJt5zRp9klY6OM4afNdTc54H5iVhObE+GW1o36olr1j
BannjVIKHBat42ZMWx86fKOG6TWMS88cM1GTlkB0nfiRlW44U6M4qUN6N2AFlB89+rs0qbv40EIl
SLZBbyroteDuqt00D6u/jfIFqEoca1pn7jWYvHJNGhLcFwKmNiIPBb3UkARIDkPPmG2diqjemjZu
m53Dbh5RCGTpRds1UK6/BXfiE1NtB4e0vlE1Ce9ioeHUuTZ2j0PggqQO8VGUWxkmBjRJKrzwpNbI
mn2HA2jZ1XXG7yxXowwfXseDQZuSAL9JIx7FNg5T3isNnU2KJDqSdB6581JtnWGoP3gj+eOhD81c
nirXbfW2NElkdqlkigBWzkJSi6ccKISckrbel3HMeWTGcpA7TQj9jyJcSQsQQR9/UWvWAEdTXfbL
JAFMtRHuTM+S1uDaXTzn6birkTcwzWW+YTnBzq2DM4DmcDfmoDO2eo4GwA6Z57xDQqrSg+fMlE+D
bZfqkMnp9lgi0/nbGloGLbNXzW9dKY2/be3sNHv4eMG4MfQF17bzDKOOLC7UYek0PNo0Y90U/F0e
1IfW1Um/922cR1s/rND0Vr+D3GJDml3ekSCJTowZOJ94udiLcnsZvA5uDHzINbGCHUprUoAKCIDD
OgS8AltNxBqdnME6y24Z69sv1pbo/DSoTXvqdCqpsErIRft59ICrG3gk3c7mRLNv84Hw3L10RMOY
vFi7fA9Shpa65OyWpFXzSd1bLgaWAYqyKbcaibLexToGGFAlbjfti2Iwb7MDUngPIK/FCIOQ5Byq
KIvFfTXdOCRY7bqUBi4yP1dQRd11TXJE8rVYsH60sNEdztrQI8+qmPOXqQbr27dkwRBLH2dMLGwd
sxKpdJi+V81EgCjhPXzc8zCCdpCIkLmIqIvRXtLGBOE+cqXvHZapcdV7k5rOHIyC+fQ5TJjEP06L
7MpdGjruBPNvboeTcCCY4QtdIRA0ZRt1O7HQtH4dxlGU95DOw/Jnk/djdJgjP8ofBp++mVFyRyu4
KRnjCb2ZRt+tn6QjB//Rs4XwL3FACPjZads8fYirYWQIsPBpJF7SremUjG+ID266GXyntWmTbAIA
iuKUkvhRX3zL1s2WZTLOra4HQZHVDiBSYgGb8ECVAQuJs7LxLmoQ4nX14+p9SbKw2ZphdH+u7McX
4C/itDr7dZUDXBPl2IARHF1e1KFQ320j62FfOq59zPw+hLHcqBdF9/eYLXEEQU2v3YP0E/dnkYYw
5Vvrs8M2uG4A8nScce50alD13To4VfgaB9PwKYhK0+94igrQOZDEhmM5lM3eIXGTDbg5dqMtIuOy
Ps1htFTAtddlPgSVhsQ7EUDYP0MRToJ9WqRztlOpGvEF156iDsG8CUFzGsCKbluS5kiXlF2hT1nS
TMDlSPOGgqBKp91MRV+PMNLLujnWQCs5+rq1RHmdnObFghkLdukiIbnnvpijxxlz0HxUpWhf6in2
k5cwMNwgxSLybz7Zu8N+auaKkNUpjCFndvUYGuZ0xB1t+kJ1t5thzmj9N20obXmctHVCUIpD/EH/
0thrxNishAZYyPYBf0v6fS0Tp6Fdm73+OckgT+0jKh21gSVTE2YIrhBDILNZUJhzVxfnCPiTA1FA
wjdcR9lBKlh5nZ1NM9d0wM0Q2Gzfq9AtPhJ8EvjDm7A14aZ20n58t9z1/bcpB7oGmXYeFnP0S4K1
D1BFw9tdDE+Gsz75h3/iv9uB/5Eyycer/B82BLL7+T//rSu//Wsj8L9/7q9WIKIVoGDHIYk8gCco
QHj4qxWI4z8EYdkJPnzEYix/fOmfAkHyB6I1q5FJwrZA4IroXwQCL/iDrwVkfyF+JRTy/6VWACH8
bwJuwL9CC4BUjRLBrCP8m0YgzDR0a+DXO+belINNHjDlJfUiLvvxzH4wi/e2LJcvPiXzQ16ndxgH
iWubPFKxo2H9INbNXidRNndRUJkfXj0swN3jeT/00uyDbmjgdikiFwamQJvIN9lWBwDBipgTsefG
yh06AL64FThoj0My6ZexTW7ItbgkLbD3YvM8kP19xnGXfEtsjoOXUnxbum109Lilt13cNQeGwzk1
WAOWDTjizrTUJSWW4PsbKjDcZJG/XBlvmC1lDRdfi4J6FW2cbL1mil7BFGGYTcfoFASNODotySvb
OIu6t7ywybdMdZpg4dxWX4VpuJDTWn/kMoZX0vepxwdxEeH3oUxZMp0pWg99lmVwv80IwY15i9y0
LNydGNeU5zDN8++rDyQimE38ow1sVWxM5GgM8lnzkGgxATmJlncmlyzJqqqCbd+YQX+XlQanTcRX
8hnGHM5K0w/qdco7sbUj0HJwhiPrVQlDGf9m0f1eR6KcyRkNxRWYnBtsOhkBxwxiUxFKZhXDDy9Q
mIHyYf2k8kU9cxW1t7J9PdpsZCKY+vnDmozyHOfecNVl0J37jhBeir1QuRvAJuUjgvNy5UCOmFR7
GJBzTExBuJTbOOdOLP2w36a6T4788ckOUKe7SYvEXMu1x6E86+ToNZApmZWnxKM6sHsXY87gEkHA
mITbMPVZ+4x5hV5i/u3Po3J70tTG8MRqg7qslQd0fWamVcechUb3EVVsHB4HrykOi26bLc+1t3fj
YdglRZ3vCHRn0YdieJu7A+F5A8nW4Il1wcNpcu+YtKs6NIkEFJ1kHnqKb9TvbqknVhfaAjJAYIO7
xo7t2fWa5Z7QzOg0VGX1QfhGeayBPx9rP22fnchzzoU71/sGlqXcGDuLYaPcdLwyYxbXwJ8k1126
hh86ikCGKmwUGbLNVjf5/AiQlKnoEoVveesnEOknAlnKzF7LbBp3pm/U2R9CKKv0QfKQ3HwuhTY5
TjkvVce0EcUjo96QLrtSzTdEmRgadjD8Xq1WH4GosysgVg3CPFIzw1u/2hvwhm+zX9MBCLrmvWj9
7o0JZbqnoQjuavxJF4KC04syQr8ngV2fvRkNB5NPfTd4YTGqwzBX3RIeBOO1XRf6zdEVfYnwIhtK
Uc9hRZfwpGSbZLwzN3S3QPhmJfZuZOyBOVl1x2yiu1g74HEqs2AL2pyPW1Xgoalv3ycHcdRskOSb
PJcCj31UfYNYW+QESEXq1QVVdqj9+SY9Tem9mACpa2oyvmxvj0OkaAh170mgR1UffKlF3e10Y5Ar
0rj4IILHHqwRzTEHWXqkc+MbRebxMxXfKKuhedENBV1eKwoN64IZvf0w0aClsxubGHokTF95Nxrz
Y6YrOUiZ2WPnpxyjasjrnTVOnx7yAE2oTFM93sq+qDkkyzifdGH6NxBg88lKT3xI2c5vZskFw2Av
tndUe/aQdlV6VzAook8pVw7em79Q2RTHaXEbdkfADF/zvi0ey6Ir0XvdLHh1F1ui3WSpYuK6uu8L
aeXnUsXY1TgEPrzGrX54waxOFQ3MV6cw0demDIdolxkquxo28K4NA4eltVElT04ko8sCKebzXDfN
o5vI9FkIJzuWxVI92TniefS96lvdtuIossac//GMshn2UrcRz2iV3yocl8HQnrfx/DGIKnzWad3Z
gyuFVI91quN+b0VD5KlmsvSQ++GYbvNkyR6zuLfPMYDCc71aftmfr0c42OJD0p+zoZ6W81uYNRSF
vHzFh0XAeLQWoDkNwPA5hKRzcgRvqHoMQEzbJXyvVcosooa2fJfMYfieVH5/aZoSoBhTaXUxsihe
bIN6ItZevTLii5IN7qMeCsHiD9vQTtljOK3FR6htSseiVPHhpuvw2brt2B7/fGPnDNMlOvjSXfI6
4K/BwteBMC7dk1tlLP4l47KiO/HwMG9F/Z7p4PC5lqUhpnLIf9Yx/55YBtqDZS4heeRMEzfaDzQH
hnTDd2KrxXHpqSk2LbEN32Q1dhddeOG7i53XI7HfZ0fEti13ZI0ldGN7PX+3KoE4GcYI1q7LUZ3n
+fwmbSX2sl75P8OhF/ynmN9EM/Fb/vE5qqn++VQrwIsu98YrwmoWM9qvFN14Mjl3OYirCxzZ+c3q
TDBmzHiG+1YX/M0QgvFyEmwyQd+uAwkWM+3q6l6ZpXK2LOvO+kRGBFhvCJXoyW7gN5upaznmhpWJ
ly9vgf9mnecfre9gmA/HwL/3UhkeEwRdEOGS62Z2puBDqHHcxgV10e3sZj1rmImXC0rwquUUsIAc
jM565cGtr7Q1Zc/pFIwPcUSWoykCyIlT0ZhDS+rL11Xl4yV2155chyABZN1ndfLsdCkPThUef17U
ryTKeQ6WYgeA3DsNqv0cu9b5VCLkHHIvTpNNyURNnZs1Sc5D4JSPY+XKmNo+MF90F6MOTJmOXnlS
MwkcsepOaJ/J+FKWqB37zunGZwKt/LNyJXzr2eoXlJf2xZFB+oucK/sdtTL4Cb18fcL2W3wxw+K+
5hNvyoYX46OEt3cqkG1PtvDdaqviKvue8emKNmnpBncMmZJ3Ttu83y0MVrl3s8A/T1FePfQ1Gcv0
TF70bts1f00TUd23mUkfQo7Wr1b5N2QYiMDNXEzesR3H5pOOW+AcGcs027zIs2PruBWggJ713rAf
G7Uts9ZeARUmj12Vz+9e1dM88ewmG+kmyb3vtCurj/WYTkyHVOEf2szTF88O9nGZI5csBr41G/3+
0+SO3KadPzvndK4M4TKcMjsfxPdWpl30NuoBZHTkgpBbo3W9kEW5Xoop0Ida9yGzcIqYdh76QwzY
kLfQmBEIj9LSTtuKvZkLAEP30yhVBOtvZAZBtYE3IjEKD0M1ZM/huCbnfIKNWXFw4zgLgmVjmtn/
HS6p+hmHc38FIyoOyQj8ioYSKcrEDgue1dB2zW50Ss1bO49SJqZdA2hVNMHnGO+W3nHTJj9FrKHl
aQOAdtPXrrymfRVf4xa+ceM0/RNVTPKMD1pdLImwryPDaX8zulN/viFGPvxqre+jpLGwrvCrC96+
sXAOtRTjl7lYGHF01RCjBAJtBuBKvfAmZSxeitr11SGIlHNlTNLGm9LT+ntG23q/NF6ynZQj986I
kA1u1PnSsBMvDipfVfB9UWK4+Ch227yHnONo5vnwT+vzrBwOxdWd76ehrr87rsNtoOCrpHksX3qK
o59BzROvplt0BOHVJ6qf9CELkMSnZajPSnFSyV56GyNkctThQOxy37b0Ksw2nlSct3aDVIs0PlLH
hTamsO6Qb+N228xruCtFX71WXTfc9Yvf7/wSGngQ5Lgters0J+XjY1+j1u5waJiTqjXWTuGVdxK5
fRu5nvOkIxjgThFFlxvCebv2NnhsG+5ljt7ywGRVnP1cN6d6hUKqhQx22dx6d2vbu1/4IPlHIV1z
sTnzjdJ03knI5jtv9/y5NxI8sTe1Z9ty/dl56V4m6im5QVXXxyLMzEtVTM6zZQ/0E1eH2rsLZaFM
+uJNYwfbxUM+PA0R/m1p7PqSZbA6/HL2t0Ku8riUCvZAS+hHZsR07/sN8eIDk4OkCuqHoJf+0V/D
/A3Dgws0e3CuvH9ygo3ixP6Ect+x01gG5pxlTf5YpUjcUW2dE/x6QGq1g9kpa81DZFFgVmZnP9Uw
+Px1TnwY7PKBM84/ZGjTW5VPybXUnv7tdv76y6mW+tw7jOiVxeLI6Pscc05sVDiHG3oi/aMPlvyb
CPOGz2mVvKyzXU+R26EjZYA2z0vmzPc9csY5BqiJe4HP9fO0pmV/zP2g+O1xANQHCUTta6Mx72Cg
SMqn2tW8+SocHLeAOaf4XtWipAitmnHXgYlZN0FvudydKCl30JhZuTFr8VhDPn2F3x6/1FlVt9zl
YThfls4JTvM8hy8pxoSvcDxntQmHuD95TZ6+OVNnfzgSYjEWJGQUN59iol5K9cTAqW6YFaoe5Tww
IXjKFSRns4bYpycSQcTK4ioaQnZqfPjZ27SawvkwoL0hP0iOWUZTfZyBB28nsW9S5WGtH9P6iTvJ
6H3RNmW98coFeSgcVP/mSTlfJxX5F81ee842YNF99wKcFruhknQaCx3oYwVO4pkGuLpy9yXyRS2z
k8MRz/v7xTbzlqXj9tWYDlPL0rrlkWtQQVXukqNh/vtZ+MuabbylDB5khviyYQndZ68xG5mexZVz
nYvRHMZJjAyiQwfBHfGB9CRHNmfrRP2p4jCJdksagHnK3do5W+EWv2PyIn/7tQjqbRCk2SXJUv+J
Ysi9RFGnT7JR0Zn4cPdr4sv8YQJ+ejJjpw8eLO0Fj80tRzkwY/h1ZLxyGXpliRQl3Oc+oyCAh6s9
sRsal4FAPXT94xzYGWyti8DEpCT75gtZn7PFTD9nQBItUsOMB6pfUlovTzrBzfGQjT8o9xLO3zQP
ILkDI632Tr+KL7YxWFYglBdXYVePbRmZ22Mz+P5BB+S0kPTrJdO21ohsO9lM5peJx+SOJzkdj+SL
TRTE+WyeW9vTGoci5JJNhuJqsqzcJRDc77y0d0+siWH2xGjR3ud+L7/48I1/u40RD50Y/XOPWfxJ
GU7cqfNILPF1Z8Qu8nL/onqm/RuVTQX+L3WblSZyPoBskuAhVv3eN2sLT7TUY7np6CU/4yRKCEQY
Su+hrEbNTTZh+jkOsqDP65Ckzh6WrDMIHBbxRxQGnur+LefCxRm6BPJhCk33gkChDCpR1LWbGYvO
MRw7+cGmbH5cxqK8iVFm4+Reu4XVUyM18KqC7XaveGkqTS62U9zDZ0h36dinX905Lh6tp+2ppU9/
s76M3lJuB8cvnld3OaTONL47GCrolqXb/Mh15J8Dar2fpe1wmdxUwseQP/peeFH5aKwfHOOgrI/R
0JevGP3i98xzh4eB4fApDEHNjm2TC2JtqvC4+PQpm7qRk+YmT0FruKFBVkyyT2MRLs8T9evViIjt
F6FLILdt2Cb39HSw0YdF35eFl5/cxq8eohI5TzXxeCSFKsE/q+y0rxTTbRZpzTU0ZXm2ukQOqpr5
gPUu5foapouxwMgDq6tPqMzqMjujAnZb+/GrqtzuG0XeehfWLUmoo2UtgYS7Q70s/nZsRXDXRko9
Rk5lD6QszPPGQUt/D7KpuQ9Ja95Xue/tpafXKzkx5pw7Uu0VOVxcdKQuTIzurmMR64+2auJTL8Ps
2TVjsqtjpZiXLD+pmIqzYl3+pVv99RAUYGqsPzYnzyvFZ6eH7o4C2t88NcuT8ho21vzCPbMDbt65
N+2+GHv1aehNfayaxlLyDflKsgjB+7/xJqf5ZgZBdw/afjoAkGzuO+uJq7VS/4S4vp6y2A9fBw8E
dzZz8mP0lRgzKznvA1frw0L7+BRrLzr2ekw/tQlmXY5I57guHhBvLU33KqEP76X10+dlFfkTIwr2
JIlhOCWeOx6qUkAFk51XHTtnjPbtbItfQTRDeJpNdyBxUbzgjaVRUG6omB+Cjl3HJfo6qDXljk+7
S7NM/iljuPRE5yJ3w20gNWmdoCJwyrreMN7Fy5IxvdD1DypwkolbMTxKNx0eG99h/wGx1A134821
R5iIPDTNklU0jmHxqYfp/RJEQ/pelnO8s1MafmrZ1OJ+IMfge9nx8os+Sx68OsM8J5caPGU67Smv
qr0PN32fxKO9W9bcnnF18Rl3A7lz59DcJeviPtM7dMutz51/4BQezibQzafIaZ1TlPZmj9mt+uzo
PvhZqJKuusy8lxal8vaZrJ6V9sW1CtmPydJoPCDZBh++Sc1PCT/ukHl5cQ25lLMtKErnxem0YqCk
6pQa16vficMujrEcEaMr1RZXAFvp65j55cufo/7/kvLx/9veQ5DE6X+89yCHb2X77/SMv37mn2qG
+EOgRSAYJL6PGSnFofRPNSP8gwQnAo5IXYlYlrwhjP5SM6I/EA6iBDtUEqQsf/+rr8n7I2JrgF/p
IT6QpRmJ/4qvySOBAi/Rv5jzAwSTEMsopTgZlnhrbl//lw0ZrMM9tRCu+LARCefZUHAk5nPZvmKD
UB86datvVaKT34xpCHMopvg4T79iNR9iKbydkYj7w5hn2ymvmOtM6didwSDebPzoFc8sGTFnlrM/
XH3jUfXPgTP9YMiaPc9jODmsExbmboly9cx4jKNn9bNNy6ful+dl5oPhUfbL68bkQZaDc2+x3L+G
GmVgM2otv2HAod5FVeyvGW3cl6xIa2zkUfda1qiQWwV3685Hk3BYYnQnmkWy4Dkxk+lC9OFymdtZ
fQlat776RVA9TnVk3ozgoNyE5RyY/aAajtpE5ocpj7unNvPrO7Ty6aWQCq8ma/93cZEV13SY8tfS
VPG9mIP8GWfD/KPIbfYjt4F8o6boaYFEzPgPufU0eqW8W4a4Yt0ry6aLXKbxGjmMnuG5y/HZmcvp
SNBL32yCpSZ4wkkEvGUBif6Aau9u87EAvUwo6AnRgq3aJuyal2rVwUaKSR7iaOS6q8aG07Svv6bt
WuDsCoH5hIN5Fbi66NjLYd8GvX+f5Il5W2+pYQml7qn3w/VQ1hQx2Ff8/cQBeURNmLZNpeyh9XPx
fXI9/WqKyXzTaSp3+ZoMb2QLhrhyndp5rVjx7DdC4eFd8KhzrsiUHQM5Rvld39X2ZR0b/CRu6b4P
fRtckMr6/YpqdyjHtSbzws3CHQqb+KjGYNy1MkouSV4Vb0Fp4kuX6/Ug25qpEUd5vEuLSHxZkzgE
dZy590qI8WSzsrzkfLL28zqmL7kT2L3x3PUd3hbVp0KnK7aO8JuLk6WYxXvP37hCTk/axOkxbJby
fWkd57yOMfYvf9Z3mqHNqXEKNuyrmcuHj/S8b6o4f5Rs0t1PcZNvG9y5Bxga+f2CqoInVoS7rjfu
KY2Hce+NKf6jbMnLUxfa+ookHaJ7kZ2mubU20epTokzx2J7wC3f7Ug/MRBdR0WjN/GA3TPXTGBHm
P8TxQ9va/IuyY3zvyD8vycY5qmai5ih6/WLwzmzcRjXhxsy1E2662VmuVjPXPlfQ3aX/ssY68J+n
pMDh8BKHwYTLzRK0JloGk7h0iw/RIQ0wQJ4xx92GvhIp8ld96+fdTjNzNiZ8p/SC2YCEf9SlKp5x
2DE3DRK+pc/NmdaLIbSOgq3byVpt8s5FHmCgOu8K0H6XafKH/Z8Dbcrr4bNbj/0+TGcm4RRXDzYJ
mIjiUfo10+E+d1PSH6nbuk3P1P0uYtx7TPpm+tnwiUGFGaYT83OXkZUsHgLfjgceMEeK14gzjIDq
KU9RH9xy4WFKnz+Hj2C+RxVB+rgNpaVi9qpridb1518qM8bg4cQ0eJjYllhXkKWbcdYY7wbrfiK9
NmCl3s8e125d8k2lu/QlxLeJaUCGBJ1Vq2RKxe7JgxMu+rGtcrkHvFPgbyzZz9kEWCJ3lSnjJ5BR
EY39UCeb0OREYsxzW792/Ro/qcUUR0ydAnPYVE9vbjCGB1zt/RfbMu/N/ZWrOjDVfkGCfMqUDR4W
R4hpL6JC3cnGj4OtD332KMI1ue+loxlk4Y8J0+51GVf3mmkyJRut5Jnt9Q6vRRlgFq1ck58XtBDJ
a4Zjf17Xqtm1Vov7Qfna23hTUD+bOFi+J6xaledIV+4uSubpNRzC+luWaX0qQFG86DJy9mPoLHcI
L6wZoI2ovcP0K2CPatGfxgh30SociTHUOMEVT2qxy7KhvevD9U/9kV2pouZYY29iG3qAY7gGxrva
YegoiyF/YaLfBht6aO88OFNcbETFKKGvp4ZFx7Y8VEuvXqJp5PGv9fTohRKVnIT89qnr++iJhnPh
V96cqSKS4sxmmb3EttBvNhwNmxqMSRjd4AfSwygeMYX4n7O2x3FXDPP3xVlw3bQq/7FEFb2GM/G2
vykmexSOHmW2nh8jHfH+UCLuOEEdFpzNbF/lkrkfYx/fXvJVb53ENfe9dthBsF7V/i/uzmxJbiPb
sr/SP4BrABzjawQQ85BzMvkCY5JMzJM75q+/K1hV3VJKLdq1fuu3UlEiIgIO+PGz917nZ54b/rqx
CrVJ3XY+FNT6O3+o/V3GuNGgqK353Rj0fCf8zt0tTZrd4Y5tzkbnFGEdZfHTuHjtStaFDHtORytT
IbKy2+r7hbztmrXKC8bVTMTcxjjKxGNWY1Fpp0hLs/046GYgzMjYEwrNHx0rd2/5CW8j+rHYkwuT
oZBZu9Ex8n6BoVztqlHdJhI3RcDm4R6kVBN2M3vhbZeIs9XOFWf/8c2bBaPyms4IvIlmN7IkU1HS
xoFrXtBNKBxic/3sX2xO76FmTDUVRTRc41aVYVYai9i4vmx+2NhzC1R5pxMr+nDaUZSetm261jqW
S+Nvo6iU43qmJRSqznY2E0aEbcSP9rT4HKdVaplMToapvgLdzLuicvA718t41QzSWlU1gQEjd6Ot
vdbvr7RKs+3oa/O3NHX8daez4RFqITcoZLE1e0SPOXHTizmP+dGssdsVXrW8Jro0dohV2Vaavnbx
DFmGZltnd2Zed/dxwWMgdSMJMX0YO2QKfKJVMR3wXiqcWspxHlXWMl+jGPplj9OAc++U1ep1qZMh
7Bovwn9gYpmY/IyDmNnsUTvxKE8qw2vQmpvaK+ur1tc9jb0KFn7rkq3Hj2DcaVhut8Lu6UlhObkk
uKTuU10uOy+xWZgRUwlWJDNlvRV+MjwtRiqeetlOmIqTtDnWicW4EyKLJwBPQJdHOW2IhRn1Cuzd
BA/JbZkVTWarOni3EQpzV1p7VhjKed9pHJLi5vFmM7wfa/YTK8LtZiHOdyvWeIw/tBrrgHbJIgJt
hIq5qiNPnioTVwB2dwhxXex/n0aLGX7OpOqdmxkFgpNl0IrIGF29mjq/VAhunXPV+UBfeVWZdF6m
NCimftmgBJv3i5LJ2la+tTUS7+us5nG3dPVyvwx5E9ITSi/T5IqL8HtcKmS/xoMuzelD7zT/gwHV
y1YVDP3061Q7+rbmbp1lbrkVyni0o7gP+LLLl5gNsUCmYGCeTS7sR+/VzXeggDToK/pzPT7keo1d
aXpKFXrKZJTtt36x6qMNCwzjdVXZ38pYFAyzser8i2a6xavBay9wgFC9IGTp28hibO2q92T3rtyh
2g1zyjyCfHTOjZ0Tdc8ctaWJnhi879r50sd9tVuy+pYbSinLiPf44ksfddNtSlr6NUla48XyErU3
lkFsxlnRfNBVfNYtLTvBIh4vzmJF3/xu1u5JjSU/Cs0092mf46ePKo3hsm0TBUnZmyc6aegWjqOB
bzA4RR8swQPldJNr0E/q3E1CzXeJ+64PdX+Ur9WsZaHb6G0YVUC2q96rNgvdlW0uvDplksWSbrXI
7o/sfUU44fy+zE2sr0W7aBtZ0piWRTed8c2IU+b7xaEzBMhzK0+pretss8hYvaW9Nb74qSzPKZMn
eWVSQvasuFApp942muZvEBYnxMgi/UkgdHoWQn4hKUqWn3b+U5fW0UlrxUw9LPU9BsMUAdzF/j5a
w+RiVBy87a2L/H3IFbEFdhB3BYiv/kbgUm3KIWq3Bl/iUqSJfu9ljX3C9mTfk03TPzAlF1fZNPPO
BJ99dlq22bRMrHMfE82O69e28M4UKUSPs4zPTd/j2ptmdFowOO2cGC/yhI17Q74CchxGrSd2TOMq
48jYTp2uXrPcpikRESbD+3nT222foB0wyX2PiMnoczQY0M9zsvObRL9ord+d/Kif7505gZo8OSp0
SGJecd+hzXBzHu1m0t86J1tCwQN7p3Wj+ijVpB0W1O3dgvX3i2Dw+Smd+uLCKomuDTM4ry4lMRkO
IRW2TcM9z76yw3zWxqdpnFkPqbCvBZNSdgV7xb5yM2vT+aa1b6aiPyKhK7WKtcb5qSWGOpqebM+L
xzCOtlP1huWrb35FLtMp42YYrnqOrLrd4AKOCMcNyzO9ZHejaA0e4kj3Lnablye3I9XN9lx4R2w6
0cVocuvIcNLhODuj/1DkGn7b2KxsvCOmHSBWyHNvqIT/RRi8U930XGgRK16XPYHWNKfUGWjL6AEH
CozWoor8QDMH/j5qNGpgLTqXfeHBwSCVS17XHT+Qzscjp8PWCJjPOPSrpvZzUjeYxwMPLf7dLHDf
cBjQ3Tcx19z9TveeF7D0VlBkURmHfpXkZ3I+cQg5fOBpa5dtm1tltcpoYKcBOAvzqUjMjyxrh2zl
VITN63xEhq5uQQIqyqO+DMamYIz495Rkz05H19WAwum4m+hwxruaqjQcfcx6S5uUwYgJPmAhGV8q
WbUXeUO+K6HXL35Xds5ax7hOYCKSpA9NNshNi/lnO4rSveoNqt8EUOtZaq5xaRe9vujdMB1zZNzN
4hV54LaxGfRqZAKV3/grjkc0lZvbX4Wp6t5dUmSHym/2PgGINU7G/gupFuOedINxiiMvOnAM9S56
HuXh2Jn2tmpJJJ07nYY88W7TC0TrQBTqDQlKtWm9aOVXafXkOxwr16Qd4n3ujN699ByrWFl1hHXb
baeSOFbBxof9JvoyezkeJd/pjNAf+uS+61psCZLWO7WX87UeBEKgYyZOaBZRf9DM0tyZUxZxkpCD
uFNQWTJ++L656E4fPZR5SjKG/Sc/dHz5Da57aiCehVCJyY7WVo1nExjAaGHE6omTlDxoK9fqiLe0
nYweO+IIfHRbPGGitI9dU5XreCgF2bzJ3hltSkasjrn566VovEM6iuoozFnbkaPnpdK5XX9NeC+u
GGTXXfHWuE/+gM2VGKfEqtHx+dETWrrNVaS+cA4zv+I0+uBAhT+J6Ge7Aw2nX3HYe+ukQHn3ENnP
qinYacukesV6Pp2oSKnYndzVTxjVi0Ntjs12iZwpWTUVtYpIhmwje1PtS3AwpOfzvWKeW6bsas3p
0N71vhBPtHL7gL6Q3EEm5/c2zereNofqYyIXd0wd6WyWXmjY5LU5v5Jqt+9K3R5C0ZXNuShwgxiY
+U9F2kz7FADipYlGdazRpfByLll1BDaho0tbJuFrrfY/GCLSE0PlrPKgNZL51czn+YjjCL85u3GY
5YPc9o5EwdYmHPkg2+WJHC50QwaEPvgzuW9r8gFWuLC8Apsu81cwAvq+QvYjf+3KYW+KpX4wMWU8
2oVNp7ZMrV1JHG6nJdVIgMkct3PGrNSuzZJLMhrDa2wy7S424v484nwMjJtj0LQYgJSA3r+6ozfu
7HrxT+W0mGE2NlA3BjFQmBZFKH0jfvHGof6hCK3fo++23+BRz0cdPsHN9FOvFWm1o2ztZuMNg77L
YyumRLfrYHaykvBuET9MjMpbGE+QuDvhEN/jcU/65wrA7vvg8jJRcnAVZyufc6VWpcUFD6z/JRrN
4Ujaiq5NXbr+ppljfyPizv5Si5wWkKf6/JibtnqgcPdDM2VWRa5b+SaTsbuyJ0ucDZAVtE6gh6io
aR783prvBGvuCAtA3c9tZRx6M2+KdVlP2soehf8l7rJoPeVJfXLyor3PK73bCmfQDymmt7du0Fus
HGWVfFD4W/veWdR1HNIioX50BQrQEL1MUz1s3cisUe98Xfvej1YXcAqh++lFOjjL2JIPi91OcqV6
+PiZVk07O22MrZ3HcK6xFZxmzjs/ulxpOi92L9rqEwU7G8F0jkxD7Lo89Xax1WivoyPEhnc/RVZd
5HeNVanzVKIsdUZmMsGX726IqH9W8YDEo0XlpuqN4UIx8JHNnf/IWxDBMXX1bKstef2S8+o9iYz+
jOQceaGPafMKzTvkFvnha77JHpc5QbUs+AG61iOjYekf+J6dOwOjy0tfOemLX5XTbjKQu6fFY+P2
9H6d3Oo6f/Lc/ZL1xsagd7Yy7EnQmBR9eUT26e8ibBtnAyULdFGtbbGYmFfFieTFE2q4OuNsfOlS
azkSs+wON7fNstL13nypPCPZ1o4qH2atWy7xMMXHfPLFT7Ilw2HWCOZlU0xRkLZTeoI3Pz/5yjPQ
mLE0EcRikBYHmlTh+8uMKLotIQ0hSfOxL6zGEo0WBRLyySrTpFacXE4k36rRtYZNlrkLRnkLG1+c
3NxgMUwWQmBm54kd7LDomnd0Ela1r+Nz8EyVfRsaGkZa2/NLaE4q3jKcrnuRy0QP4J3cqDJVD8Kd
JgQWtV47ZuWIROs5jZovmMTG/lWLM0yYuWI6+qpKMvGmeeyI//oUXqdoT4EMmiH36DK5d40mua+c
m+Mir8gZ8CEkf+Z1Fs46LR7qYUdWCd+jHGUiAtnc/LjzNL0zJYhWPbkA/0KxoR0tS2JzlFKj7yYT
+oAM0+SHqfp+eq+ymg+g9eRovLFrHykC+eduSkhkmcLA/xdxVu9XVlMZJCAI/hiIyniFC1yaclmm
hd0Qq6Vu0D9G9uJXICuZHmObZl7syeT11/esyNpe655Z3EPkGCSWOdDGcCE67Thgtt39aikOv9zD
qNLOti5H7/zr/1xub72aze7QadMUxrIf7jhTums56PwklI1sXb24ixM3wrqhx9XKqykNWuH7zyMw
jWPVi+zMtjwdFE6H75aGOyUjy7Rt7ApIB3XVKSMETShjkgdPNU6Yj5b5QbVsxJDe9fhdus1IsNJz
XlizGSfiOQJEYTlbPOJ9uHSUCVhp/JD3twpddOoTKJmeqGLMtsdKLjdlW3Cob6p4becNy8413AB2
h2IUkBInspYaBqeivVZD699Xur6EplzatT/68VXXIlTYuMy3+IYI/El2mDSOxkOTIS6v0iW2AltZ
8uAWrG6V40CtJkVrk4rtm2HL6Qvej/RlmUoKbm3AFUyDKgoLb2KVYB/F1Tc5i08PYkjYhKZ+iva1
N5tfhiUjda5iKw+ysY1e4A5JtYNmET1qSTHdOciel77SMZ2lRYwBWPqSvzJ1IvmK21V3rsIvOO7K
vGlkUClp/3sU1f9Idvz/FMoGBQ2t7v/OX3j8VnXf/tcaGhxOtD9plOa//tP/wBe8/2KTdglWeb7u
3Khr/1YobahrggAWmLKbFvlrjNl/8lam/V8+ZFXHI2EPLEa/Ae3/g14w/f9Cz/QIYVkInoJd6n8k
UX4msjkGjDRUUPBvcBxMB0X2jwLlYjhZm3VDHVhbsZl/pgdzzfO+5mBy1e6jlVw352yr8xoN//Br
/Q2d7fb3/kEYtT5d1/vEfMB3HXfVpNdBPpfpSkg6waYrzv98kc/A479c5ZP8aiyxR/uLb5ftjXTV
Xet1uR5WaAeX8kkCOy1+O8PqU3rtL1f8xD3xk15w87jiUj5Bg4ozXopeoGx8dRCRhnT7z9/wM/zy
L9f7dP+yFAxamvZUjYcxXDCsbtLDsGu35bnEUBIMa/++fIKRDVfpGJWE6lfOb8ZB/u2dJJx4GzqF
1H2T0/+4guBrTG5nalWAdSoLC6bVoEKL3ywX80ax+8t6+T9X+UwOjCenaDqix4EKc/jVGyIrO7GD
U4Y17ilZpwctBDcUkJt6AmWwZSzfoQqnM33a4HfDNXhm//GjfFq6bpMWbm9lNUlildyXRBNC3e2c
Hdq+9vrPt/fzzHHXs3jCmdzOiBVdd+3PGB1rcWrHsoYymJM1tV/Qfl12t0HY6V0RLts+8FbdWjLt
8HfDv41Pv/evC8ORZ0oOHQYLvvuf72pKTinNSfMH1WkIjADD54hvYa2e061i5IS9dp318LPYNr+b
mWPenpA/3Om/XPn2hP3BMjEQm4pS+AeBeW9siGPci0Bs8Ke/QrRY6/v69GZuRvJ+MGwNUL4ElOcO
I+S/0EJ/wo3+kR75OYb66WPY+qeP4XnlEqVlUwZdMDBeYSWS1chZjP7R2v9W7r2N3gRtwFJcm5yo
aAz85gN8WmW/rs/BDVcURH/mkN3+/A8/g22VhoUjQjJ28cWw9hHu9+43KPG/u8fMQOKQA1WSEauf
QDg1OMisc5wmGAqCPLLHM/neFxXqYf+bL/O3N/UPlzI+h3oldjBOl8S2aKp/FD/8zXJimnCorcW5
56lNt/Y2Wk3bgbVdP8VrCac3f//nh+kTEPTXL+rqWHr5QU2amp++LrJGJH2rb3iFeAdGxOxpGmzk
9ndEzr+7jOcyGvz2xPK2+3QZjGycQQmrsed0e2PX7caNEZq739GmP712f32bP1zm87BEupRQ1Hxu
Xp3iA3d+4Hz9zU37tJX9+wq4p8Rteprpfdpa3MaBeOTwRdw8ebd1MDcNeaUx+qYU1GrnGEdP/3yD
/m494rr93xf8tOQT0aPNEacIbmj0InGDcTx2QsOzXK3++UqffVm/vtutHsM6ZhHX+Exi72KINUnB
pqVv+3AOy5DO/TZ7rfeYG5/Vb56zv7tVPnPaqPYo6pzPQ59qsZBC6PoyaH3zLV5uEycLuf/NN/rr
sgNk4bmk5jFwUDn+pdRpUG5LdopbIQfo+6sG7sgN83X97Ia3JSi37l0PmXnKto2z/l0999fX1Z8v
L/78uopUU8Ef5DvGaanjGZfRky8SmitdtPz456/6m0t95ne5JjUzxnAVoKRBwblvooIlagb/T1dx
P/2ehZs4uknyNNCMu1x78MXBF4//fAmDG/OXze5PP5t7+/M/vOVlPFRROutzAPcaQdertDZfe427
PI9TV9zZne0n66mef2jtDPvDmudj4S83B9hsRaQoBMEDm2gmKWJmDQ9e9q6NqX/IcXNla0Jq4x5F
k9oT2W2tI4+ExLA7El9JthOm54W0TOSBmGlyXuhErqrKHUlMeeOdXddVmLdq2Y3VqG1s3aZbPsTp
TXsd5x+AnutGrBMrRthfk5igKSUaiQmJbkqGFN9qQFlXXY2lwk4gQdpMHvlQHEZAIiztmfNt+0iw
G9+X0/gnVxvmIBly4sRkkk99VljvuZ7BDvSZKBYAfUg2MT8Bg+0yUK9F1TYMqJyWTa+3YL202IJ8
OPeG8TNvnX7XDvAi/FmKK85f49jrhf9FgS+aAeDW6TrHVxPw0adQS5tsnznSPfYZuu2qcTTkVJIc
hyzNnVOlxziZTQQcu+7LB7swCW/Krm5x2ORlep7TRn8YyOWSkm/TUxSD8CnG0b9I6bebpTJ1aBGz
h9mhStaLYdcHWbTiwRt1RXO870MQitU25kOss6aO9u2gl5vEmQZm+9JndgpTHqzGnHdT6Wp7hRE2
BLFcnRDqpw0qrFyZmW8fvQkfKGmp2PupmQiRdZQvV9s0ykPcC2dNHVFTNA/GG/JRdsa5571NsI2g
IU34TF1feyYSZozrmkd4DG6cqAdt0NKnCWMD1MauCPT+FheBRkt3TfUxsQAMVounj+cSg2PokT17
HAcnfdeKutk5WAKeEmK6mxRo7Hp0R0A4NlaCdOj0Z0ZgILSzIJn7iRZQEgCu62+uaOPDHI/rVB3z
rJhdPC9DB3kTzME3QUgFW7URLVu/wpkiRyyGQ3uQc7+iY+d9FXMPmtnV2zgomGcW0Gyrt4vw5DnG
Yrsf4FpdSXm2L/YE8TtqZHpqSVOsmrTrLj3UBLlKOqP80Bo9e6E1FudcQ3XHDC/CHDjIMmtH86ZA
1xxo3n5DCCsvyhNSBz6DjCyDbSDXCKU3ZyfqsY7nkfs4FxA/fIZz76QOiHOcE40ML3ki4gTLELhl
UqztWrOJvy7W24LQEHouGRQGzMnAbF34trjVzuSJjXXuiiYFxDwkGy+pvHAs6GpSs6mENmfaPYAd
yLON71fzePHJ+VM9x7lxiZ3GS0kHLyrpV6PXxufBVOZ3FGYiKUZfBbi6MKROpBjKxQIGIQSsjqiy
s21Jt3UPEmM5cnuIc8k5So+ggBLWaqIPh8zAxZoY7nJ20FLI/HT1HU17dVeruHkSiyjeq7LnQOq1
tr6qVFFj5pl45oQ06et1g80osQ73jJmYB69KukfNLq1NoQoCtsx58ERQdoUfMrsk/tZZQ37EaiQ+
0jLjJuMQxWlXikgGwFUsToUklx49suk7s7GeBbO90NWA+smkEWGU1+MTIW4YShUYZTp/kegxcdLV
3Lo5rhEDaSYsSjB7E6SZcIHL9e6mjosrGP1xw3vlltn22vfZTuVXU/bj1gYpO6UOxlSAg/R9CYcv
RGGPaenzHs1GV2Mnth+HSCrS3HTM/UK0j76wrW3Nq3bdK80NYHGMd4sjk5OvtaSnk6hi8KQmDh7M
7IdMT6a3Am3gLo/M5GTjft1VKSgIpWXZFswsEEKfpoJVNPnKnRtxEHAoaR4LXAKRAiRi14VNMSW9
Q+WLLFjgFO6qshQX6acFK6S2A55LtXUyNOg2dryt04DPAnkuthi/kGHcONoshebhNGG6eZCk2rzB
TOtteBfUZwys6GetT+4L5D19bbKXiaO6PTZze2MjA2zHposAQWTtzojMIuBYKXZRK13eGXOMZu0y
td7X6h3sr+wK1MYPJn0iL6KlRvM8+Fl90kqhQIzUxp0YSrUzkjF6q3hvrnOHZbkMUHuKJpU7c1Hj
QyfdaTfQ99x50eTtpqrGLdcT3Kmw024bnPgrWVjTOs9MGPfSbc8dgfmLmpL8jvlA2omVg3N1EqTh
BkO7Tn5BC2UiJlLXbbGdvEFhXpx8uuGznOEquM06qQb5s2eoxVVq4AUXYgDv4OD8cVVDVLxqHdta
OxawQShY7mTU1neIu9ZDq/XAgB3ZhgOgxtcBwsUz/o3hJ/nr5dExIQ4PicJ4RqJ2ZeTYQSycWwQ3
F7grpjfOq3ZWw3YqmvprP2og53Mn20ddV5xJ11mvkerlmvz52K41K3F2k63lW6ANzoEZVRZ0I+6H
74wmb1KlkfKEg2eXJklLa77JxQABVq3vRqfOwb9nlSo2EE3sLPjl2SWqVr5RjDaAXjBtYYT1ELgM
PH5jTtZsaHTocgvR+5jPqTGc5Bg3fFOnyKvQK4wGOiPdTVA4RcU9MasiQyfXzQ0MBP3JHaF5V2ad
4i6LCvsdPnqDZ9NRxXvsmXDJkXNUu0aoW96kpPyxclyejDox5IMa4uWaGnm+wa/UfcCaSRkmkA/1
a1NxqF8vvoWiM4L8vyRR6sB918WrMPoe3KxeBp7eeQkuJaxDzMSU+wINgMfRL69WNrXftb70cXaO
BbGubI5n4uaVzF5lxL4gWbe3eB7e5dZBY7EHEp2mFEf46wI0/wLHiZQkxUNDe/comXD80cBEDUwH
d0vt1BnqRJeQQGPntDJjOGZWXD5wSDc28ZxF10x4CHzcAhwZvn70kyoK8LOPO9yNCfhDM3pm7gOh
viUeji1wh81QqeggkzrdeL1T7ItEG4KarT/sY2zJcORyTOl2upsK/Sat5WLflXynGPwsH6g3MEiY
7XoC4XafL0u37Umk7UhmdX3gyrI74p282YTaJtAyQ/z0UV2nAWrnErnZEVYXCdp4UsvBhCRz7LCx
PNa+RxYb5OSma40W2gmmBNupGV9BVSYo+pwxWrf5HH0z9EYwdB0UAEpW2fIKspCEmmDJvemYouGt
R5Gmz1Ppw5gCuBWfEMrbBwk48z5RdvY1ZalvS+FqLxA94guGk5z4xEhNZvuX1l8br+Rixtu0gDbd
Rq0zHywi8KthLEinV/pAaw/7+0qr7YIXCSaCddNm6mFqivwLXK2WiLM5kTocbhm/OFPeGVu7vbOq
OtmoapjPetaMG1z2MIZGacPrNXk2Vyhh3bfOb9VeFZxAVxb2SxVN7Y8yqpYHODvqaFS1ukDOrXnh
tkDQCOZQ/3SyVxhFSj17ZYpC9w3DAPlxPb0FakA7NmplZ6V8rpGB1bqpmF6xkQhT0WpMJJxen2Ge
Kw1rPMMMtcq7amQeLxJJ7pp5MvuZKqjHq6W8DZbzOnHVaj3fjobP0cQYqu9uqYQTGqb030bYLQAB
THPalLnq3oEbDtu251+aiF29d/aY3QuAgwpj+UQG0VmWtz732yCpsvaF8l//Ho0+0+OsKtaZddFl
uwnzz8GcKlxrjOVY91aKd2EQ9iFLGKJKFpoxABPp5WW2msBFOFtVRVeiLS/Zbhb5xxhTuAL3Yr6w
bYoXLekZ8zRM43ZAKd+6CVtlqxUKDgsUqbHurCN+V8bN+t3w6HCs4eAjK/gVRKNHUuvBwHwTxhfI
/NQhV16qUR+POAeT55tNEeQjJks+XnMvOUlAp4v0EKN4ERp6jlgCqSowc4qNSfk9RN6WPrWVJaGl
pH+XTWO8hwWcB1aUwxVO43pbqq5ZYWeaeI9N8ErJr+Ep8CjVjal61JOh2kNazIJKK3GEMf0jqCKe
osZutY1o+ebOmMahzOLlGwb95mF2+im0pd4c/cGHH4wHEud+R9WoWuz7DL0541Jjpbd9s4naSQ/m
pXUlJBhjDG1LWbva9dVb60EyKO2k+JomDm9LvFbPoKuSFw4ijEwtypHDgzA/cCLPPxJNuLcnVBj3
0OutnS5tvskSaefRKv1HNSHuO1gEdj2BZRyJHv3sEQd3mc0AY4FZhhlZyp9khJmNhhst5LuTpfX6
FsDvzVK7RgfvoFOlrPYo5piWmDE3LrFpkXbm4j0YGtmFRlX88DPTIDAfdvpDHxFJsjiqfkkyrsZL
EU7f6LyPC0lT22/Ffqg8Z6WGRd2TvtJ2onMhUyWGeam0G2tfTW6yLoqKti8U3ZSkkxOrNUQNE9pC
43zTAaluI4A4iNidH2o0jb/k0RIfAODJ+1G3xp99i7l/bXaq/NrDhLmWwnJfcEV2V1K1+q4UhQ9Q
qxfjdYhH7TXWgUZxS4WJUauD1m2NMn0UfVq/c1AcgsGtjC5A2SovXpTrr8lSe7g4f9GEu8wyz2Nv
eF8rCLqBnvnLRvPBQHVYFcCWUr8HPHUqvLEPl5Vj50m+Xhg4ccH7voRzu3T5WsOm9SAWZv0aI40r
vDbKvNOAbR80zK3v8xxra1mpZV+zdqjKsdW6DsmR9aIXJL9uwaQJQeO0JFHxaGDDEquyzuKXKq/F
trDNciNNCnvMTQ4DQRbKPJ1Sfd1n1RIatZHda6TkTh5FaDBM+Xyt3IEsedvEw9pbRmR4GrzfPV6j
+zru2k3WwFT0yzbaR7E37aPeB/E9ZiPKfaz7u+FmdFNpCVCIqogimGcW1nm9ZOvc9rsQH76DFQIG
y6YzHY5anNDGsNKn8qmg/bJlmE8L+RtPX8Fpgv4buGmRBtKfUR8iHl980gQ2BmUsH4veLseUEMx6
1gXYHLw45n2D0fcjMu3oZ6xnqDazTg015XH8gCcl3s2EhX/GnkETQTNiP9SnRHtsheXsqBcKji1R
/SaTxTzlE+wZiIwlaNnEfjK6gVLcnv1HR7X+G/yb8RG/SBKUJTxHXM2NuHf1WQ8GUjzE+QyW0cos
ae2XNnwAyn2QL/owF5Qjdi5uaKzuq4rr4gXfh8WvOjVvNfSqS1vBRk6axARNkCYjVZc1foCWBZAP
fdzeOEOq/bBm2wg97AbtSscs18BRMn1w50w5One2vuwYYeXt6kiaX5yO8cSpn1XXiEPPxuq95gRO
l4Cj0HPc1j2NCgf/8RYIjY17PhVA4pgNfcxECb1mLrTXti5SjRMp4W4G0I0vVP0eTJbcBKSQLdp+
9uh5WdKo972w4/tcT907IDDkUAtLu5NGNW1y33Tus7JNXjjI9hzJB2OfFpzVq35xTlMHKH2abOPC
gSvlbB4Nx7q2mKAC8GCHJ0mEFeklsB1mN7ybovOeyqxL7lGumnt/drpT0UzeC5Gl5vs09Fa1Jkte
vBQE8XeZ6igIyqGLV7C+bixGfv9bXyU+0WrLzoooayDZqUKSRN5Pp3GGbzU70HNatv17bXX69wIb
7GnwB2uTCEDynE+nUKE5fAW8qAjU4Jpv5qzZF3nRXBr2hTDCpEr0oF7ueHKnC4uaApVB9qB/p37T
0be2cbbcSPR+lJs7sv1lHsiWeAnELyGxKU/WtkFpPjhGzBTNPO0vNTlmCCOWXnJGs8ufGoFHjHOG
e/DKtguEm00cu9gOV6nG7SYoZWKOYnTNHdANFpdN0quYF2M3RZ597w/eGER9ageLRVPuFiBeq1la
T4XjLQffHIC9JiW8ZLP6b/bOa0lyI0vTrzI29xiDFma7exFAyEpVmVmKN7ASJHRAy9fZR9kX2w/J
6WWEJzaw5Nxu86K7jWSdcIeL4+f8Qtu3mqx86nofhG8d+M2+GRv1u9VOxjfHDvpvGOz4ey2dbYLa
2NkjIds4m3AYa8/Ma2qIrYkOTTuxraVqeDlzIX4FP665ldlA9ZRV5ThBdX2a0BQ8WVGmvjqlrR01
pN6eEfI0vmZxbrnGUAeHQUbjpwK+ADMNa4ONqQXjvT350wcDayYeQ5LyB+deuFcGeB7YyFibMSma
XSopCE0S+CAVWvg5qhCLsXPFeXJ6NXyqSxMimSkPn8aznh7NfkiOLdcxyqADNbFQZhf7EngzHJdQ
FxsN86Eh7/5FKeXMIR4Uj+q5bLawpoonirsWrEPwyfeUfYvvTgl7bxqy9uOEatnPShnhx3Zqua/g
ku8mOYaMxJ2Y7VWlVr/LHKYojfV4iDVjiJtVaePlMpktDBIz2iVKxikIKXWjcQBvjSIjS5kdGexq
0j42SNw/oa1Xf0TTHa5NiCwGWtjFBtUMHgGt48OBadLPpaoUvDdHjD+aUdtpTq9/QukLInuvjU9Z
UyQvRap0O1o22WfTGsN7KkvRPkdOaKvDv8DYzkp/KChYomoDoaMryvsqbvxTG8cRQE2ysLKIG54R
3IcPWkBZdgx4jNbk557ajtrjUBjKZkJz6ESKBRx+NqloJf28511EEg6D636kQPkYZhJgrDKRt+1U
2YdooFqPR0h4L4d5zz/nw3XWzKh6KFHW2AP1jF04hzTPwwYWGnAxDX6n1tkfIr0AvhumiD7y1vJK
yamPhhJKXhIX0iEqOM5irQtOXIDZM/MYHnQplXBJIFOMwOQhpzr+kcuhjOKOlLxGqvEHzCc4e/rQ
krCDVC+dYNpPaizdoy6r30Mgxf8Uont7pEqNyoecFs+gqdFMyhTqzRXSYiM8H5cKbna0OhmpqirG
m7aOLTw14OeqvSqBl6MGj+qPTPsAoTslyfS7ps/5X5hUeJnGvrC6UPfM0gpcVixYkAhusamcf4/L
MHjuJLP61jRTgCWAAy/PMBow/bkFecaqeRf2v9Q+T5Bp8bVNMlXOgwKWZo9pQn+K5Kj7MLGO9xbU
IZ5lOVohCWDFAX9ExFc1Hj2DDBbQfPM40UG9bzXFsHZRmJ8/tInRP1WyZGxRrwFHYfWNG8GbOFRp
1VMVUfO7MFPQ4kWq6tBKReP66Jo9aQ26nPZA6oFYZuvmkRY9tVbcH4phQp1ApzQVFup01DQzWQEv
zQiLKxyEAQXUVABn6dhu0oG9bg0VEavXzmnw2tWznD515g8kFXkE/mq6lUjv+pPXkcTmfJcCA0np
w7AAfuXnb4P8da3PdXsoioCYgdeCtnhsEUDq9lP4oOOJoKne2foxUGzxM4nmBfQ+A65u99IXh38S
3jE0lKpmf1xbnMkmQ69RxZzDkPV7wJf3MlcEldKyLTcTLD+rTB8iH2eRYDzIXFFFvb39CxYmWMNw
SFff0H66JXT56LT5lUSbxzMU1KSgGvzCa26lW7+wXFBmR+NSB8fHQIUGbG6VYOLrofAwEgCZXdrf
VcXfnYf8gJ3a16bCie/vDwrdd4M9NOMcRESWFY/R5CNc7OUqVFKpTw9aNXy8HeN9n54Pps7YRNRT
ZIf++fUmkAccQkoSOa930T/0wHhjXG1s5Z22HQ/lykJ511h+C0ajnji6Zb1hoi6asYUj08gKh9zT
krvZ7lE7TcaKWfU7TMUcgj8cyI1lqiDmrsejhx2qx8hse5P5q4jxBgqeA+SV5PPOliWvQVTk9gSq
C8vC4LGFG+08gzZo0asGcx5MdP+KNPe6n8F37SfqEG609Y/Y8exwRUrcdmdtpw+U4x+DJ1DPm3Dr
PyRe/aJ+cbx8ZRuoc89cONKufsy8Ty4m2DfCpus7fkzl5Z9ncAyU5lNxLHZkDY/hjjIeWnyb8GH0
1E360f4grXp1L+xEg5qErNsGKCBFXE9Tgt6YrNMwcoL8FQTP1zBawzotrCJgu4al04MC8uEIS/ac
hZBnAwe1cSQe4u7BSF5wql0BsCyN4zKIcKKga6BDCLdpNwMLaGwZi5U1BNzCUuWlwSQZwI11RRMA
EPB5zKTpfZJMY/ql/OlrCyfdtr4YNe6mkAx/NrD7bq/XpaBsc3wkaLlh3Twv54sV0vdBbbcaK6Qv
a82NQEVsgib9gJfm70HefogU9XOXqyv3n7L0yRycm8HPGMSVhaFKaSs5EGJncGkjgYDGhelgPpmP
mNTeURaRvWwX7IyV83M1qrg1JwlN24aovYuCDl1I0IXGA9SfLTWfQ30sH/8fvOpnoJ2wBS3ON44e
RmqZb7DHiwluYde1cPpKL72jzeomJ/Oo7cMD9LqVw1TEXqNEDBoJ1LshqwagJ1n4lHABpRHhIRwo
AVD2D/2n0MMQ7wXxSRdCxqPvrk3oOwTUHJBnu4MqJd5HljCf9XnArmkemr4PDjVe9P1uxvetAe8W
FsvsSgL4niFaDO56iY6JzRsXsRevLvCt7vKYVglsGTWuqr+/GSzFhjcwZ4Cz/sp1pNKSZHwZ4tJD
JuqIhNanKO0fSHFfDUMle0Xhl3TQXrlyF04WwIuqBurYma8qYXgxcgCyhoSGh27LZ1/LPseDtrI0
lkLQCtQwnsQOXhEt0mOjTlBDy0sPpjl6CSqqhpq/EmPpK13GELY0YjWIECEd6KkqMJgoP4XVHWXN
26fV2xcQd5PKWlM5IjWEeoUokkPz0UA2HLpzKz9V6Fj+ppfn4nuMXBvilXXmQfLq3XKgQmsrXbSl
Ajl4dT4VbgHe6mSHPY3YGoAR9f5hpzS2NbpRcEaWPY0trNEaJzK2fg/l34Q6dOeXhnFnILbxikmb
Ybt40sk/sv5sPHC4dc/nqrA9KK/dFil69R7Fe8xTEA2VdiF0TddwqtrNkozrNUjAxSumv619VFwa
sw7+sLEtu9NQ9/9dbkL5EDiG/1vXhOFTQ2Fg2/p+u2kHNHZyIznfB6GDMFSDPg3SqvEDikEojPu9
Lr8oyFs++bVP618yp1MZBRWvI0VHvwW0h2Pr2cuk9rjy1h0UffivPxRkhD4po06LK8Di8lFLe/Ng
odL2bFSm8p36bfyKX+fZm0bbOZlRrOE6CH3dUWilcBp0X01QANvbn3ZxjVJF4qfJCwBRZNrPpnPm
y6p0F1Gt3oTqCir0Pbaf84p9ZphQGLFgNYXzaibsRiZSxV63Sx6aO83r97Fnfktcc9NtnT8C1zzg
F+eN+78/Mluz6aOTEpIMCY8xX1IlpUDMeHY/+a1O61OfD79uh1jafJchhG1RGH2l6Q0hJO2zPaBe
U/+clK//IAaHogb/weaFIByO1JuGbibbeX6mu2b2s0rMjVWt5VmLIzFAMwLBJzfQBdx6akODkGiq
eyldxQa+oPIYxCsn7mIMSzWBN2B7xeV1fcxjGIWRgN0j+g60bdRPuCFuAvPT7elauhyhmqkWeFNu
fk0IgvU8SR7+02+XI3xvLsfwUKxejm9nt3giXsYRElOohlKvl0wYOLv0OHmmm99Px3SnPmV7cAGu
dQKMLO/QH9j1XwA8eLeHuTSXzlwyAXw/M2eElUePT00Tilegdu+65mMFgmRMXm/HeLvhxTE6+IsD
8Xf4SxMWRRK0WRw7GT49Wzj68Bjyj2cv9qwv2T7Y41feeyiUbElzPNlDu8iVjul9tUP7bu0EmSfz
1g8RtrLk6y0ukfwQ7TH73HnRAU+V36wtUlee5o47cJB7uNMrWclS3oqsqY2tN7OsWYp4bjko28oQ
lT1jQ2L3WQFr3h2aDTAFiBzaFu3MXf7l9pTPm/ndQC9Czqf1RdZKl8PHTh64foBmk+T8sORPZ3uW
2tuP/tqkLiwhWwYcwxudNM8W4eXoa6Qs4OrPneIPx+DUHPxdd4JuBGwMRqSt0HFxrZWVOw9BGCKz
ye6nlMI2Ffk+ELQbXS8JewY0ExunbsxWPtzS89vmcatznnH2v6sojv1g1yB2OGj24eu8blNvOBTH
9iHa2kfEzO9ncOZm2oLzeSzcdJ8f1lgCC6cQYdHXnZ/fGp6G19/xjK8NjvPnAtxZ6NpAz84m/dO6
Q+O+3eTh9xZFLBSdd7dXz+IXdRxd46Yw5y97HVU3yTdwmKb8hqXbprKr/WSxelScJG4HWvqGVHZA
sWvgvBRLPBh6cLbDFM6cnGoPRPduKILj7RDqYgzb0DSucJX2ixAjahDYtCZ2n/8bunDRQXcB2Mmn
8LU51nvJtdza26qPGQfRcdrGGzfyugeKOtvbP+P9lLKEeCDQoyd9obh5PaU2yEy/Qmrdi1sHcYe9
rffueTr9gyAU6znIZXXOVa6DWCgnZ05D8U8ufsrIdA4dgIHgT9PQ/yvRb3EkF0Hs6yByaOLMmBIk
9u9xV97kOjgq5EL/wVCoHyJUbZmU24Uo5OFkmSjQ4P9r352D6HWqpQ/FavnkjVx2fYrwXXiZ6rqq
6ry7hRuhUhowN3NRtvHiVx3qCJYGnvMlOeVu4kZu+h0cuhe42GhXbvPJWlmcCyntdXjh+m3DzB6t
jvD6Hs+G2OfF4J133QfTy+/S53KXHzu32+bs98e1esP7u5A0GjMZ0nUSNQsb0qsrQsWESjetLPey
gg5elWc/lTiA9VTS3dH7lRNlIZjC8odnRDYFP05YmcZkxFina6Vn559hymCr9FqFw3Zce4wv3LWw
by8CCetGbxJD1UsuvmHn/KRL5kXb7kN1QPDuKO2rDX3+T86v20t16SOSP2mQyPBJ1FV5HvzFZZtJ
XZE24Ekg4DbqpqNMi6pKw6NR9/xf3anbmjs6eqDv9L2D+ou0slUWUkik48i2FawO6GWI1ThNbvzc
RhTL8+9tF2GYh34bfVB25ly45sJCJ3SruIFrPyZP9RPI1pVr8n2ugb+5BoaIZg3iC2Jfw1dCJTcw
8fbk/KcGlKgBqOEgoNF2Dzw7V4K99daEDWu97VQyDe5lsW1T4uXCnYzaUnocPN1VDvoRS4JdfFor
W72lZWKkPz+qZVrIyglrFrRopQe028lah2ijbsHkbJEvdAsKcial9jUC82pAYe2WmGZoZULATmq2
kwOFQit2IDO8evxoOTB98nRTp1gE9bPqE1a/tbFXWrD/t9fzwl61Lsct5BwBZmw+mJsU6SUe03AV
0jbY9pjDBnK6Euo9aZyTB1MBDSs4UkdLLEGGsd4OSlSlb6nx5KGbRGYVv1jIxOz1FwTSXHkj/1Ck
TbldYzevxp4Th4ttK08ZMIGA2Oc7Eg8IhRtrl2zR3txqp/S52YcP866ZidVrqeviDF+MWkgGogTr
GES5UsgkP7tJ3TQ6sITke+t8u/0lF67qq9kVDqYysbA5xwjOm7VYLUrWheTZtbK2JTUm6mqjmBQl
NboejqqqPPCEiQQSriVn7N7+s+cYuuUe7KrXbJx9tx8Pa+zg989J4qmz6wQPcLJjMSnGiCaKZRvB
A8Sl9qa0rf9oT/Ze/96XdDxLNzi09/43bNyO1mnYZ91GN7bI9lUbHpZeu7KC3x1+828BIq2TnZMu
y8LYk6JDr3Km8SJstlGd0JtCGDPmCdv7gwRX8W9+UCGasHDGwbGSaqJKWsu8HPEszLTqOWrql/9a
GHHdwJcKK7WBkNWhwA2yDbi8FLnxOfr9nwQyaAxwApDoCUdNmPTDgJozRG/1sTl/bvC1Cn/eDvE+
I5jnDMUgapMqXTkxKe4UCMPdFGRUDVUaONYjgNTdLAriH6SPxTOeOru1V9v80cUNcRlSOMjxW0yV
EaNpD67nZ2scqQ2vPdHeHSHCqISZm3XDwOfh0OeXcEWRN43Pv6tgnRpkym5P4EokU3g/FTR0HOxD
qcyffz+zCnz7c4xjazfGK+fI2769MW1iLt5beBfYBdNWb+dv1JqboNoMu/r7dIy2oac+afvk6byd
m9zQNR8H+ozJjh3+1G1HDx2vnfV6e+jzJN76Qer1DcFuw+laYeh4kc+PxW27k/b/QJni+luKde0u
tocyQ0kRBwblHvFJ7EbG3e2RvLsJCEH7Up5zNNJEsUl1tv0idsCdeJo97S219JR6+CProMfcjjOv
bHHGuNFhedLeUUxRpSqOEWKrS4071cFTNz3qRYu28xfN/xLWfwTGb7ejLYyKFwUFCij74EPEiyCA
Xx4EWBR4RfE6IcNvh8+p9eV2jKXzgyCUX5CIQChBfLoglFAmZ5pAHrS7CTF+8urafdPFcvNjyh4n
RYge11KE991gqtsy2RHiaDZiOuJMhhWPCl7zKWuvu9PNTbrLXTgAB91ryIoA44EofLo91IWdfhVS
WO4hrJ+J1Brpu/EBDPNmqgbPwHHF0aTt7UiLH+5icHNGcZF6oX8plYOFDEXig7E0HirQrm2zcost
f7mLKMLdjHOSUgKwzTx8EDreCmgYhBte1wfLbb3hu/9hzu3ClZLW+9eY8OHmsV+MrdHHcyInqMC0
o5sf2u3gZSSVZyhyp/wh22bkl7NQHP7GkZt7CGF71cpmf/+QEH7C/KEvfgLUZWCSVo8QTbuZds0x
OdHl3IxfaVfOi3W3enLPK0PY9jx7+Q+2XVzjby/ki4AJgF9wr+wR9aNcbfKHaqeetJ2+LY6wljbK
l+og3Z8nd7ybxYuUrf8j3K5tmIWz+uonCHeuPpgN/X1+QnqcwQzNgbcREi5rr8LFPXIxUuHeldUW
NtFUnj09/2lAo8HcI8KDcpYc/Qdb5K9AolxRBpZ4AI+eeYr8oHbfJulJcap/EgOwG5JZCNFRY75e
J/Gk6qNcE2NupqXpt3g2qwjX6hPL+/AijLAccRXRjD4lTOP1mFgCX+MYe003aIXZEJ6351PEdKKz
szK85X1wEVh8wQ8G4if0Vj3rJXowduXe9/TNcNJOCOCy9dce8Itr4yKcsAR7G84Z6vKMc4jvfeWx
bEOvRN+/bVcUBBceHXDr//puwiJEDndCi4CDDa32c5W4Y5TvJPspKyvXD42VWVxIZgmGzoKMIyMY
PeGsNkMzBc+aI89VydA3YDwrxsqZuXgdkP3PvVZdpeR7vQ5lG6q7pldnr0zS+9E3Pg21vTPrwbu9
pZZGMouMgfYB4c4xJYTJDYA6c2ED8oJbqrxT0dK/HWLpy/CUUWwq8EAhRASS2Zx7vYCC4J0zmtJJ
bT/KSXOSDDv0aqk41mfleDvg+yoGZ/1lRGHRoWqAmclEHjJvrvmOK47KXe3iHnhA915Bbs88hFvp
l/S0duIufbXLyMIqxKPJKccq44QiPWmH19r6kQQrGd57WcXr4YnFxXhUerPVefGev6onbF7d/Hc9
e5a519xpe95mL/gzwJn33aBZ+ZRLqwUsCyhHldIq3ZTr1XIOBtjXDY/gFKb3sS/17EE++0ipr3zA
xWm8iCOcjr3vKJArzsS5a09oG09kKljl3JtPdBhHN3kaj+HJXjlBlgenU61F1o8Uev77Fxd2eDbT
sT0XtQev8BRk03EozcPtgS1uBRrC/wohzJ+DSP/YGVRGrFH93qD9rwXSgM269hj556Op12to6eWJ
/CugOJFjiLd51jORAcoNSHfHmnOMfGclS35fgZ6XJAsC3TgVkT8xMwcpZpmD8yYcZ56Mw9zKn9wW
fMZah2b5I/0VSDgWkURAmMgmUK0BcPEflXRlKMsz9lcA4Wg3Rm0E+sE1XKE6pWWKh3mTjbXk7YWw
FkVYa7WkZ0Zg5tksT/QM8XScZQ4OUtus9QwX50ulT68iwKqBKb9e1AqU69yaFf2q86tVoFCV6t4/
GIoJTBKUKfeUKUTQWijrbchendBTS5veraXHSetXjoTFcVxEERZyMQzI/NQc6VKYHSyj/DoYa4Cz
pVRFuwghZEZY5KHj7nO4YZB1OteJq+XlqckTTyva7e05WxuNcEGZIzDJIeUE16P7pMvcgc7Y7QiL
J40JSgt8MRIlIlQL5EaAyR7zxeLaygpuCA6CNKgcDd9H9JtvB1sezl/BhI9j4IqjVy3BDOe+AMWM
asftAMufhu7ADDkk6RKyFCNznCRSuFYhfmxIKNicvFZjYDRdtzJx77ER81HmQIMyTB0ZSDFdUR38
DzSLHdPtqGugGBTv8k/Jb6QPnuTqm+zecmVQUerXChhPOrx2n+ZqR/jbf6Ij/r8u/r/TD5krBDd0
8f/X/8z/7ek7JsP//m+/n5uoGY+//vu//rV/aeLr/8GRo5G0wh9jUcx18r9U8XnKY+lN20Wl/zyz
Hv+liq84/2HBmKK/5pjI+EKpvFDFN1DFt/gXDXCtiPtS1vof/+0KA1IL//9S/FlYs7o5s0/IrJEv
IfnlB12fvJmC2JWKjgQyFzGWIOoGgvLexq/e739eTM7TnzWFy0his/0/Q2mk6tiuOLolHMEI5mGc
JaFFEx+nCGGTe7qGLroruFnsEAB5pt8TwD5Bqz5aJUPNf/ZFmeNdbGGYUVymg8qEum0Rb8b+2Qi/
lNbaE2JpLgG1WMAFwRQAwbiey6kfRhWHtlnTL7/vM/mBf+6r1vW/JVW5ghcSU5m3AV3GEs7mMKjP
EPVna6mq+ajm6b3Vm4j+1NGAdMeUAxOOPsaVhuQkdj5acP52+2MuDtUgiyLDxrxhXp+XWSi4m6qK
SsJDqPUahBcnO3DlGsY2xdzboYRj+8+RzkBXZhT3CFu9DmXhZmNXILPcqAy+DGn+bcRu7XaIpdXh
sA9A9ADGeMcUCvXcpCnD6uiar2b2o2+/Rsnj7RALE2ahMssnU4B62I7w5NLiJDALnxA2yVOoD5tx
+Ii7zb7o9L8/XxeR3qHmzCiqtJTd7ta97ql+sDGzNbls8W03fxNq9hTvZ56xyjF0/U1aiPQGhpKK
O2tK43W3A175Jfj0MzvmT8O2cZNHx3NW0GtLM6iBqIRfpZkcl8KSw9UYsj/aLC4sjAGnrzzyaqPJ
XHtIBpSC2nQlnggwexskxzbnIqc3jyEhx7aKLE27eVX0p+yholLopcWm3uMZsodM6gUn00NBZkfb
zvm9+bRW0l9Yk7A3/4o+b4uLdx5PonNjDeyw0poFoX4iFaOhSnF7Va4Fmf/+RZAh9WWlz03ZDdI6
8eRQe6m18hvadisPCbEn8m4uhY+XWoMkZVOmuDOQ2qSASC0fDuwjGkQHFaVu57hW0ls4Nq7mTziM
lSzH6K3xZRyn/H2MFr+e2//F2RPO4CpUnID+h+rWjfNxkqe9rVJQttvz2kqcE0fh9kLoQVbohc9G
OGKVbTCqREq0AVusPgcQ8SPPFZzBQdrgLuzYvucg2uEjkVPItCuKtSrwPIxb0YV9kCFTP8T8PNeI
RiQl8ODokLjBNdnrEM5zo0FCJMx+vb0yF3c7JUWNHuGMFhNy6bSXOzISVqafhSg8nd1+wKQq/8PH
/Ol2pDe45MX4eHqQfmlgmRUF2CokpetNUAVDEQ9+AmDJCaweev+ExkflyN/KswVERZOwUDTjZN+2
cvVVUkzJRY9b2tkQ3A5xUaPGZPY4ruutPx0VWyoe4lE/b3WcOLehGTZuE6Nll05qsQOebRyiMLCe
ASUGL4aVoppMm/5eDxuUlSXUw7/FcVF+aMJ6dmrUzPGxqQPDfoyR9DviUHf34dyl9wjsyOjBIT/z
oUdvKN1KEsAVkLIhxmiV9KhPgYmneUw5sTqPGyXry52Jg+mTqkvYiVOdOOSaWZymOlJWdrqw7d4m
kwf2zKOmfISJ7/VkxnGdIPvFZNa2vAmLX6WxEuB9a4DPdRlBOBj1UVW78pzSDwM1ief4QTnYmP8M
QMPh0v8jcN91QOGQ1CD84Y7IkIzH89E+ZQdktgBmZv5G3SQ0Add6cmtTKKxHMgUpN03iZQ2S28iQ
qWs4rPel53kOSUU0fcbW8Pi4/kpq3FRtgX2q27udN9wVu+rO2WDIdii25R2H9F5x40PlorXmrmy2
67Pkz+VxEVhIHHqnLpBPnANj9eK/1hmuie1KbWxx/i5iCEtQ1zCGlh1iNMjMds6L06/kcm8iLuKJ
cTl9whKUfLUesO3hxDhFB+MHMnUoOZi7xHNWS/ULsfhEFBNwxzFBR4uqFgFKkKi/DZqb3vn7uf8W
3Tl7aDPbYBUR977dxwvoMpYwrrgbEfOcYzUegv0pK4JqwtZy+x2C2+7Md+oP4f72ilhYixoJHW8I
HfMnsklhLY5YjMrS2Omu/lF2ZXSMPLPaJM8SgFLn2Qw36CIkITDo4hnFpuMa3Wo5PKQIbB3gQr1D
ouha2dhDR/juZ79VPP2EB9Mhfpm/qUmHE2F1xUWW80vgacfbI38b2fUyYuR/hRbJdQYOye3QzqF3
/bZ10cQ/xd/Ag1HBidxo8yptq23Bbxgi93waD2vobyH5Yy8SnhsPNPbcIhThMZIFONIBPo33Y2p8
DcrM2Ugyyk/RuQ+f/8lQoSXBzabMq4vl1xGeZqSZE2qRJ3TNSvctnZ6B2cl9s4mOCSWr+MFCJ3fn
b7IdbaHVU1VIKN5GC87eQA8RGv47eR1dhyzZFK3uBnUElgr53eKFf2zjg/q8PdiFeQX2Ay0FTMVs
aCjcF2YE+kZGhNLV/Tst+S0EEh0M498+SHncXwQRLgl0/lX5zJnhZvprVX6p66PdBSsDWZAkug4i
5NADlqRIXzMSpDB36Oh40nOzQUd03+yD3SrFc/7ThO1wNSQhnbZS1NVl/CtcfW+1+9BNtnUOXAsE
yifpO5Kk6g7oFJvxd32dTLuwOq5iC89zJE+nxByJPSjINhcfRnggYdB5Dnrft1fH+9tpnlNqROwD
0lqxKT/koTYa805Aeck5Q7LMP/39ACpZLIW9WXdCrAwj8CLJ40gAfcy2lR+4QfH1doSlBX4ZQfhQ
9lCrWDwQYehfEkAS0d1kr1BT3yNK0TCjTMiG5alPr074IGh8OU7U1Wib7vutf5IeowOG6TvkoR9Y
GR9ngZUaS0B65BvzWHrJ67TNObMfckjIjgct8cvfHjPqHLLOz6KD+I680nRBrTQ1aF1zyO4CG0Ch
0zyr6evfjsIVSASaCDZ3ojBqpex5dyDB4SpavVGCco+QP4IWa8/++Y8RdhqSXyaKR5SXGY0QRvXr
0TT93mByZyplsv9TF2fNHm5hnVyEoch8nWUaZhcWZTgYbpc7vyll++Ucnl3fUFeOwoUXAYnD/xkO
i+Y6TjM3W/05jnlvPbaW5+/bfUeeJOvb+g7A0N+HkhkERP+YFaHhHCmC32sZcCw+CwbGEi9he0ja
2lWsDwpnxu3lsLQLLgOJLNtzH5horvChos/xHioz1bbuTjqMb66g0YPzFT78Qdr6O5kq7EZ/xMV2
U981D93WR1cJh6CVqV44vEDIQN0wbYZuimXfMUhRiQwq7N6HduOrmitFf9weslhanO/pqxDCndMH
hjOWaT2vzeg5wI56272U92ntWveRw7tEOo0v0hNqLqu33dLgoIyjfDGLbNC1uV5GOYCzKEIkxlX3
9cl5jJ+yQ+r5HljPCrY/32C3hsN57xXJYC9Dzj/pov6mG1MfUvJh5X4sv4ev47bf15+CD8BO71Gb
duOd5P7sv6YP+VP/GFruebtOllu4+a5+gpCtFF2TBBTecZGtaq8Nmmer0T6ixJS7tZ4nKwt66UQg
BTNtcn1wVuLdVOlnK4pjw3CL9mQG4z7x90m+Zui6+B2RBDKpOhoIFQnHQTlpwzid+Y4l4hiBCcY8
+3F7kS7IC/DdLkKo19+t1RtHKwZCNLvR7aSTvE2pCvtP/iuivDPrOHtp3C/qU8rjwTllO+mb/nz7
JyzNJNV3izchWS0krutfMHXQ+sNOMlzk0zdVY26kFnxw+fL3o9CA1KnCIV5FMnEdBSHPPlF9xnn2
k71aQ8KqP0bdypZf+l54e2MfylkKM0yYTOssRzzOAtPVnO+q/XvSrdQDxF7Z25FyGUCYqyKRs06r
QpPHh3mCYXb8OQHOUg9rnPCFBBYeJKkX3uLoiYnfJC19bWqCuUORSkc5/ngu5U2OC4JOZy7528hL
jg7eMrLKDY5EgghyG32Ub2ppUF1ZcraWBkq+bE81Enu3V8BSqjA33mamvUNKItzhyGjFddv2qhsh
ufpBy8Lz/hwGhdsMue0ZrWLunFCt8dG16o9Z2qgr327pdJoFgXk1GsjriVMaG2V67guVNkED5QwR
8z567CR1vMvQ9rvLAnX8eXu8S4vxMuD89y9P5CoZIU4QcJCzw6A6B0yz9rdDLGxd5EnpYikOPH1Z
pO9jxILHQYi0ip2/lO19o5/kv02vMWZ6JX9RMaJFawsZepDL/jlQsSdvEQjf5UWXn7TEibaqHU/u
7dEsTJjN0YDXsDmLjogpQd7V09SfJZQktcYNa2uj9d9uR1iaLw46G9wAL2pawNefRJNmQ01FVdGl
BjkgUUZHGBuzxJWW+vzHCEmxjVoqs0IlaNZ1ug4zDOessyYG4qPOX5ipa3Yv6Q87pDkGXMFcg0Ms
jUoF04w72qyWLNJPwzCsqEnhsDWhndqNk+snn5RVZdOlr4M8Bv6/YEXhjwnbNzP8WhliBtXW8aa3
P6XWygYVUR3z4QphjE9DxoTftJgLcxZgS3nm0CurTbsNv/Wfs220De7zrzMHPEOXsr6bZTDXHhdL
xYnLwGJuXHImxnpGYPN+8Ga9ZKxxHzjZi4d1np/Yv3wbpU4/A8URDTaeJlyE+dkPplgqoKHuW3d0
ByTsGOSn6WFyjZO2lZ6k19uLfuEuocIMSgZ0DmbKIr1ewtvHjPyS3mLS4NA5+C+QhrHBywdqzYbU
enqwBlpdOGtphc3ANZP2DUO+3gBnmEB0yAiZ4U06huZejQDCp73nIHp9e3Rroea/f3HKJiXOaagl
qm6Pr0fzquCzakbftSBaibO0yYxZBgp5eaZR5A0Eht9JddTTOO3MvdnZmzIet8oq0XbhkkQfdc5f
YNTSUhFmzhibNOpbDHX0/Wy3Pr+nZznWtQ+01Au4iiNMm3nOIIp2b3Gcr3O7BsciL/qlwo9fI8Mt
7muDm4ODFWAY5+L1J8Km0Ayghimuf588yNiGR6fukH5Q9iXG4agsuXPbnh7EynWy9P5jjH/FFZK1
2jljelc3CslaszvfqX/46SY5OVvzZXpQ9iRuqFltkkdj7RxbOilNixSDPUeVR8ynmuGsRDGmFaDT
9JO04b35YS7Ez1JvzYPspad/dICBANOpvnNvUsG4nuG6yzMjL3DpCo/Rg4UOc7D3XyZoH/HWWZWy
W9oJl8GEAwxFlEyqO4uMIP2S9piYRPdNv3JmLa4ZkidwkxBH6CgIdaUyUjNeX77y1lZsjqYbbGmg
uxTr9jPSHo2kx+gxvV9rmC7d3H+FxUbieiJ93A6RzAOHEaTYj6aIY2b3mXWXjMXWrpDWXlNFXDqb
L+MJD8yz0VXUEBhmgoR7rRwlCSk7A0Mgg/34D/IEjhSg8ShL82TWhQ+XJ2jZZTnt7qL6WuuDew79
bTwcb5/HS18Oajlvr1mUDxsC4cuF1XkyHYWO5ojYhtfcAc3cK178aHrW/bhr7xSId3NByVxhsywH
RpCczhuxET+7/nYpLEZMOhne7HqgwhLimPmBSv5O/6a+NrMeOW6f+JCBAVm5GxY2PJkX7S+dw4b/
Fr6iXeJt6LSzs7uNFJrxpLdfbk/qwiXncCuwHzBKmtOG66GpvlPbnUQ3dariV8cnARtV7HKmMUbx
mAbY7WhvT6Hr/JWbm14+9mJUdmGwXYczcBvUU15QbvkHfziCPyGdxOYw/jT5qkzjOjLi/QwSkaEB
JoRk+E60uwBcgnSBobmdjYtuMGaf9XpNmn8hBvj2WZ2Kigs0Q+ErNaEvNSHZEM18JTmkBRaIQKJl
b2Xy3n8rnRyLUgpCjSbSicINPsmDGvQDYbTHcN/8nLvAMcYJm+bUA4VWNgZqn8Ve+6a93g6sLgam
s0/mpes854Xx2UbQZQXVJDf5rP08H5Pn8Nh54/fk0Hlvu2HLOQ20aEMtm86oh1Yl8gH2V/mu2K9d
SO+zGObg4qcIW5FFrGMdzU9RCvs4BfKrroYHM3IegsT/oOIX6vsx+m+JvHL4LMed0facAuDhhbhY
QuZx1NmaCwx3n5rpT2Qoos1Isp3Z7R4gzEuaOeYmS7r9yuTPuYSwZUiwKeQrdOQUToHrLaP3nZnj
msYC3pmnzmsPreuk7vh5OJZ7Pr7xW+s5p/j7iLTtVt2RduwOayXgpfWNlj8EXc6+930uvwr9sh9D
3TUCEM5Zy0Nz5Yh9f/OT/uJQgLy3xmYUa644UIO5SHV2kGliEhduSuXsatLP23O5MA72jc7rfGbp
vjEnLjP6ZkTVPZUzOgNt6rZNiWvtSoSlA+4qhLhOZBOpviI1uCpmvixSHp8Sd0Bo2d/8b9Kuo0lS
nVv+IiLwiC2mfHsz07Mhxko4CSSEgF//klm8O11dMRX3u+s2B/lj8mSCWmZ/DZ5xYd7emTtzRDmh
laN6mJPDoWqdhIFmjF7tdL9sBQ8voBYgxD7vkjVOH/ZDUKPiF03ZxKcE/WMJ11fatC/Er1iUAC/d
Sr330btFis7zYAYEKGC1iMekf1AvbLNOn7VVQ9p94ek1r+wCvAU2EUqu+E28E+c+RUzaZarrmqA/
sfzVVgz8iV/dGudr1mCN+jFEX4zboXGcZOi8zviok7kSKQPaxVFIuPh3ley+oSB6cIDiNZwnQXHt
9H28fVc4ueMiHQcOBcQd7y8A1Hsb2azTMtQvLlRkvQgfNOotjZYrz/PH8/He0lkSaxyBFmZFFaYS
cE08qnvdlVc6rq+ZOPPhFl1PfllhMEimJcKrPyNzf+UMXpmv82xwrSCuwBqY8KhKGwsiB6O/d1EH
xDPx+vcL5QIw692Mnb/81tyzTnmwtWqciMN4j1wIeDGRdQ4StVmLLFApv/Efh5urTum1YZ7dNLOE
qFIUrtsC0toJUnTP8bcKGsHfym27H26hYeG8UCfhN9f248fb4P2Yz+6cKYag6dzBsOyeETii3fYu
nIsrW/GCz41YAowN8EtXRoXzqo6UAddBVJLfYPzoCXjhFFrMhzqVOb9lt1B3BCb/+uAuzCoab38L
RV3SmfB6Z9Jz60SpM9+WzbZgZRrLr+5wJZK/cAzemVl//mduaeIMss4NZCHplBWIARvr15Wt+dFj
QdMTrrXIRssqqJ7OlklzTj3TOgT7A81eN/6D/whO6L0PsViw0sc5ULQrUS7YRvVTeZWD8jeBzHu3
Bf1/SByD9RhA6A/U4uEc24CEzgTdN+AVFVZeP8ZJmPbpfjyOh/K5uy3vY2gPDK967+6uZaEu7FFY
RzoNolzrFJwNvi8cKOyhMTUdAqjZ0ygDw+B+Yde8wvXq/TjIf8ycLWNbjI03Vpjj2n0b7efAvg/p
jpC7AaqsV5bzY/5gnc9/TK0j/mPHDFFQLBIuWipRzZ0yOzf59Ju3ju+qV5KsbIMigwbf8Zr3f8Gl
eW95PTJ/WO5bLu3FxUoOG4h7QkECnMe7cF+m0daHh29daSS5uHQOCk9IcCHPex7l9H7UxaMDcxrA
R1P9IrOXBexaJHoB1YBR/WHmbFRNOQx6gpo0RI3zlcxYvax5tFUELwRw+S581pk+BTerckP0FZLy
uIf4y3ytcnnpuoFiA1J60Lp0/XPg9CSp38TaJ+lSW3kQvNROtNXDroGg8JX9s+74D1sVSAN4vTEi
8ODsuYCgN/dHUOvBMSXbtam1/QkO3KR9hkLxUV7lqLzkWEWo6DghWmlRrTpPVS6tVZlgtqO0gQBH
HiJ/SLZg/Adx9ipCwiCutim3xY5HWYCKwQ/gAp6c/+GS/d2cDFUrCLmcc1wp5ABlA66DtLSe3Obb
KK/REV46/hA4Q94LzR7gaT1zZhw51wMYfknaVuBqaG7n4L7zoJHOB+i7e9dugAtvBrgn0PGNGDDG
tXZ2pw3obBJl5wHpjtCiekP4+Rtpj0aI4rMGy2/KrpIYf9yeWMCVvQtsuEBZn7uevFGuPzZ+kXKB
IqA3D16CpFCFW1UCNbJY7Mou/TjE1R5iDLy9qF+dv1kj8uog+0WWsm7DIhVURFtn1M6VmbxoBUPC
FMJ5/kCBIEYvbqYoAqlPs6QWQ7WZTPLaUD5eYxjKH0bOzhtEqIMW2x9Tp6v7erKwyaUPZGY4Wlcm
7Zqls30hncrYvIclLywSYsTX0EB0mf/74BkDilAGRpBOwNh1FoYEomi5Z5EinRZdJsjivYG268pQ
Lq7MHzbOApDZp6BeEbDRqy4bF/Pk8mX394vw4pZG6WbFC6HYfF4GaxcxIUXkYba0FYHSMwa11TxC
gLssTs3cX/Vjr9lbf/7H66ma3vVoDRcheJpzcdttxE2bus/Rw9qCDJ7CfWZdbSu9tCN+u31QX/hd
Dn5v0x3NYnkCJ4iI7w7/rAOIyzVh/u8n8je+DHn/Fca2fsQfAyt7gAMKm1rp3EtAEaqNB9Cx7b8u
5uHvhi5tCvTqoegFiV4Uoc4MAcdkBya2ijSyq0cL7ehCe//DvvvTxNkiRXbpOKaAiamxdgPvN0Sw
t/82irPj01JJ/KnHdBUuu/G58pIWnNXZfzNyfn7wEi9qghGOcdSO2fDO/vrfTJy9ea5B+6nTxEXa
zJsmCjOumiuD+PiqAjL4z3qfw0HiohpdamMxmHGSWYGJTQSJJtuGtGnYxJv/NB7/LLdt0cEDtQKm
rGQyTngbP1il/6+zm+uIUOGHvN+qoHFmQ0vV2DoorVTO3hcaDN8HXn0D9/P/tDT/mDl7clqrdd3J
ZVa6+AKgvrp69uZq//fpuni1/DGUs8eGiaBtSVVhKFJ8Dh2aWar72vfXdDgu7gF4AkBvo87+EazQ
DbQsQpjxq65PvEncOZ64jSwHDcTspuqubIJLowJUHKBIIJ0Q/Z9dMYxaYckCD03TqCKI9lPZ86Sx
wysJzo8hHNBHf1g5u2WCsSl9MFFiUEUBTbqa+69kbG4dSVSqZS3yWc9DWiwdy/++aJdu0HgFl0C2
yUH69uzMRksFsba4/T28Jkc9EdWacdFX2mEuWgE0FoJpEXAs53TZtefOSycZ6q/E3KOGclNdY+K6
kCFe8Vv/b+K8GVGMMTrUbctK6Vf31/xVoXa/ShkhixEdaOrvoD9x5WW4UPt6b/Ls7ALBCabjmNKs
fA2+B2jzR/Bt0mYvIfwA8mGa16kDgJWTqvupTSSo4ktQME8QDL3e0nEBTvb+Y85O+MR6H1ErPiZ6
6spkJSJut+HJfI4PoDPZXCMjvmru7LDP0MdAxRYrChbi2/5WpdMxfP4ugK1pvlzD8qyb/318GoKj
5XdHPojQP4jC1RavKscqabaAKCiBXvCJ8uDNr+MvS1NcuY8vpDRWY6g4OYDLfcwx1GQOx2XGwMZo
3//Sr4A+g0S7TD31aDIXyKGrU3nh7L+zeHb2l7hbugLiu5nH73i0m1EbGu+CT2Tv363yWLfxDbsl
LGlPPoPe37Wq6YX7bSWZB0UFPLaP+Ee/ntoBhSkrRYbKWUzqec/+Vef9QjIcs/qPlXOwo0JYF1YS
Vmrwp8jnBcXY1/bAqo2ZUnUjd/PGzsJuV4ObfEKh+tpRvXD/vDN/dlIDoisO/W0MUlCeuAZo4vZa
2ugC8uv9GM9O4IC2yEoLjHGltBMdcpt58KmFmFuwNWMCtq7iGOhsqDN2+Pd599U0kjdBhBo0iqTv
HW6+qLFBh7qVxhFEmjhoJDzk/f36yo13oRMBdtDYiLQ7sicfarExIj3f6nDJ2oc5X7Eu/n7ehBv7
eO1QXMgRvbd05q7WPUNmzMVkrhkNq0yqjD4MT90T2wzJ6SRGdE5WUC9KilzvVjzftV6IC1wC7z/g
7GGca0NkxDFUc4ifqmcKvhLgUVYdrurr8AqQbtJtry3jOWUTUtLxOq9oUUNKCn2SZ+uonQJqdVPF
QKmMRdQy6Y8K2dwBxOXtVow78tzhFQFJj3kSPDFXW+o/jhpeFYLfEDhaBIgfko6VskrXACycye+g
ku6eoyOtk+gxPIV3U5N4X+2kfbpeav2dy3x3w69m0bnmr/0nCOTOzidkCKeJkpBm7ijdmxB8b4/x
GFpt4gxU661DqqAtUxIK1zmAM6sVn5AL6lPHrqswb1xLvAwqcL/yRtjfQ4P24S2ASy7CBO0tP3wA
meB5dJO0QdBXFq9wt6s3C2D1jT2C1caaW/owVu6Xsg78nacKTK8txjZZWch+BKTrjtyu2L7zYv0Q
x4p9n6Jg/NetZZgC1M+RR4HSB/yYsymAji2Y8Fx8aNRVKeO4PtiCFtph+3d/74P3fGbm7JKavMEg
MxnjeSNqw/nOs55L9xN45TIz/HvWcwwJ4rzwL7GZP3jqdBxbZvkDQLZRm7b8pMGG8ffRfHi81tH8
YeHs6SwcN7SIXKDXTND2yH6J8BvEHq/ceh8eDxgBDTdZM9XI5P72GP7IZrQmLmfXQBynH060BWBj
vCb3e2kYUK5fGTt9zNb5sVekjCcR1ixDKuOhFeImjqe0j4u3v8/WBz9qHQjAMuDvh0wO4o33r4RX
iCiUVoCByAqP4KmHJuUyJB20Zf5u6OKMgfYzgCMFQM156UIi8dQVAssi/fITAzjInZor3S4Xx/KH
ifUT/lgU48iu7n0EmQL/vvKgvSamrV/USbt8+/tgLp0Y0HsA4QyQxdpG9t6SAGUfMmYTy0KXJzMD
I5S7D8sX5o+bCYRVfzd2aSfgJkS339ociff8vTEpxFz4yJ9lpuseNEVQEfvFBvqM11gWL41qbZMA
RQhqnR8Ag6NBRteKXZZxam8L/40HdsKrfArnzGquJAYurdWfttaf/7FWvuiiRft41ZyqPvqLeys7
O3Gi9uDSJv/7/F3aeSGUo8GHtmoz+Wdug0sKYBCcBfPnj4lwwmSgu79buLhCf1g48wvstqSNLAXL
Jq+9qSNsQClvJL+G57+4Pv+YCc4w4ULWHVIpA7THPCsh9CDbn0o1W+38IO344+9D+hCA4F7AqxMg
LreRRz1XPB4rUCgidGeZX3cvYEdPevCe9UM2h4ADxPUWd/j27xYv7Yg/LZ5NIi5Czsu+YJnWwCm6
5ZSOlB1rQ19AH9Ff2RMXVBvX8QHADPgYSsfn955xKIU352OvV57b3zilCZe0bXzy2oKd72izBg1D
0VRN26Ki9teyRF0JKK/CDAl3LQN/y5j9aKIoCdyep4GadeqNy5d6irusM67zKR6CeVuGVN+UrV/v
tVU3B6rc6WdrCvmrAautvLINL2106Bai7w7FKmB+z9yFhQYWoK4Wy9oxUKC3sSKzd+ZyuuaWXFwp
9GcDMBSsjdRnZ7d27SrQLoU0OfEOVHtP0IB88odhLwKy+fumwNWzeh/nfmD0j7Xz1tLRB15Kl9iJ
qJp2G6hJkSVp/cAcnE7EW2Mv5thh9TbNKHu4/yM6o1QVkoemney3Lq5U1tIo3jInrI9DXC67kNfR
LXJn46bRnUjRp9hs3HEmXxbmmq1VLdFN13vtF4Gif+JTBSXN2Z6OdHBBbROysrh3ykG+1cGgOZr+
0SyYdGEBjee5EB5A6sNwkmXpvBGlQdHp9VCSmcumAkUoMclSDHG4MV7QbRuvDZEe4mBrUokYjPMU
2TN/kXFXI7McG/3qF5bUL3VR2wboQlfu54nWeVsBXJ1MvK+OOiImfpbBFA0ZDimwM4P0IXFH7b2J
afctDopmTlrCuh0Kl8FrG7W+dVo0ZHrvnahZym/l5EnyXVhCoj1hCGtwbFSVPk2B8m56MgOzLEV8
Y8OBvplsUHGyYbA/KwOCTncg9alEHia3WccOLu/Em6v9YleOcsxpGRSPWLdCJKpophOLBa7GEprb
hsolaVqjHiysyZ5aS3AkbWR2YTsNG68LxclexJK6VVvmfaV9IEe8vto0y6rQZPSjto29LynoIGNQ
Jt47eCArSIIuaFl0XIiuhl2Uzs1ocajYJjYdv5u4r9IOVU4lojitJC+OoaPc0yJ9s22Kmm10M5f5
Cps0m9Ylw35xG57LoR2PTeBAarQlzXM0aTsbbTMn8GGhuDdr9lA5kx3lENQhS0aiiZ0M82J0dhAJ
ZKeH/zaLKuwSPfJ678Wgc5xHaj/43ahyH0p+T1Zh+J2OWzezR08nXhE0YEd0wBc++3p9rFqzNdAS
SyPOx7QKI7Wri1DmYomLk9u4Ee7ImKQzKdoqnQvqfpo7W6VQHxhgABU97lTVfdyMY1pMVp3VbgDe
Nc8aD10f9eiYaioOSJczz8fOUey2rRdtg2w7VmFCyi6693un3dtdzPK2Y2xbuHbxrQhBmJLYMgCt
B5+HQ1wyJ6Pd3OdzHIDmzob2OJ9td1MYm+wWNrQnqbmz9ccxSMgc15kVxENCWRgfuBWGm9loAY5Z
hTyFJUV/FJbv3VA3AFEKjZ1EEQ7OuqqM8pnq9mgAesnRbdltuoXXuTfaVcpjN3oNgvZLUJsoAbvg
uG0CFzUtQZznAL1NqVtI4J/qsX51Bz3IjHEbImmlUfV2kaLNLXCQPvqBYL/KaORgO1AUEI1ObOzO
oADbz30yVMN4moXWx2qgzlNFzLQjCzT8yHDTmH7+jPHZGfX9/sFRoXsreEufCh00X7lwpxff7dWr
247LpuWivGf+bO0nl/Ayad142teQcsgKwGBAO64G8APKhj6oyYuyrmQM09XZ8y4UU3Rsig4vjloq
+86NZHjsF7iDk1PIdOm0pIlQdf1gFg7Mh7C7J7fWDPmlciy2pnDqTNIFXRi6iE/t4vQZ5LWjnMR9
tAnN7N51gSxSJcUKZ26nHNHarHBaZ7IVjgWpoziUX0dl9at+vI326KZn1cu4iO7FdMI5kdJl3WbW
UZe5pR9+gWiJ9UD4POWljNhjodoSbVGuqPd9Uekt6Gmsg4Eiyy9PxfZn2eBAInYL0DpLG3fMzOwX
aEOLhUxwnQ1pMPnwfPoIktiOjF9ch4IqlSieFbZytoMj1FF2c3wPpBZPy8GfH1lb+w99q4sDcKjz
N6uv7IzwtniIcdfdL6S1HypwtG3ATK2edKD8jSW8YOMrLXduP3ifHW/q7yj7Hmmib7TvNrsSBIfg
7a1Is5VOA5Bk6brZRINuRxHCJzPnTuYwQnejP5RQkmTMvM5R02xoXPmJLssYeqfN+OANIDKvAVrt
sIVG+1lRQI5SNo7lNgo69GYAAJKMpferAjbqbooA21cR6e9CpxcHiwfBLrbr/lMNSNFzW7n+IdLl
clDazLuhF0OqRRuxpCMdf4ADIm/J0NmPgwI4PYmR1tgN2qt2kUSXJvhqblXV+Mc5rNwF6wMSXiFI
CeS644zZ4nvTHZCuc957/fCZNm39Fe4Pexwi3PBJubJ2JOFk6V+dNTj35RJ1SawRpJxm3qLdmljk
Ey37+SFolqg+LU3c5gbIlrRl2j81VVHztYHD2tMej2qiLNKnbSjQwubqwssrOKmPcpqs04gnOSVq
se+JzaxX/DudEctmdcJ7tmQlJBGwUco2ZGnULXEuSuomik4QltUWaXCo+tjfkbjuUSim9c3SeP4j
ePJ9nhJrIg+9soAesstmPNXTrG7DojR3TexOT6KY2++qEPJO+spNgxrxXxJ3onpxmm566PoBGEdv
sHFz02V6NOgcebY8pn9Nk9+hl4P2xZOFp2ZI5ejyJ1V6Sz5E3H+a3UV+tnX5QwLFmBcWkK/AE+ud
KoP6l3RM/JP1MpJJNIbdIxVEbGqngbIyXQLvmUaievWsqH5SNXNy1Vc9SEzswUlKVEMyu5rCveN0
dZME3BFQIBrYfet147GEON/zOIpOJS3+XZWV4dDcqNYtvgfBjNMIfBzcHryIKXhEe5byacQLPLHi
OGFljg1kbnOvdK3Ps2eBJ3wCSUyCCsmcSzsecJd7VOO5sm2oN8DNpbOqH2ZeqAwl4PltxMRtJ2PG
JVkW1iQVU+SW9DjhicNKtkfPKAUdYjSyG/ix/X1pdXYmGmWfAi0aBooW7h+kF98oNp6Y8h9ctoEQ
R/TkVAu77wfBbzzmMWyvvtktDhCofrMn3LFfEHKmVUxT5unqtkd2cePSsM/BFTqyJKJDvPHaDaTT
qZxSUGajQNcZs5GeK5MiRt4QIsKW+CRaQXJQU0LK1Gl4ZkJjHe0iLI+42Lw33yvt3Rqz36myi0+g
/e9vnRZfwq2xw2uOnw4WHKME7CUmCVq29PDQArkdFlpDYZqM+gYd1GgQZXgMUCJBqzELms3il/GD
TWWX49dI7rsDP6iS+Lh9GVydGd/EPde6Q0ORvyR+C38SIij8YY51mw+Okm8OawweGxH98FoIKxXS
9W5beKnPKCYHD23X6KwKK7Vzak4PtqdHVNeKuMrGMmru+FyWj2iUAMFpXfGc2FV8W7sQ0kxEuMwb
BEVlndLRs8FuO0XlURDZPNIRMj2+mvkB7xHJa3eOPilPVJkPLpc7owHfS36PgWhMpJoRSIPTXjWP
CmIrLyhe0tvR1vIenbzCT/qlbveNEO6e6C6++z1kn3leppTqcrm0P4JO0htrKJaNJI2V2QL/FQHK
vCBm7ZtHUg9TIqqg2ULopNlScM2sKU5+8BlZ4LpXDW4GWuM3Ta0wEBO260fH5RHTjj939YQf+83W
Ih57aG0oxNdDNIP6y+CtbFFc2flyNju7kP3N0OpoD2cuxIsrkJcemfxBKXDmCQop7Khmj3XJ3Hu8
zCW4sD7Rvu/zpppZTp2xvq+jyk4GCQKa3rKqTFgTzY0a/Mx2aLErcGyMxWXuDQ6/8QsGX4xQ+1Fb
DjmWk8EsMItsSmfC1hzbaDf4Y/cmnMF7cmeuU8or/xuvC3RG1CPf2SC52fSBGh7byIlOWshph+in
/gmuifbJrViXB4arl7Cfqi1h03CojRWEKV+os2uErh+JlmQL96yQmCHsTNMpklONk1E30L9IKRNL
m9fFUn01VYG5Fb1jHRfPHl6DCM6rPfZkqzqvfxI9i5Pf6zO66EVOfLNM38RAkcfza8UPIsB28gPL
PBtkGTMxLV7mg7nwc9ci/NJxQfz1Csc7DyZiCm0/ZeS2G9puC3UcselxK2Ut1AaR46yXpJBVuAmt
n1L8wG5p4WcKXNeT51H8qKQPpdd0kIgb/KVHuKvx4RP1mvuhZONrobHxe9W2t40XxFvsju5gLEZ/
trLjwN1KV3ynMiaPkALUUeo1zbSVUxw+hH3lHCdH8z5zbQmeHBOx+mEJp/6GQ/L0CRQVTsZqPPbw
bFn73S0BKUg9NpQPoTt2S+K6IERNuPDoHqy8kZuEoYUwtKl6O1Nu5z6HpR0ffOH4t0ETLncTsn5f
/CgAk1toYtYnjrDYkkpjkW9RLSmYsBw0iJZ2STJwt6BYqezVFYL410kPwv9hRkaHHK5K0+fIbgQ/
wFUUg7iIxXltN9M31UexyOuppD/oYuIa3jyI+MFLXOs49b3CfbOJsPqdrWQ8Ic9n5u8e7318ftTO
8AjB3PlMEE2YFAH3Km1urSFBgEr0HWdLcVeTEZtorpv6dpXBfMNOm75Bg8AAChNFI03sVuPCWAOE
rbBm6yiGWKqj3VCw6/pC9F1KZu4GALKI4s72EQKnfqRVuLMqV+y7ym6ho6S6BSVSF75+MBXIgKso
aune6XtnSLQf14jCnY40yRwxzlOGoidqX54zP4y+XbyKdmSfAjZ1dc7tolObaurnCK34PZiZ/aDE
N4h28rI6UPFJUFySmTKCw7v0nA7fpzACEnDMoI6N2Bh/xu7HYLDnyFLP5RbXZ9GmSqvZSYSQuLFq
I+EwmcAzz8LizWPndDEyGl6J672LgxH8/j48/9TMDSaVRIw91BEWLKOWb54VYJhqA13JTh1VPU4A
+Fud+Rl2rfyOjgDqZcTjZlP4wUw2qiLRfAtcguLJUnF/za5zr9+Z3lTkjsxd9dUnPftElr4E5CVs
wdRLK1LrDK8wsXajgfgFuI6pig9hB0L7k9t7Bd5t5t2NILLeFz7zDSS6CjvMqrkAKJ6BJsKkwyCL
lYFrLiAuUdN4I+0WGGx4tGzAjiBSZEX3W0nDJmb9Bw6r0r7Fb+W2gWzQJqCgYs8ttZh7D4RrI/rO
4/IXeEjdPlEoFj3HIHsqMzFP0X1k6Czg7ZS1TmtnGT8hk1sUezrUmL8ZfOM0wZYiWGYL1G24TyNv
B+ou7MUKPUTbwdeE7EzRzfTG1HpgGxSKpm80lNjCSGnSg1ogrLETcVMuqY1IH5xL82zMrm09C75q
V9MfoEArmhO8OCy2i3xCok3pvhgGtQts5cB9M5WDvVOzath79e8vFTjZe9HY5ZCrzsaWsCbRPAbd
oklSNstyGPEme5lle527XTTirKz3QdmWedXoHHpEwa8rUJPkC5Ijy1aURYCOIbfGvi9RAcOUGd/f
MySFjnMEAGQS2VO74QsiG7cKdQheacUerSloThyFBW9DrcZ7I9M0yszH9X7r+DJU+4J7aKpQIo6q
nK/7FUw9RZxjk+EpaGNyO3Lp1PC8CHbG4oZgBRonJAwS9CzbbVJ1I54H7ZufQU1dnYipVkfLtdw3
3DnrdWBj51EfRNFJ5BRLm4zOVNwBJyQ/jwwXjNX7ODOS99OyA2y0DrO2B/dQUoGy+YVSCJz50TB+
X/RYx1kkbJwTj07mp+jDEJzdRWFlIGWBi7Jw/IFwPPNzpflY8poO7MHHp39p3ah4jEM9z1AN6229
tv62p8YeQYQP4CJLqtKuwqTzQPXWh444BIUXv1XwVm8cgqOZLu0yPIezVeVzqPRn7Xn8E0Ifuh2Q
8a3SAnRufjIqCU5TiPORxCCQf6rdFQQV142FVwt5k2PETLMfNZgrtBymJ8WiahNqMsOH8uNeJRKU
tBl6CcfbUgTeQ1fMCA/IrLsxaZa6P0ReQX9K09LMLr3qOCxR+GP0o9JkZTTox56XwUPv+zMuY8O+
A2Fnfkau7DOQxzs7NeG+q4SgLAFik3/qCd5eyyk8mZWts9wSbaZXTD/Zq2hEiIlOkkTOUZc6eERO
yLRE2EQ2uRGT12x/+9ALmrxSJOLAEjGhIgoHzzzbIJbeoJrTbEduh9ugovG+mzv9wKq4vw1t5MGT
TgxW3heF2NPKhK/gjCU5YIcoPtcIzw3i61M7N8tnuGs4OKKY7uq6kanfBKh6eYPVg2NrxEGwNTgM
etLvgQLrwdaEjHorpUqGQZB95A7tcSymYLfoWWyHau52/eJYeScl28bjyG8mqcUpLIg+0GgQez7Q
ZoPABjTfK9bend3hNJCmPoRQHd8GqrU2gJ66GfK65Pt6dSMZRuxD3cYQnaYxPaqwwK2AuX4Zqdsc
mN8Xe9cEYQKn3csm1ix5iP2SUTOxbT9FQVIhnZQOymFPDtqbd2UVl6kr7XFfLeCEHPzmFypkX3ns
yX038h6HBME/GIFYzlo3yIjAe8fnor+flMUeyNyG6WItHNQ6HVA4pIDkNkRqU7vv6OsEmsiN8uv6
uWWmOEL1Rx/rDlXfgNQQh8O5QevJpEY0n0Dhxx7xKcpzhipHdrpMkYNz07Ex5r4brBcRC76VsTvs
dVz1eQC48mu1Bl11qxGYwbfbzMitodNpyCuFXRLRUX2R4A8F2pLEUBRhSNNUNn4PeTnzc4nA0ZbU
saX2apDxqeHT8BbOtLcTaJNG29rzBKgeomgbMWX2eFe8B7sLl2xuVbiPh+VHaTnNYbYbP3dxtO9C
hRAmtFEWcrkguykUA5bCarYN9LngTBSOUmknOpI0ZWjvZd/aP8tYVNAc6JT5ZmyL5/3cVHeDrWkq
gHr5PFpWDdlD4fDbwYHylQ69b00F58OhDTnUJStPyhm9VyNle5QxB4R08NUnOrrQJSdT+Gh0UHyb
LWvKq6gF/UaDTN4uQNILScQJ/SSMslPjht5RC8N/zMGKVkV14MYKAr4ZPUhZTEia3LqVy49LURQ3
rO7V16kn0403hfoOC0N2AVXVPZSZfgI1qQ9RMMgtArJ5x4f6/5g7k+W2kSQMv4rCd7KxEsREtyOa
hKjNktWS7WnPhQFTNAASG7Fwe5uOOfdt3kAvNl+BlASAtGg3fCBuEskqVFZWVq5/rkEcGbp9v6vz
Qpq0uvJNmYI3L0zee77w6irrBfiQSdYCIGmOYI9oPvPvdKZ3PmkzVzql/zg2b4LDqxfMdM/tu0Oz
e+nNceh2HFp04cf6jK9FP8/nqjZYrjX9bJXonT+6M2XV4wTLfW+y8gfzmWP2aQjkW5mLK1wDqf16
bayNK0oe4r43RKtIuNZ6TnepXMq5SpcQWaaSe5m750Fmzs/m2mR62nXm2Tv0ovmltJZx1npLjjui
iOrZJJ1ZYE+Ba6OsV1daEK9OyXVejVo0ch8lmbr62qJ78gBD0Jew9pUYNSbDW42W6dz6w0QfONHE
uYBDJ/+JJ63wCrzYpD9ZBf6s5yq+b63mXc+aSS0qWuWpd9bVtfnI09LP8hoXO6nhw/48C6KL1bqV
3pEHG54HEDrq5VI+N2k7vdD+DAKFU+pnK+eylbvJYEJ2zKk5TLTzgDDYXZRND+biF6HhesCOoi/w
jQDIUOgTWw3te6qUAwziuNY6W2huzyM8M5I471eGoUzf4cKVLtZDDVUoj1pnrXhlvJ8EGi0X4lRH
x5Izrn7HMK5TXXc/xBPFWk+0pUUgz+nL8PBnz/OJQYereHbhrcMUCA4pDN4pqemMQmDTxp6UDK/9
CPPDmhKQ+JhLndmhCOi+gH+X+5WOFOTHE3GtLnGlKFMygmPXmovskumXqWdPAaB7Pfa5L8za1ejU
KDBIKT2r5S2ErtRKFhlHgevX0vEST5GFqvHndB0cCL3vXU5pptqO0VEw9bU1+QvrLLxeRJgR3sCP
k0OxXDHMDmO8TFNkkpZyPpw8ISBhBq6l9vwL5Ws8UK+S987p0Fp9xqHwAWRVa3W1vsYs+nKoEcuB
FRYolKWpqdhLMi/NXStFa4iTCX2/hU2WXby+Zfsi8KUtKzLkS9MoFDib7ootS+ZCg8CFOr17fYbd
dFASM8pT1BK25uGy48xSpphop8vb/By31eXw0r+nDJ3cSGcs3Xd62p9r0FIA1vIGBxFw9iWGlOcX
JCgtMVvMKFRV4RWRhKoKyCJincmFR17mBzqmXoXvqVl7N7ENagyi++VZC5SxJR4Za3m2/Di9z7/8
cPu1GkHE1pdeaKpoS03xxFkkvChNHcsxA9KWRgfovi/5przuWtLDxI8Wc0nQ3b+Y3C4J2s363vns
bJVZ+o1H61Q16blLigFW5y06qh4i+yHGEm9XWqTpO9kiN6F6hyA0bUfxZhxa4AFxU6Trl6YwpCSf
oM6JBWr45MMBRlB6PT2jJc2oa2XkGGd36eycuMKhcgN57+mkhM9E0Iks57r8MTsZPhIEw+w0P12+
S29W4+VVck46fhe8Ee1c+eLdH8qr3rvclznrwijqqhN9GOJcJ0JzOpsHA7OLEpct1c+SE3x6nXn2
zkWNIhmjIKJR/1rdPcNcZ10dz6AVyArgFHFPkj653W5Pz+P+6zPtpaToqCeTNS5ab1ZnivFrzqfE
FGiSjPKo9uLlRS7br8+xW+fDiTMFRAIGk6iwrYkgyc3Jd8whnX/BQTAGonfwzCL/XqfP+WGY1928
/9p8NZGjT8y4I2XMJ1CTwsHwUzjAOOlcwqJnZOhop50BgZVJf0Iu/sXyLLvu3h3K991H1/KSa3TV
MTlkdEDXckkrFeqcT7DKJRnnddLuO+blaQQjlc8gJsgkX7FSc/jRD8bxIZSffYxYHr8mRgKcJUMp
hz0iNeqZAFxqmGFOPrM6RGd+eCkURhrA+ahkiNFno7qUKaklrhKQu66490ZCxcYyH7w+w549Kc9g
1pQwbx2knjlnBm8oAScpOkaEGEtOw2lqWXWxS7MkKWEaR1n3Jqwimbk97P0fT96rrEakwZW2fqn4
3kTHZLH8mZXkDwZ5OP+AXB1A80EyABJTr+29GieSrxoxGzIbJ36Ie/NmFck/Ln9AEniZpCbpzMDR
9YXLKtJJ0mtNIqvVuVmlbsNZarw1XHjD9UL3HQqnYqenuvK9FwFFuzQOVXvvZbGX5dSx4RQAOydG
zHKwyPsSKE3EbfuU6BzYmj3HEqoZeocuK9QS1JNRwdJtLUiVYO/BmEgmw3tpYdyS8232D8mxPQIG
sDLqbTWZxidkrle5TE2m/tKPKfUw8FZetwwZC8yTv77OaXsnIa0WkBsgiHfwX/OOv5wuZkSPFbJ1
Mm35hzPrHLqDDs1ROy5BmueerlNHIl26DwLaPP1o3qRWaLvn6b1olycfUO13i4k7qkGtMn0nJHJr
OatV0q1jVZ7LonLFoy92YP2nY5NKeuFdzANLG5iXIOp8PKQY7eML6Afusa7vKZGmfNfJQL5yLNeX
rqZqfD4EyjpvDfHzbaTPL6Plv5xxdLuxwtK3v/L3KIpXRC7drPbn22tvlERp9DX7Vfzs+WvVH719
H4/D+ywZj7NrO65/s/JDxt/Ob9mZXfnjNMy8bPVHPk5Wd+M097PXP928KQsRA91GXph9iHaG+K4v
FYv55kAn4+K9Pqzi8W9vRkR9MvF+jheFb7YfXTz89kZ0UfllZ6BiMa8N4NusOX9g5JYstdXiEdDg
fhQ6Tx/oahuvCQ9IhsWzmapExm+tfud99lDo9e9U3t1+CLzQ8vCBeqOsvHhRj8QN+D3rr41RWr+i
tnUcRJ0CWVeskxHLZNA6bTQGWqoJi0A8XCPMeERkQHQ2JYLZNqnt7EoaSMnFgywuE6FjtLugL6A7
gTklHgTOcRGBrgSbjdlImefDuXsUvs0KZptLT8IfuGV4MWKZCqrexs2GEKQ543GyAibrdwqEb1NB
ZpU09aOakHuuvHwNJqC8jO661M2JZ3P2jugkqAZtmBqeBalNATnVRKWnxga63KaqhVok5VjpAJwf
dnAzuSgryAQWyXmosoHabdPFReBpA4RSPEcnCyhSbbp8tU1jHnHMESzFU7sdO/AJTVgU4UV5+vy4
JCJwPaoi+lo14wO1TS4ArfToDrh5avejYAfauQGecXT6gRBhjcWhgn6EPWSg2264vSYNtOJzihI7
iMvj4gA4WDQZa7b/MvoPuafYGC9qYOVWMNvCryJwRJ/pc1xkINIhWhY1JIPe7oBdCtg+hlF5/Xqn
DSKGIhAZj3b9yk84Bm3a4GqscCsFdtRkjWPCOenS26h40CCPjQ3opNOUDZAGgCxgd2/14DoZdA02
ISHe5EAUz9HpSKIWt7lQNNr49AlBCdd+8VQPhcalgFdH1GxvyLC5ho5MVWxMBhm7Cd8VZNiyQ+1u
1NQ2IBPEJ4ABLJ6jJMPm3vrndpPS5tCLY/+kD9ZuSFQlPLy0PsOmKJ7jOxM0UWl+Q7Q1vKVcNRuv
ya4jodvGx0mNP/GHpzNzZBISVCX2rtlFabRlsO+75hPL1yWkqrW7NHil5fTW13B0Z8JUQeUVCHDN
CKHoMAQeFe6K5/0uKw4aihM9RmQZAXGs/ADuZlMydNv4CwA7gQ7Pp79MBviBvsmiQdtWgTo6xUF4
FRqbUXobvG7arz2TgcunTAYNKSp6o5I3d6zcAMJUY+mg4FXAUkA4bl1oNecCNyYqNp0Cn4To0UkH
UiaUpjdmS2ezddb4bDTA9GVuwNNIvIrumdidR3plQobGtqUqnG0mxQI1jQEPm4LIoO3lVmhsNLUj
Uh9NYABNozEBum06bgp14BvOlQ4KJHl6mNZb4/voVCfRmnTzUv9cgRQxKNHOAA2ypkCrRpt/C2Vi
I3mOiANAQBNw/s10BBZOtQTiruRLLcsB7ChgCdXCwfajcuA7aPUcpuy7nv9QRDG9cVoKhR78wlMY
b3eAapCy8j0R09yM/BLjfFsJSBThtdKHT+G2Yprtz7fr2525MtfTop7+ee6NEzsZUf1fhFe3b3lj
B8RCfx8l43J8sQisvbzFb28q71ja+1cH9W0nstPyuJtYVeOBA3sdhbWRC89305F7tuvZ5RfexBOa
DjsYP0B7/2RfKHcTuGo6AwWFj38nXhad3NthFpWXsPUFN52BcsPHv6qbuXGyNh342k7s0H38b+Wl
AbkVnrvmY0ORM/Ip0ujkAdrk/tOYIoUAJ43wi/3ESZ4G24xeOF+bjn5rJ49/VcbdmOw/YVz78e8v
NW4vzODGQ4+T0A6+5KPqluqFTdV08DuPrRyfXNrh2EuqE2zU9J8xwRksySSwzE2UZBXRuNWCf+4s
dcbcqJhN5xCiwD7pk62TeGF1ozeu0MYTcGpPbu3cr+7DJjml8eDjxPHiCu23KlfTkT9EIyjjhRVp
ttVqmo79e2DH1fO6Dc03HfiaLUxPzrhHvOp7Y6P/BEl569n5499lObM1/pu+913EGwcV7hMjY0g2
Hzl8ePxfWL2wn82TpqMjd+2wupPP7rGmY/fHdaH+HLJ+feh9mt9zRtauPljL6vvWF9BIxcAjn9d6
+38AAAD//w==</cx:binary>
              </cx:geoCache>
            </cx:geography>
          </cx:layoutPr>
          <cx:valueColors>
            <cx:minColor>
              <a:schemeClr val="accent2">
                <a:lumMod val="40000"/>
                <a:lumOff val="60000"/>
              </a:schemeClr>
            </cx:minColor>
            <cx:maxColor>
              <a:schemeClr val="accent2">
                <a:lumMod val="50000"/>
              </a:schemeClr>
            </cx:maxColor>
          </cx:valueColors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chart" Target="../charts/chart5.xml"/><Relationship Id="rId7" Type="http://schemas.openxmlformats.org/officeDocument/2006/relationships/image" Target="../media/image2.png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6" Type="http://schemas.microsoft.com/office/2014/relationships/chartEx" Target="../charts/chartEx2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68582</xdr:colOff>
      <xdr:row>1</xdr:row>
      <xdr:rowOff>1</xdr:rowOff>
    </xdr:from>
    <xdr:to>
      <xdr:col>3</xdr:col>
      <xdr:colOff>533400</xdr:colOff>
      <xdr:row>3</xdr:row>
      <xdr:rowOff>171868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6B8A0DC-FF8A-8EC2-783B-74D0932A6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2" y="129541"/>
          <a:ext cx="2278378" cy="5376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137160</xdr:rowOff>
    </xdr:from>
    <xdr:to>
      <xdr:col>9</xdr:col>
      <xdr:colOff>419100</xdr:colOff>
      <xdr:row>16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7EF11D-117B-33FC-5F56-AAF42B00A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4</xdr:row>
      <xdr:rowOff>76200</xdr:rowOff>
    </xdr:from>
    <xdr:to>
      <xdr:col>10</xdr:col>
      <xdr:colOff>220980</xdr:colOff>
      <xdr:row>19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FF5AFE-2FB6-A5CA-15A2-FC1AB7C13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4</xdr:row>
      <xdr:rowOff>137160</xdr:rowOff>
    </xdr:from>
    <xdr:to>
      <xdr:col>9</xdr:col>
      <xdr:colOff>579120</xdr:colOff>
      <xdr:row>19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EFD521-FE36-66BF-392D-4D0F678CB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5</xdr:row>
      <xdr:rowOff>91440</xdr:rowOff>
    </xdr:from>
    <xdr:to>
      <xdr:col>15</xdr:col>
      <xdr:colOff>152400</xdr:colOff>
      <xdr:row>20</xdr:row>
      <xdr:rowOff>91440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58CC490-0E73-2BDF-FE4A-9968229735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00" y="10058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83820</xdr:rowOff>
    </xdr:from>
    <xdr:to>
      <xdr:col>4</xdr:col>
      <xdr:colOff>220978</xdr:colOff>
      <xdr:row>4</xdr:row>
      <xdr:rowOff>11847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2AF264-A62A-4688-A70D-27A78C544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" y="83820"/>
          <a:ext cx="2278378" cy="537627"/>
        </a:xfrm>
        <a:prstGeom prst="rect">
          <a:avLst/>
        </a:prstGeom>
      </xdr:spPr>
    </xdr:pic>
    <xdr:clientData/>
  </xdr:twoCellAnchor>
  <xdr:twoCellAnchor>
    <xdr:from>
      <xdr:col>4</xdr:col>
      <xdr:colOff>289560</xdr:colOff>
      <xdr:row>0</xdr:row>
      <xdr:rowOff>114300</xdr:rowOff>
    </xdr:from>
    <xdr:to>
      <xdr:col>4</xdr:col>
      <xdr:colOff>289560</xdr:colOff>
      <xdr:row>3</xdr:row>
      <xdr:rowOff>137160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943AA556-E07B-E2C8-C052-0A6961A1E41A}"/>
            </a:ext>
          </a:extLst>
        </xdr:cNvPr>
        <xdr:cNvCxnSpPr/>
      </xdr:nvCxnSpPr>
      <xdr:spPr>
        <a:xfrm>
          <a:off x="2453640" y="114300"/>
          <a:ext cx="0" cy="48006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5</xdr:col>
      <xdr:colOff>2318</xdr:colOff>
      <xdr:row>0</xdr:row>
      <xdr:rowOff>76123</xdr:rowOff>
    </xdr:from>
    <xdr:ext cx="6947122" cy="588879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F816E35-3376-E8BB-69F0-174043D67256}"/>
            </a:ext>
          </a:extLst>
        </xdr:cNvPr>
        <xdr:cNvSpPr txBox="1"/>
      </xdr:nvSpPr>
      <xdr:spPr>
        <a:xfrm>
          <a:off x="2707418" y="76123"/>
          <a:ext cx="6947122" cy="5888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3200" b="1">
              <a:solidFill>
                <a:schemeClr val="accent6"/>
              </a:solidFill>
              <a:latin typeface="Inter Tight" pitchFamily="2" charset="0"/>
              <a:ea typeface="Inter Tight" pitchFamily="2" charset="0"/>
              <a:cs typeface="Inter Tight" pitchFamily="2" charset="0"/>
            </a:rPr>
            <a:t>Dashboar</a:t>
          </a:r>
          <a:r>
            <a:rPr lang="en-US" sz="3200" b="1" baseline="0">
              <a:solidFill>
                <a:schemeClr val="accent6"/>
              </a:solidFill>
              <a:latin typeface="Inter Tight" pitchFamily="2" charset="0"/>
              <a:ea typeface="Inter Tight" pitchFamily="2" charset="0"/>
              <a:cs typeface="Inter Tight" pitchFamily="2" charset="0"/>
            </a:rPr>
            <a:t>d de Vendas 2022 - 2023</a:t>
          </a:r>
          <a:endParaRPr lang="en-US" sz="3200" b="1">
            <a:solidFill>
              <a:schemeClr val="accent6"/>
            </a:solidFill>
            <a:latin typeface="Inter Tight" pitchFamily="2" charset="0"/>
            <a:ea typeface="Inter Tight" pitchFamily="2" charset="0"/>
            <a:cs typeface="Inter Tight" pitchFamily="2" charset="0"/>
          </a:endParaRPr>
        </a:p>
      </xdr:txBody>
    </xdr:sp>
    <xdr:clientData/>
  </xdr:oneCellAnchor>
  <xdr:twoCellAnchor>
    <xdr:from>
      <xdr:col>0</xdr:col>
      <xdr:colOff>30480</xdr:colOff>
      <xdr:row>5</xdr:row>
      <xdr:rowOff>45719</xdr:rowOff>
    </xdr:from>
    <xdr:to>
      <xdr:col>3</xdr:col>
      <xdr:colOff>426720</xdr:colOff>
      <xdr:row>33</xdr:row>
      <xdr:rowOff>144780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FBD2A7C9-A017-553B-A62A-917E778B83AA}"/>
            </a:ext>
          </a:extLst>
        </xdr:cNvPr>
        <xdr:cNvSpPr/>
      </xdr:nvSpPr>
      <xdr:spPr>
        <a:xfrm>
          <a:off x="30480" y="807719"/>
          <a:ext cx="2019300" cy="4366261"/>
        </a:xfrm>
        <a:prstGeom prst="roundRect">
          <a:avLst>
            <a:gd name="adj" fmla="val 6733"/>
          </a:avLst>
        </a:prstGeom>
        <a:solidFill>
          <a:schemeClr val="accent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6"/>
              </a:solidFill>
              <a:latin typeface="Inter Tight" pitchFamily="2" charset="0"/>
              <a:ea typeface="Inter Tight" pitchFamily="2" charset="0"/>
              <a:cs typeface="Inter Tight" pitchFamily="2" charset="0"/>
            </a:rPr>
            <a:t>Filtros</a:t>
          </a:r>
          <a:endParaRPr lang="en-US" sz="1100" b="1">
            <a:solidFill>
              <a:schemeClr val="accent6"/>
            </a:solidFill>
            <a:latin typeface="Inter Tight" pitchFamily="2" charset="0"/>
            <a:ea typeface="Inter Tight" pitchFamily="2" charset="0"/>
            <a:cs typeface="Inter Tight" pitchFamily="2" charset="0"/>
          </a:endParaRPr>
        </a:p>
      </xdr:txBody>
    </xdr:sp>
    <xdr:clientData/>
  </xdr:twoCellAnchor>
  <xdr:twoCellAnchor>
    <xdr:from>
      <xdr:col>4</xdr:col>
      <xdr:colOff>30480</xdr:colOff>
      <xdr:row>18</xdr:row>
      <xdr:rowOff>38100</xdr:rowOff>
    </xdr:from>
    <xdr:to>
      <xdr:col>18</xdr:col>
      <xdr:colOff>480060</xdr:colOff>
      <xdr:row>33</xdr:row>
      <xdr:rowOff>137160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97AAB8D-ABB0-D713-CF02-9C1A4405CBD8}"/>
            </a:ext>
          </a:extLst>
        </xdr:cNvPr>
        <xdr:cNvSpPr/>
      </xdr:nvSpPr>
      <xdr:spPr>
        <a:xfrm>
          <a:off x="2194560" y="2781300"/>
          <a:ext cx="8023860" cy="2385060"/>
        </a:xfrm>
        <a:prstGeom prst="roundRect">
          <a:avLst>
            <a:gd name="adj" fmla="val 6733"/>
          </a:avLst>
        </a:prstGeom>
        <a:solidFill>
          <a:schemeClr val="accent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6"/>
              </a:solidFill>
              <a:latin typeface="Inter Tight" pitchFamily="2" charset="0"/>
              <a:ea typeface="Inter Tight" pitchFamily="2" charset="0"/>
              <a:cs typeface="Inter Tight" pitchFamily="2" charset="0"/>
            </a:rPr>
            <a:t>Volume</a:t>
          </a:r>
          <a:r>
            <a:rPr lang="en-US" sz="1800" b="1" baseline="0">
              <a:solidFill>
                <a:schemeClr val="accent6"/>
              </a:solidFill>
              <a:latin typeface="Inter Tight" pitchFamily="2" charset="0"/>
              <a:ea typeface="Inter Tight" pitchFamily="2" charset="0"/>
              <a:cs typeface="Inter Tight" pitchFamily="2" charset="0"/>
            </a:rPr>
            <a:t> de Vendas 2022 - 2023</a:t>
          </a:r>
          <a:endParaRPr lang="en-US" sz="1100" b="1">
            <a:solidFill>
              <a:schemeClr val="accent6"/>
            </a:solidFill>
            <a:latin typeface="Inter Tight" pitchFamily="2" charset="0"/>
            <a:ea typeface="Inter Tight" pitchFamily="2" charset="0"/>
            <a:cs typeface="Inter Tight" pitchFamily="2" charset="0"/>
          </a:endParaRPr>
        </a:p>
      </xdr:txBody>
    </xdr:sp>
    <xdr:clientData/>
  </xdr:twoCellAnchor>
  <xdr:twoCellAnchor>
    <xdr:from>
      <xdr:col>9</xdr:col>
      <xdr:colOff>55470</xdr:colOff>
      <xdr:row>5</xdr:row>
      <xdr:rowOff>45720</xdr:rowOff>
    </xdr:from>
    <xdr:to>
      <xdr:col>18</xdr:col>
      <xdr:colOff>466950</xdr:colOff>
      <xdr:row>17</xdr:row>
      <xdr:rowOff>123848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8D3D1FBB-A275-EC86-C160-6B267BEE1CC3}"/>
            </a:ext>
          </a:extLst>
        </xdr:cNvPr>
        <xdr:cNvSpPr/>
      </xdr:nvSpPr>
      <xdr:spPr>
        <a:xfrm>
          <a:off x="4924650" y="807720"/>
          <a:ext cx="5280660" cy="1906928"/>
        </a:xfrm>
        <a:prstGeom prst="roundRect">
          <a:avLst>
            <a:gd name="adj" fmla="val 6733"/>
          </a:avLst>
        </a:prstGeom>
        <a:solidFill>
          <a:schemeClr val="accent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6"/>
              </a:solidFill>
              <a:latin typeface="Inter Tight" pitchFamily="2" charset="0"/>
              <a:ea typeface="Inter Tight" pitchFamily="2" charset="0"/>
              <a:cs typeface="Inter Tight" pitchFamily="2" charset="0"/>
            </a:rPr>
            <a:t>Canal</a:t>
          </a:r>
          <a:r>
            <a:rPr lang="en-US" sz="1800" b="1" baseline="0">
              <a:solidFill>
                <a:schemeClr val="accent6"/>
              </a:solidFill>
              <a:latin typeface="Inter Tight" pitchFamily="2" charset="0"/>
              <a:ea typeface="Inter Tight" pitchFamily="2" charset="0"/>
              <a:cs typeface="Inter Tight" pitchFamily="2" charset="0"/>
            </a:rPr>
            <a:t> de Venda</a:t>
          </a:r>
          <a:endParaRPr lang="en-US" sz="1100" b="1">
            <a:solidFill>
              <a:schemeClr val="accent6"/>
            </a:solidFill>
            <a:latin typeface="Inter Tight" pitchFamily="2" charset="0"/>
            <a:ea typeface="Inter Tight" pitchFamily="2" charset="0"/>
            <a:cs typeface="Inter Tight" pitchFamily="2" charset="0"/>
          </a:endParaRPr>
        </a:p>
      </xdr:txBody>
    </xdr:sp>
    <xdr:clientData/>
  </xdr:twoCellAnchor>
  <xdr:twoCellAnchor>
    <xdr:from>
      <xdr:col>19</xdr:col>
      <xdr:colOff>60345</xdr:colOff>
      <xdr:row>5</xdr:row>
      <xdr:rowOff>45720</xdr:rowOff>
    </xdr:from>
    <xdr:to>
      <xdr:col>25</xdr:col>
      <xdr:colOff>481054</xdr:colOff>
      <xdr:row>33</xdr:row>
      <xdr:rowOff>53974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C8433F99-D9D0-7002-6BC1-474DE610706B}"/>
            </a:ext>
          </a:extLst>
        </xdr:cNvPr>
        <xdr:cNvSpPr/>
      </xdr:nvSpPr>
      <xdr:spPr>
        <a:xfrm>
          <a:off x="10339725" y="807720"/>
          <a:ext cx="3666829" cy="4275454"/>
        </a:xfrm>
        <a:prstGeom prst="roundRect">
          <a:avLst>
            <a:gd name="adj" fmla="val 6733"/>
          </a:avLst>
        </a:prstGeom>
        <a:solidFill>
          <a:schemeClr val="accent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6"/>
              </a:solidFill>
              <a:latin typeface="Inter Tight" pitchFamily="2" charset="0"/>
              <a:ea typeface="Inter Tight" pitchFamily="2" charset="0"/>
              <a:cs typeface="Inter Tight" pitchFamily="2" charset="0"/>
            </a:rPr>
            <a:t>Vendas</a:t>
          </a:r>
          <a:r>
            <a:rPr lang="en-US" sz="1800" b="1" baseline="0">
              <a:solidFill>
                <a:schemeClr val="accent6"/>
              </a:solidFill>
              <a:latin typeface="Inter Tight" pitchFamily="2" charset="0"/>
              <a:ea typeface="Inter Tight" pitchFamily="2" charset="0"/>
              <a:cs typeface="Inter Tight" pitchFamily="2" charset="0"/>
            </a:rPr>
            <a:t> por </a:t>
          </a:r>
          <a:r>
            <a:rPr lang="en-US" sz="1800" b="1">
              <a:solidFill>
                <a:schemeClr val="accent6"/>
              </a:solidFill>
              <a:latin typeface="Inter Tight" pitchFamily="2" charset="0"/>
              <a:ea typeface="Inter Tight" pitchFamily="2" charset="0"/>
              <a:cs typeface="Inter Tight" pitchFamily="2" charset="0"/>
            </a:rPr>
            <a:t>Estados</a:t>
          </a:r>
          <a:endParaRPr lang="en-US" sz="1100" b="1">
            <a:solidFill>
              <a:schemeClr val="accent6"/>
            </a:solidFill>
            <a:latin typeface="Inter Tight" pitchFamily="2" charset="0"/>
            <a:ea typeface="Inter Tight" pitchFamily="2" charset="0"/>
            <a:cs typeface="Inter Tight" pitchFamily="2" charset="0"/>
          </a:endParaRPr>
        </a:p>
      </xdr:txBody>
    </xdr:sp>
    <xdr:clientData/>
  </xdr:twoCellAnchor>
  <xdr:twoCellAnchor>
    <xdr:from>
      <xdr:col>4</xdr:col>
      <xdr:colOff>20115</xdr:colOff>
      <xdr:row>5</xdr:row>
      <xdr:rowOff>45721</xdr:rowOff>
    </xdr:from>
    <xdr:to>
      <xdr:col>8</xdr:col>
      <xdr:colOff>462075</xdr:colOff>
      <xdr:row>17</xdr:row>
      <xdr:rowOff>116281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7E55E9AA-BBD5-EFD4-9422-7FF0EF26757C}"/>
            </a:ext>
          </a:extLst>
        </xdr:cNvPr>
        <xdr:cNvSpPr/>
      </xdr:nvSpPr>
      <xdr:spPr>
        <a:xfrm>
          <a:off x="2184195" y="807721"/>
          <a:ext cx="2606040" cy="1899360"/>
        </a:xfrm>
        <a:prstGeom prst="roundRect">
          <a:avLst>
            <a:gd name="adj" fmla="val 6733"/>
          </a:avLst>
        </a:prstGeom>
        <a:solidFill>
          <a:schemeClr val="accent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accent6"/>
              </a:solidFill>
              <a:latin typeface="Inter Tight" pitchFamily="2" charset="0"/>
              <a:ea typeface="Inter Tight" pitchFamily="2" charset="0"/>
              <a:cs typeface="Inter Tight" pitchFamily="2" charset="0"/>
            </a:rPr>
            <a:t>Revendedores</a:t>
          </a:r>
        </a:p>
      </xdr:txBody>
    </xdr:sp>
    <xdr:clientData/>
  </xdr:twoCellAnchor>
  <xdr:twoCellAnchor>
    <xdr:from>
      <xdr:col>5</xdr:col>
      <xdr:colOff>7620</xdr:colOff>
      <xdr:row>20</xdr:row>
      <xdr:rowOff>40660</xdr:rowOff>
    </xdr:from>
    <xdr:to>
      <xdr:col>11</xdr:col>
      <xdr:colOff>274320</xdr:colOff>
      <xdr:row>34</xdr:row>
      <xdr:rowOff>99060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2BB7FDF7-A0B6-4939-A508-FBC6D013F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137160</xdr:colOff>
      <xdr:row>6</xdr:row>
      <xdr:rowOff>137160</xdr:rowOff>
    </xdr:from>
    <xdr:to>
      <xdr:col>18</xdr:col>
      <xdr:colOff>266700</xdr:colOff>
      <xdr:row>17</xdr:row>
      <xdr:rowOff>106680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D667DCD-919B-4B49-9AA6-56372367A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358140</xdr:colOff>
      <xdr:row>21</xdr:row>
      <xdr:rowOff>7620</xdr:rowOff>
    </xdr:from>
    <xdr:to>
      <xdr:col>18</xdr:col>
      <xdr:colOff>381000</xdr:colOff>
      <xdr:row>35</xdr:row>
      <xdr:rowOff>167640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446C1D1-9DC8-455D-8A90-6C72D7016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182880</xdr:colOff>
      <xdr:row>5</xdr:row>
      <xdr:rowOff>129540</xdr:rowOff>
    </xdr:from>
    <xdr:to>
      <xdr:col>8</xdr:col>
      <xdr:colOff>480060</xdr:colOff>
      <xdr:row>18</xdr:row>
      <xdr:rowOff>83820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F7E6F06-E39E-49C2-BB48-03FE500A3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129208</xdr:colOff>
      <xdr:row>5</xdr:row>
      <xdr:rowOff>144780</xdr:rowOff>
    </xdr:from>
    <xdr:to>
      <xdr:col>25</xdr:col>
      <xdr:colOff>510540</xdr:colOff>
      <xdr:row>32</xdr:row>
      <xdr:rowOff>15240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B003A1DA-4791-4CB7-ACE1-C03E0776AE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08588" y="906780"/>
              <a:ext cx="3627452" cy="3985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122708</xdr:colOff>
      <xdr:row>14</xdr:row>
      <xdr:rowOff>15241</xdr:rowOff>
    </xdr:from>
    <xdr:to>
      <xdr:col>3</xdr:col>
      <xdr:colOff>326873</xdr:colOff>
      <xdr:row>32</xdr:row>
      <xdr:rowOff>144780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Produto">
              <a:extLst>
                <a:ext uri="{FF2B5EF4-FFF2-40B4-BE49-F238E27FC236}">
                  <a16:creationId xmlns:a16="http://schemas.microsoft.com/office/drawing/2014/main" id="{7F17656A-F146-E29C-520E-44113C6661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708" y="2148841"/>
              <a:ext cx="1827225" cy="28727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121920</xdr:colOff>
      <xdr:row>8</xdr:row>
      <xdr:rowOff>38101</xdr:rowOff>
    </xdr:from>
    <xdr:to>
      <xdr:col>3</xdr:col>
      <xdr:colOff>327660</xdr:colOff>
      <xdr:row>12</xdr:row>
      <xdr:rowOff>83820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Anos">
              <a:extLst>
                <a:ext uri="{FF2B5EF4-FFF2-40B4-BE49-F238E27FC236}">
                  <a16:creationId xmlns:a16="http://schemas.microsoft.com/office/drawing/2014/main" id="{C6633252-341D-E042-3A9C-1E3A994593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1257301"/>
              <a:ext cx="1828800" cy="6553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5</xdr:row>
      <xdr:rowOff>137160</xdr:rowOff>
    </xdr:from>
    <xdr:to>
      <xdr:col>3</xdr:col>
      <xdr:colOff>342900</xdr:colOff>
      <xdr:row>8</xdr:row>
      <xdr:rowOff>22860</xdr:rowOff>
    </xdr:to>
    <xdr:pic>
      <xdr:nvPicPr>
        <xdr:cNvPr id="12" name="Gráfico 11" descr="Filtro">
          <a:extLst>
            <a:ext uri="{FF2B5EF4-FFF2-40B4-BE49-F238E27FC236}">
              <a16:creationId xmlns:a16="http://schemas.microsoft.com/office/drawing/2014/main" id="{DE4E37DA-E981-F18E-FA80-D0DC846B3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623060" y="899160"/>
          <a:ext cx="342900" cy="3429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phael" refreshedDate="44982.90098460648" createdVersion="8" refreshedVersion="8" minRefreshableVersion="3" recordCount="2105" xr:uid="{1F9B90E5-2B1E-4555-838A-DF0C591BD401}">
  <cacheSource type="worksheet">
    <worksheetSource ref="B6:M2111" sheet="ExtraçãoDados"/>
  </cacheSource>
  <cacheFields count="14">
    <cacheField name="Lojista" numFmtId="0">
      <sharedItems count="5">
        <s v="Americanas"/>
        <s v="Kalunga"/>
        <s v="Fast Shop"/>
        <s v="Carrefour"/>
        <s v="Magazine Luiza"/>
      </sharedItems>
    </cacheField>
    <cacheField name="Categoria" numFmtId="0">
      <sharedItems count="2">
        <s v="Loja Fisica"/>
        <s v="E-Commerce"/>
      </sharedItems>
    </cacheField>
    <cacheField name="Data" numFmtId="14">
      <sharedItems containsSemiMixedTypes="0" containsNonDate="0" containsDate="1" containsString="0" minDate="2022-01-01T00:00:00" maxDate="2023-08-28T00:00:00" count="106">
        <d v="2022-01-01T00:00:00"/>
        <d v="2022-01-16T00:00:00"/>
        <d v="2022-01-23T00:00:00"/>
        <d v="2022-01-30T00:00:00"/>
        <d v="2022-02-06T00:00:00"/>
        <d v="2022-02-13T00:00:00"/>
        <d v="2022-02-20T00:00:00"/>
        <d v="2022-02-27T00:00:00"/>
        <d v="2022-03-06T00:00:00"/>
        <d v="2022-03-13T00:00:00"/>
        <d v="2022-03-20T00:00:00"/>
        <d v="2022-03-27T00:00:00"/>
        <d v="2022-04-03T00:00:00"/>
        <d v="2022-04-10T00:00:00"/>
        <d v="2022-04-17T00:00:00"/>
        <d v="2022-04-24T00:00:00"/>
        <d v="2022-05-01T00:00:00"/>
        <d v="2022-05-08T00:00:00"/>
        <d v="2022-05-15T00:00:00"/>
        <d v="2022-05-22T00:00:00"/>
        <d v="2022-05-29T00:00:00"/>
        <d v="2022-06-05T00:00:00"/>
        <d v="2022-06-12T00:00:00"/>
        <d v="2022-06-19T00:00:00"/>
        <d v="2022-06-26T00:00:00"/>
        <d v="2022-07-03T00:00:00"/>
        <d v="2022-07-10T00:00:00"/>
        <d v="2022-07-17T00:00:00"/>
        <d v="2022-07-24T00:00:00"/>
        <d v="2022-07-31T00:00:00"/>
        <d v="2022-08-07T00:00:00"/>
        <d v="2022-08-14T00:00:00"/>
        <d v="2022-08-21T00:00:00"/>
        <d v="2022-08-28T00:00:00"/>
        <d v="2022-09-04T00:00:00"/>
        <d v="2022-09-11T00:00:00"/>
        <d v="2022-09-18T00:00:00"/>
        <d v="2022-09-25T00:00:00"/>
        <d v="2022-10-02T00:00:00"/>
        <d v="2022-10-09T00:00:00"/>
        <d v="2022-10-16T00:00:00"/>
        <d v="2022-10-23T00:00:00"/>
        <d v="2022-10-30T00:00:00"/>
        <d v="2022-11-06T00:00:00"/>
        <d v="2022-11-13T00:00:00"/>
        <d v="2022-11-20T00:00:00"/>
        <d v="2022-11-27T00:00:00"/>
        <d v="2022-12-04T00:00:00"/>
        <d v="2022-12-11T00:00:00"/>
        <d v="2022-12-18T00:00:00"/>
        <d v="2022-12-25T00:00:00"/>
        <d v="2023-01-01T00:00:00"/>
        <d v="2023-01-08T00:00:00"/>
        <d v="2023-01-15T00:00:00"/>
        <d v="2023-01-22T00:00:00"/>
        <d v="2023-01-29T00:00:00"/>
        <d v="2023-02-05T00:00:00"/>
        <d v="2023-02-12T00:00:00"/>
        <d v="2023-02-19T00:00:00"/>
        <d v="2023-02-26T00:00:00"/>
        <d v="2023-03-05T00:00:00"/>
        <d v="2023-03-12T00:00:00"/>
        <d v="2023-03-19T00:00:00"/>
        <d v="2023-03-26T00:00:00"/>
        <d v="2023-04-02T00:00:00"/>
        <d v="2023-04-09T00:00:00"/>
        <d v="2023-04-16T00:00:00"/>
        <d v="2023-04-23T00:00:00"/>
        <d v="2023-04-30T00:00:00"/>
        <d v="2023-05-07T00:00:00"/>
        <d v="2023-05-14T00:00:00"/>
        <d v="2023-05-21T00:00:00"/>
        <d v="2023-05-28T00:00:00"/>
        <d v="2023-06-04T00:00:00"/>
        <d v="2023-06-11T00:00:00"/>
        <d v="2023-06-18T00:00:00"/>
        <d v="2023-06-25T00:00:00"/>
        <d v="2023-07-02T00:00:00"/>
        <d v="2023-07-09T00:00:00"/>
        <d v="2023-07-16T00:00:00"/>
        <d v="2023-07-23T00:00:00"/>
        <d v="2023-07-30T00:00:00"/>
        <d v="2023-08-06T00:00:00"/>
        <d v="2023-08-13T00:00:00"/>
        <d v="2023-08-20T00:00:00"/>
        <d v="2023-08-27T00:00:00"/>
        <d v="2023-08-01T00:00:00"/>
        <d v="2023-08-08T00:00:00"/>
        <d v="2023-08-15T00:00:00"/>
        <d v="2023-08-22T00:00:00"/>
        <d v="2022-01-31T00:00:00"/>
        <d v="2022-03-02T00:00:00"/>
        <d v="2022-04-01T00:00:00"/>
        <d v="2022-05-31T00:00:00"/>
        <d v="2022-06-30T00:00:00"/>
        <d v="2022-07-30T00:00:00"/>
        <d v="2022-08-29T00:00:00"/>
        <d v="2022-09-28T00:00:00"/>
        <d v="2022-10-28T00:00:00"/>
        <d v="2022-12-27T00:00:00"/>
        <d v="2023-01-26T00:00:00"/>
        <d v="2023-02-25T00:00:00"/>
        <d v="2023-03-27T00:00:00"/>
        <d v="2023-04-26T00:00:00"/>
        <d v="2023-05-26T00:00:00"/>
        <d v="2023-07-25T00:00:00"/>
      </sharedItems>
      <fieldGroup par="13" base="2">
        <rangePr groupBy="months" startDate="2022-01-01T00:00:00" endDate="2023-08-28T00:00:00"/>
        <groupItems count="14">
          <s v="&lt;01/01/202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8/08/2023"/>
        </groupItems>
      </fieldGroup>
    </cacheField>
    <cacheField name="Região" numFmtId="0">
      <sharedItems count="5">
        <s v="Centro-oeste"/>
        <s v="Nordeste"/>
        <s v="Norte"/>
        <s v="Sudeste"/>
        <s v="Sul"/>
      </sharedItems>
    </cacheField>
    <cacheField name="Estado" numFmtId="0">
      <sharedItems count="27">
        <s v="Distrito Federal"/>
        <s v="Goias"/>
        <s v="Mato Grosso"/>
        <s v="Mato Grosso do Sul"/>
        <s v="Bahia"/>
        <s v="Ceará"/>
        <s v="Pernambuco"/>
        <s v="Sergipe"/>
        <s v="Piaui"/>
        <s v="Maranhão"/>
        <s v="Paraiba"/>
        <s v="Alagoas"/>
        <s v="Rio Grande Do Norte"/>
        <s v="Amazonas"/>
        <s v="Pará"/>
        <s v="Tocantins"/>
        <s v="Acre"/>
        <s v="Roraima"/>
        <s v="Amapá"/>
        <s v="Rondonia"/>
        <s v="Minas Gerais"/>
        <s v="Espirito Santo"/>
        <s v="Rio de Janeiro"/>
        <s v="São Paulo"/>
        <s v="Paraná"/>
        <s v="Rio Grande do Sul"/>
        <s v="Santa Catarina"/>
      </sharedItems>
    </cacheField>
    <cacheField name="Cidade" numFmtId="0">
      <sharedItems/>
    </cacheField>
    <cacheField name="Produto" numFmtId="0">
      <sharedItems count="13">
        <s v="Desktop Ultra"/>
        <s v="Teclado Gamer"/>
        <s v="Monitor 20 pol"/>
        <s v="TV Ultra"/>
        <s v="Teclado"/>
        <s v="Monitor 27 pol"/>
        <s v="Monitor 24 pol"/>
        <s v="Desktop Pro"/>
        <s v="TV LED HD"/>
        <s v="Notebook 20"/>
        <s v="Notebook 15"/>
        <s v="Desktop Basic"/>
        <s v="Notebook 17"/>
      </sharedItems>
    </cacheField>
    <cacheField name="Preço Unitário" numFmtId="165">
      <sharedItems containsSemiMixedTypes="0" containsString="0" containsNumber="1" containsInteger="1" minValue="300" maxValue="8902"/>
    </cacheField>
    <cacheField name="Quantidade" numFmtId="0">
      <sharedItems containsSemiMixedTypes="0" containsString="0" containsNumber="1" containsInteger="1" minValue="1" maxValue="21"/>
    </cacheField>
    <cacheField name="Receita Bruta" numFmtId="165">
      <sharedItems containsSemiMixedTypes="0" containsString="0" containsNumber="1" containsInteger="1" minValue="300" maxValue="186942"/>
    </cacheField>
    <cacheField name="Margem Bruta" numFmtId="165">
      <sharedItems containsSemiMixedTypes="0" containsString="0" containsNumber="1" minValue="45" maxValue="65429.7"/>
    </cacheField>
    <cacheField name="%Margem" numFmtId="164">
      <sharedItems containsSemiMixedTypes="0" containsString="0" containsNumber="1" minValue="0.15" maxValue="0.5"/>
    </cacheField>
    <cacheField name="Trimestres" numFmtId="0" databaseField="0">
      <fieldGroup base="2">
        <rangePr groupBy="quarters" startDate="2022-01-01T00:00:00" endDate="2023-08-28T00:00:00"/>
        <groupItems count="6">
          <s v="&lt;01/01/2022"/>
          <s v="Trim1"/>
          <s v="Trim2"/>
          <s v="Trim3"/>
          <s v="Trim4"/>
          <s v="&gt;28/08/2023"/>
        </groupItems>
      </fieldGroup>
    </cacheField>
    <cacheField name="Anos" numFmtId="0" databaseField="0">
      <fieldGroup base="2">
        <rangePr groupBy="years" startDate="2022-01-01T00:00:00" endDate="2023-08-28T00:00:00"/>
        <groupItems count="4">
          <s v="&lt;01/01/2022"/>
          <s v="2022"/>
          <s v="2023"/>
          <s v="&gt;28/08/2023"/>
        </groupItems>
      </fieldGroup>
    </cacheField>
  </cacheFields>
  <extLst>
    <ext xmlns:x14="http://schemas.microsoft.com/office/spreadsheetml/2009/9/main" uri="{725AE2AE-9491-48be-B2B4-4EB974FC3084}">
      <x14:pivotCacheDefinition pivotCacheId="20732909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5">
  <r>
    <x v="0"/>
    <x v="0"/>
    <x v="0"/>
    <x v="0"/>
    <x v="0"/>
    <s v="Brasilia"/>
    <x v="0"/>
    <n v="8902"/>
    <n v="4"/>
    <n v="35608"/>
    <n v="12462.8"/>
    <n v="0.35"/>
  </r>
  <r>
    <x v="0"/>
    <x v="0"/>
    <x v="1"/>
    <x v="0"/>
    <x v="0"/>
    <s v="Brasilia"/>
    <x v="1"/>
    <n v="500"/>
    <n v="4"/>
    <n v="2000"/>
    <n v="500"/>
    <n v="0.25"/>
  </r>
  <r>
    <x v="0"/>
    <x v="1"/>
    <x v="2"/>
    <x v="0"/>
    <x v="0"/>
    <s v="Brasilia"/>
    <x v="2"/>
    <n v="1200"/>
    <n v="5"/>
    <n v="6000"/>
    <n v="1800"/>
    <n v="0.3"/>
  </r>
  <r>
    <x v="0"/>
    <x v="1"/>
    <x v="3"/>
    <x v="0"/>
    <x v="0"/>
    <s v="Brasilia"/>
    <x v="1"/>
    <n v="500"/>
    <n v="12"/>
    <n v="6000"/>
    <n v="1500"/>
    <n v="0.25"/>
  </r>
  <r>
    <x v="1"/>
    <x v="1"/>
    <x v="4"/>
    <x v="0"/>
    <x v="0"/>
    <s v="Brasilia"/>
    <x v="0"/>
    <n v="8902"/>
    <n v="21"/>
    <n v="186942"/>
    <n v="65429.7"/>
    <n v="0.35"/>
  </r>
  <r>
    <x v="0"/>
    <x v="0"/>
    <x v="5"/>
    <x v="0"/>
    <x v="0"/>
    <s v="Brasilia"/>
    <x v="3"/>
    <n v="5130"/>
    <n v="2"/>
    <n v="10260"/>
    <n v="4104"/>
    <n v="0.4"/>
  </r>
  <r>
    <x v="0"/>
    <x v="1"/>
    <x v="6"/>
    <x v="0"/>
    <x v="0"/>
    <s v="Brasilia"/>
    <x v="0"/>
    <n v="8902"/>
    <n v="6"/>
    <n v="53412"/>
    <n v="18694.199999999997"/>
    <n v="0.35"/>
  </r>
  <r>
    <x v="2"/>
    <x v="1"/>
    <x v="7"/>
    <x v="0"/>
    <x v="0"/>
    <s v="Brasilia"/>
    <x v="4"/>
    <n v="300"/>
    <n v="1"/>
    <n v="300"/>
    <n v="45"/>
    <n v="0.15"/>
  </r>
  <r>
    <x v="1"/>
    <x v="0"/>
    <x v="8"/>
    <x v="0"/>
    <x v="0"/>
    <s v="Brasilia"/>
    <x v="5"/>
    <n v="1700"/>
    <n v="10"/>
    <n v="17000"/>
    <n v="8500"/>
    <n v="0.5"/>
  </r>
  <r>
    <x v="3"/>
    <x v="0"/>
    <x v="9"/>
    <x v="0"/>
    <x v="0"/>
    <s v="Brasilia"/>
    <x v="6"/>
    <n v="1500"/>
    <n v="3"/>
    <n v="4500"/>
    <n v="1800"/>
    <n v="0.4"/>
  </r>
  <r>
    <x v="1"/>
    <x v="1"/>
    <x v="10"/>
    <x v="0"/>
    <x v="0"/>
    <s v="Brasilia"/>
    <x v="7"/>
    <n v="5340"/>
    <n v="12"/>
    <n v="64080"/>
    <n v="19224"/>
    <n v="0.3"/>
  </r>
  <r>
    <x v="0"/>
    <x v="1"/>
    <x v="11"/>
    <x v="0"/>
    <x v="0"/>
    <s v="Brasilia"/>
    <x v="0"/>
    <n v="8902"/>
    <n v="2"/>
    <n v="17804"/>
    <n v="6231.4"/>
    <n v="0.35"/>
  </r>
  <r>
    <x v="0"/>
    <x v="1"/>
    <x v="12"/>
    <x v="0"/>
    <x v="0"/>
    <s v="Brasilia"/>
    <x v="3"/>
    <n v="5130"/>
    <n v="8"/>
    <n v="41040"/>
    <n v="16416"/>
    <n v="0.4"/>
  </r>
  <r>
    <x v="3"/>
    <x v="1"/>
    <x v="13"/>
    <x v="0"/>
    <x v="0"/>
    <s v="Brasilia"/>
    <x v="0"/>
    <n v="8902"/>
    <n v="3"/>
    <n v="26706"/>
    <n v="9347.0999999999985"/>
    <n v="0.35"/>
  </r>
  <r>
    <x v="1"/>
    <x v="0"/>
    <x v="14"/>
    <x v="0"/>
    <x v="0"/>
    <s v="Brasilia"/>
    <x v="8"/>
    <n v="3400"/>
    <n v="8"/>
    <n v="27200"/>
    <n v="9520"/>
    <n v="0.35"/>
  </r>
  <r>
    <x v="1"/>
    <x v="1"/>
    <x v="15"/>
    <x v="0"/>
    <x v="0"/>
    <s v="Brasilia"/>
    <x v="9"/>
    <n v="5300"/>
    <n v="10"/>
    <n v="53000"/>
    <n v="15900"/>
    <n v="0.3"/>
  </r>
  <r>
    <x v="0"/>
    <x v="0"/>
    <x v="16"/>
    <x v="0"/>
    <x v="0"/>
    <s v="Brasilia"/>
    <x v="0"/>
    <n v="8902"/>
    <n v="11"/>
    <n v="97922"/>
    <n v="34272.699999999997"/>
    <n v="0.35"/>
  </r>
  <r>
    <x v="0"/>
    <x v="1"/>
    <x v="17"/>
    <x v="0"/>
    <x v="0"/>
    <s v="Brasilia"/>
    <x v="3"/>
    <n v="5130"/>
    <n v="2"/>
    <n v="10260"/>
    <n v="4104"/>
    <n v="0.4"/>
  </r>
  <r>
    <x v="2"/>
    <x v="0"/>
    <x v="18"/>
    <x v="0"/>
    <x v="0"/>
    <s v="Brasilia"/>
    <x v="4"/>
    <n v="300"/>
    <n v="11"/>
    <n v="3300"/>
    <n v="495"/>
    <n v="0.15"/>
  </r>
  <r>
    <x v="3"/>
    <x v="1"/>
    <x v="19"/>
    <x v="0"/>
    <x v="0"/>
    <s v="Brasilia"/>
    <x v="10"/>
    <n v="3200"/>
    <n v="5"/>
    <n v="16000"/>
    <n v="3200"/>
    <n v="0.2"/>
  </r>
  <r>
    <x v="0"/>
    <x v="1"/>
    <x v="20"/>
    <x v="0"/>
    <x v="0"/>
    <s v="Brasilia"/>
    <x v="0"/>
    <n v="8902"/>
    <n v="2"/>
    <n v="17804"/>
    <n v="6231.4"/>
    <n v="0.35"/>
  </r>
  <r>
    <x v="1"/>
    <x v="1"/>
    <x v="21"/>
    <x v="0"/>
    <x v="0"/>
    <s v="Brasilia"/>
    <x v="4"/>
    <n v="300"/>
    <n v="10"/>
    <n v="3000"/>
    <n v="450"/>
    <n v="0.15"/>
  </r>
  <r>
    <x v="2"/>
    <x v="0"/>
    <x v="22"/>
    <x v="0"/>
    <x v="0"/>
    <s v="Brasilia"/>
    <x v="10"/>
    <n v="3200"/>
    <n v="12"/>
    <n v="38400"/>
    <n v="7680"/>
    <n v="0.2"/>
  </r>
  <r>
    <x v="0"/>
    <x v="1"/>
    <x v="23"/>
    <x v="0"/>
    <x v="0"/>
    <s v="Brasilia"/>
    <x v="11"/>
    <n v="4600"/>
    <n v="7"/>
    <n v="32200"/>
    <n v="8050"/>
    <n v="0.25"/>
  </r>
  <r>
    <x v="2"/>
    <x v="0"/>
    <x v="24"/>
    <x v="0"/>
    <x v="0"/>
    <s v="Brasilia"/>
    <x v="2"/>
    <n v="1200"/>
    <n v="9"/>
    <n v="10800"/>
    <n v="3240"/>
    <n v="0.3"/>
  </r>
  <r>
    <x v="3"/>
    <x v="0"/>
    <x v="25"/>
    <x v="0"/>
    <x v="0"/>
    <s v="Brasilia"/>
    <x v="11"/>
    <n v="4600"/>
    <n v="11"/>
    <n v="50600"/>
    <n v="12650"/>
    <n v="0.25"/>
  </r>
  <r>
    <x v="4"/>
    <x v="1"/>
    <x v="26"/>
    <x v="0"/>
    <x v="0"/>
    <s v="Brasilia"/>
    <x v="7"/>
    <n v="5340"/>
    <n v="9"/>
    <n v="48060"/>
    <n v="14418"/>
    <n v="0.3"/>
  </r>
  <r>
    <x v="0"/>
    <x v="1"/>
    <x v="27"/>
    <x v="0"/>
    <x v="0"/>
    <s v="Brasilia"/>
    <x v="9"/>
    <n v="5300"/>
    <n v="5"/>
    <n v="26500"/>
    <n v="7950"/>
    <n v="0.3"/>
  </r>
  <r>
    <x v="0"/>
    <x v="1"/>
    <x v="28"/>
    <x v="0"/>
    <x v="0"/>
    <s v="Brasilia"/>
    <x v="6"/>
    <n v="1500"/>
    <n v="3"/>
    <n v="4500"/>
    <n v="1800"/>
    <n v="0.4"/>
  </r>
  <r>
    <x v="1"/>
    <x v="1"/>
    <x v="28"/>
    <x v="0"/>
    <x v="0"/>
    <s v="Brasilia"/>
    <x v="10"/>
    <n v="3200"/>
    <n v="10"/>
    <n v="32000"/>
    <n v="6400"/>
    <n v="0.2"/>
  </r>
  <r>
    <x v="0"/>
    <x v="0"/>
    <x v="29"/>
    <x v="0"/>
    <x v="0"/>
    <s v="Brasilia"/>
    <x v="6"/>
    <n v="1500"/>
    <n v="8"/>
    <n v="12000"/>
    <n v="4800"/>
    <n v="0.4"/>
  </r>
  <r>
    <x v="2"/>
    <x v="0"/>
    <x v="30"/>
    <x v="0"/>
    <x v="0"/>
    <s v="Brasilia"/>
    <x v="1"/>
    <n v="500"/>
    <n v="12"/>
    <n v="6000"/>
    <n v="1500"/>
    <n v="0.25"/>
  </r>
  <r>
    <x v="0"/>
    <x v="1"/>
    <x v="31"/>
    <x v="0"/>
    <x v="0"/>
    <s v="Brasilia"/>
    <x v="4"/>
    <n v="300"/>
    <n v="8"/>
    <n v="2400"/>
    <n v="360"/>
    <n v="0.15"/>
  </r>
  <r>
    <x v="3"/>
    <x v="0"/>
    <x v="32"/>
    <x v="0"/>
    <x v="0"/>
    <s v="Brasilia"/>
    <x v="5"/>
    <n v="1700"/>
    <n v="10"/>
    <n v="17000"/>
    <n v="8500"/>
    <n v="0.5"/>
  </r>
  <r>
    <x v="0"/>
    <x v="1"/>
    <x v="33"/>
    <x v="0"/>
    <x v="0"/>
    <s v="Brasilia"/>
    <x v="8"/>
    <n v="3400"/>
    <n v="6"/>
    <n v="20400"/>
    <n v="7140"/>
    <n v="0.35"/>
  </r>
  <r>
    <x v="0"/>
    <x v="1"/>
    <x v="34"/>
    <x v="0"/>
    <x v="0"/>
    <s v="Brasilia"/>
    <x v="4"/>
    <n v="300"/>
    <n v="4"/>
    <n v="1200"/>
    <n v="180"/>
    <n v="0.15"/>
  </r>
  <r>
    <x v="0"/>
    <x v="1"/>
    <x v="35"/>
    <x v="0"/>
    <x v="0"/>
    <s v="Brasilia"/>
    <x v="1"/>
    <n v="500"/>
    <n v="9"/>
    <n v="4500"/>
    <n v="1125"/>
    <n v="0.25"/>
  </r>
  <r>
    <x v="3"/>
    <x v="1"/>
    <x v="36"/>
    <x v="0"/>
    <x v="0"/>
    <s v="Brasilia"/>
    <x v="10"/>
    <n v="3200"/>
    <n v="5"/>
    <n v="16000"/>
    <n v="3200"/>
    <n v="0.2"/>
  </r>
  <r>
    <x v="0"/>
    <x v="1"/>
    <x v="37"/>
    <x v="0"/>
    <x v="0"/>
    <s v="Brasilia"/>
    <x v="1"/>
    <n v="500"/>
    <n v="1"/>
    <n v="500"/>
    <n v="125"/>
    <n v="0.25"/>
  </r>
  <r>
    <x v="3"/>
    <x v="1"/>
    <x v="38"/>
    <x v="0"/>
    <x v="0"/>
    <s v="Brasilia"/>
    <x v="5"/>
    <n v="1700"/>
    <n v="6"/>
    <n v="10200"/>
    <n v="5100"/>
    <n v="0.5"/>
  </r>
  <r>
    <x v="0"/>
    <x v="1"/>
    <x v="39"/>
    <x v="0"/>
    <x v="0"/>
    <s v="Brasilia"/>
    <x v="0"/>
    <n v="8902"/>
    <n v="4"/>
    <n v="35608"/>
    <n v="12462.8"/>
    <n v="0.35"/>
  </r>
  <r>
    <x v="1"/>
    <x v="1"/>
    <x v="40"/>
    <x v="0"/>
    <x v="0"/>
    <s v="Brasilia"/>
    <x v="7"/>
    <n v="5340"/>
    <n v="1"/>
    <n v="5340"/>
    <n v="1602"/>
    <n v="0.3"/>
  </r>
  <r>
    <x v="0"/>
    <x v="1"/>
    <x v="41"/>
    <x v="0"/>
    <x v="0"/>
    <s v="Brasilia"/>
    <x v="0"/>
    <n v="8902"/>
    <n v="8"/>
    <n v="71216"/>
    <n v="24925.599999999999"/>
    <n v="0.35"/>
  </r>
  <r>
    <x v="3"/>
    <x v="0"/>
    <x v="42"/>
    <x v="0"/>
    <x v="0"/>
    <s v="Brasilia"/>
    <x v="1"/>
    <n v="500"/>
    <n v="5"/>
    <n v="2500"/>
    <n v="625"/>
    <n v="0.25"/>
  </r>
  <r>
    <x v="4"/>
    <x v="1"/>
    <x v="43"/>
    <x v="0"/>
    <x v="0"/>
    <s v="Brasilia"/>
    <x v="2"/>
    <n v="1200"/>
    <n v="2"/>
    <n v="2400"/>
    <n v="720"/>
    <n v="0.3"/>
  </r>
  <r>
    <x v="2"/>
    <x v="0"/>
    <x v="44"/>
    <x v="0"/>
    <x v="0"/>
    <s v="Brasilia"/>
    <x v="12"/>
    <n v="4500"/>
    <n v="5"/>
    <n v="22500"/>
    <n v="5625"/>
    <n v="0.25"/>
  </r>
  <r>
    <x v="0"/>
    <x v="1"/>
    <x v="45"/>
    <x v="0"/>
    <x v="0"/>
    <s v="Brasilia"/>
    <x v="0"/>
    <n v="8902"/>
    <n v="8"/>
    <n v="71216"/>
    <n v="24925.599999999999"/>
    <n v="0.35"/>
  </r>
  <r>
    <x v="4"/>
    <x v="1"/>
    <x v="46"/>
    <x v="0"/>
    <x v="0"/>
    <s v="Brasilia"/>
    <x v="9"/>
    <n v="5300"/>
    <n v="1"/>
    <n v="5300"/>
    <n v="1590"/>
    <n v="0.3"/>
  </r>
  <r>
    <x v="2"/>
    <x v="1"/>
    <x v="47"/>
    <x v="0"/>
    <x v="0"/>
    <s v="Brasilia"/>
    <x v="9"/>
    <n v="5300"/>
    <n v="1"/>
    <n v="5300"/>
    <n v="1590"/>
    <n v="0.3"/>
  </r>
  <r>
    <x v="0"/>
    <x v="1"/>
    <x v="48"/>
    <x v="0"/>
    <x v="0"/>
    <s v="Brasilia"/>
    <x v="11"/>
    <n v="4600"/>
    <n v="8"/>
    <n v="36800"/>
    <n v="9200"/>
    <n v="0.25"/>
  </r>
  <r>
    <x v="1"/>
    <x v="0"/>
    <x v="49"/>
    <x v="0"/>
    <x v="0"/>
    <s v="Brasilia"/>
    <x v="10"/>
    <n v="3200"/>
    <n v="6"/>
    <n v="19200"/>
    <n v="3840"/>
    <n v="0.2"/>
  </r>
  <r>
    <x v="0"/>
    <x v="0"/>
    <x v="50"/>
    <x v="0"/>
    <x v="0"/>
    <s v="Brasilia"/>
    <x v="3"/>
    <n v="5130"/>
    <n v="5"/>
    <n v="25650"/>
    <n v="10260"/>
    <n v="0.4"/>
  </r>
  <r>
    <x v="1"/>
    <x v="1"/>
    <x v="51"/>
    <x v="0"/>
    <x v="0"/>
    <s v="Brasilia"/>
    <x v="12"/>
    <n v="4500"/>
    <n v="11"/>
    <n v="49500"/>
    <n v="12375"/>
    <n v="0.25"/>
  </r>
  <r>
    <x v="4"/>
    <x v="1"/>
    <x v="52"/>
    <x v="0"/>
    <x v="0"/>
    <s v="Brasilia"/>
    <x v="4"/>
    <n v="300"/>
    <n v="4"/>
    <n v="1200"/>
    <n v="180"/>
    <n v="0.15"/>
  </r>
  <r>
    <x v="0"/>
    <x v="0"/>
    <x v="53"/>
    <x v="0"/>
    <x v="0"/>
    <s v="Brasilia"/>
    <x v="0"/>
    <n v="8902"/>
    <n v="3"/>
    <n v="26706"/>
    <n v="9347.0999999999985"/>
    <n v="0.35"/>
  </r>
  <r>
    <x v="0"/>
    <x v="0"/>
    <x v="54"/>
    <x v="0"/>
    <x v="0"/>
    <s v="Brasilia"/>
    <x v="11"/>
    <n v="4600"/>
    <n v="12"/>
    <n v="55200"/>
    <n v="13800"/>
    <n v="0.25"/>
  </r>
  <r>
    <x v="0"/>
    <x v="0"/>
    <x v="55"/>
    <x v="0"/>
    <x v="0"/>
    <s v="Brasilia"/>
    <x v="8"/>
    <n v="3400"/>
    <n v="1"/>
    <n v="3400"/>
    <n v="1190"/>
    <n v="0.35"/>
  </r>
  <r>
    <x v="4"/>
    <x v="1"/>
    <x v="56"/>
    <x v="0"/>
    <x v="0"/>
    <s v="Brasilia"/>
    <x v="7"/>
    <n v="5340"/>
    <n v="8"/>
    <n v="42720"/>
    <n v="12816"/>
    <n v="0.3"/>
  </r>
  <r>
    <x v="0"/>
    <x v="0"/>
    <x v="57"/>
    <x v="0"/>
    <x v="0"/>
    <s v="Brasilia"/>
    <x v="5"/>
    <n v="1700"/>
    <n v="12"/>
    <n v="20400"/>
    <n v="10200"/>
    <n v="0.5"/>
  </r>
  <r>
    <x v="3"/>
    <x v="0"/>
    <x v="58"/>
    <x v="0"/>
    <x v="0"/>
    <s v="Brasilia"/>
    <x v="10"/>
    <n v="3200"/>
    <n v="12"/>
    <n v="38400"/>
    <n v="7680"/>
    <n v="0.2"/>
  </r>
  <r>
    <x v="3"/>
    <x v="1"/>
    <x v="59"/>
    <x v="0"/>
    <x v="0"/>
    <s v="Brasilia"/>
    <x v="1"/>
    <n v="500"/>
    <n v="10"/>
    <n v="5000"/>
    <n v="1250"/>
    <n v="0.25"/>
  </r>
  <r>
    <x v="3"/>
    <x v="1"/>
    <x v="60"/>
    <x v="0"/>
    <x v="0"/>
    <s v="Brasilia"/>
    <x v="9"/>
    <n v="5300"/>
    <n v="10"/>
    <n v="53000"/>
    <n v="15900"/>
    <n v="0.3"/>
  </r>
  <r>
    <x v="0"/>
    <x v="1"/>
    <x v="61"/>
    <x v="0"/>
    <x v="0"/>
    <s v="Brasilia"/>
    <x v="10"/>
    <n v="3200"/>
    <n v="7"/>
    <n v="22400"/>
    <n v="4480"/>
    <n v="0.2"/>
  </r>
  <r>
    <x v="4"/>
    <x v="0"/>
    <x v="62"/>
    <x v="0"/>
    <x v="0"/>
    <s v="Brasilia"/>
    <x v="1"/>
    <n v="500"/>
    <n v="15"/>
    <n v="7500"/>
    <n v="1875"/>
    <n v="0.25"/>
  </r>
  <r>
    <x v="3"/>
    <x v="0"/>
    <x v="63"/>
    <x v="0"/>
    <x v="0"/>
    <s v="Brasilia"/>
    <x v="10"/>
    <n v="3200"/>
    <n v="10"/>
    <n v="32000"/>
    <n v="6400"/>
    <n v="0.2"/>
  </r>
  <r>
    <x v="0"/>
    <x v="1"/>
    <x v="64"/>
    <x v="0"/>
    <x v="0"/>
    <s v="Brasilia"/>
    <x v="12"/>
    <n v="4500"/>
    <n v="8"/>
    <n v="36000"/>
    <n v="9000"/>
    <n v="0.25"/>
  </r>
  <r>
    <x v="3"/>
    <x v="1"/>
    <x v="65"/>
    <x v="0"/>
    <x v="0"/>
    <s v="Brasilia"/>
    <x v="12"/>
    <n v="4500"/>
    <n v="4"/>
    <n v="18000"/>
    <n v="4500"/>
    <n v="0.25"/>
  </r>
  <r>
    <x v="1"/>
    <x v="1"/>
    <x v="66"/>
    <x v="0"/>
    <x v="0"/>
    <s v="Brasilia"/>
    <x v="12"/>
    <n v="4500"/>
    <n v="5"/>
    <n v="22500"/>
    <n v="5625"/>
    <n v="0.25"/>
  </r>
  <r>
    <x v="4"/>
    <x v="1"/>
    <x v="67"/>
    <x v="0"/>
    <x v="0"/>
    <s v="Brasilia"/>
    <x v="12"/>
    <n v="4500"/>
    <n v="6"/>
    <n v="27000"/>
    <n v="6750"/>
    <n v="0.25"/>
  </r>
  <r>
    <x v="1"/>
    <x v="1"/>
    <x v="68"/>
    <x v="0"/>
    <x v="0"/>
    <s v="Brasilia"/>
    <x v="2"/>
    <n v="1200"/>
    <n v="4"/>
    <n v="4800"/>
    <n v="1440"/>
    <n v="0.3"/>
  </r>
  <r>
    <x v="2"/>
    <x v="1"/>
    <x v="69"/>
    <x v="0"/>
    <x v="0"/>
    <s v="Brasilia"/>
    <x v="8"/>
    <n v="3400"/>
    <n v="1"/>
    <n v="3400"/>
    <n v="1190"/>
    <n v="0.35"/>
  </r>
  <r>
    <x v="3"/>
    <x v="0"/>
    <x v="70"/>
    <x v="0"/>
    <x v="0"/>
    <s v="Brasilia"/>
    <x v="1"/>
    <n v="500"/>
    <n v="10"/>
    <n v="5000"/>
    <n v="1250"/>
    <n v="0.25"/>
  </r>
  <r>
    <x v="3"/>
    <x v="1"/>
    <x v="71"/>
    <x v="0"/>
    <x v="0"/>
    <s v="Brasilia"/>
    <x v="8"/>
    <n v="3400"/>
    <n v="8"/>
    <n v="27200"/>
    <n v="9520"/>
    <n v="0.35"/>
  </r>
  <r>
    <x v="0"/>
    <x v="1"/>
    <x v="72"/>
    <x v="0"/>
    <x v="0"/>
    <s v="Brasilia"/>
    <x v="11"/>
    <n v="4600"/>
    <n v="12"/>
    <n v="55200"/>
    <n v="13800"/>
    <n v="0.25"/>
  </r>
  <r>
    <x v="3"/>
    <x v="0"/>
    <x v="73"/>
    <x v="0"/>
    <x v="0"/>
    <s v="Brasilia"/>
    <x v="1"/>
    <n v="500"/>
    <n v="10"/>
    <n v="5000"/>
    <n v="1250"/>
    <n v="0.25"/>
  </r>
  <r>
    <x v="2"/>
    <x v="1"/>
    <x v="74"/>
    <x v="0"/>
    <x v="0"/>
    <s v="Brasilia"/>
    <x v="3"/>
    <n v="5130"/>
    <n v="15"/>
    <n v="76950"/>
    <n v="30780"/>
    <n v="0.4"/>
  </r>
  <r>
    <x v="4"/>
    <x v="0"/>
    <x v="75"/>
    <x v="0"/>
    <x v="0"/>
    <s v="Brasilia"/>
    <x v="6"/>
    <n v="1500"/>
    <n v="1"/>
    <n v="1500"/>
    <n v="600"/>
    <n v="0.4"/>
  </r>
  <r>
    <x v="0"/>
    <x v="1"/>
    <x v="76"/>
    <x v="0"/>
    <x v="0"/>
    <s v="Brasilia"/>
    <x v="10"/>
    <n v="3200"/>
    <n v="11"/>
    <n v="35200"/>
    <n v="7040"/>
    <n v="0.2"/>
  </r>
  <r>
    <x v="0"/>
    <x v="1"/>
    <x v="77"/>
    <x v="0"/>
    <x v="0"/>
    <s v="Brasilia"/>
    <x v="7"/>
    <n v="5340"/>
    <n v="2"/>
    <n v="10680"/>
    <n v="3204"/>
    <n v="0.3"/>
  </r>
  <r>
    <x v="3"/>
    <x v="0"/>
    <x v="78"/>
    <x v="0"/>
    <x v="0"/>
    <s v="Brasilia"/>
    <x v="7"/>
    <n v="5340"/>
    <n v="1"/>
    <n v="5340"/>
    <n v="1602"/>
    <n v="0.3"/>
  </r>
  <r>
    <x v="0"/>
    <x v="0"/>
    <x v="79"/>
    <x v="0"/>
    <x v="0"/>
    <s v="Brasilia"/>
    <x v="1"/>
    <n v="500"/>
    <n v="5"/>
    <n v="2500"/>
    <n v="625"/>
    <n v="0.25"/>
  </r>
  <r>
    <x v="0"/>
    <x v="0"/>
    <x v="80"/>
    <x v="0"/>
    <x v="0"/>
    <s v="Brasilia"/>
    <x v="7"/>
    <n v="5340"/>
    <n v="12"/>
    <n v="64080"/>
    <n v="19224"/>
    <n v="0.3"/>
  </r>
  <r>
    <x v="4"/>
    <x v="1"/>
    <x v="81"/>
    <x v="0"/>
    <x v="0"/>
    <s v="Brasilia"/>
    <x v="2"/>
    <n v="1200"/>
    <n v="8"/>
    <n v="9600"/>
    <n v="2880"/>
    <n v="0.3"/>
  </r>
  <r>
    <x v="0"/>
    <x v="0"/>
    <x v="82"/>
    <x v="0"/>
    <x v="0"/>
    <s v="Brasilia"/>
    <x v="9"/>
    <n v="5300"/>
    <n v="8"/>
    <n v="42400"/>
    <n v="12720"/>
    <n v="0.3"/>
  </r>
  <r>
    <x v="1"/>
    <x v="1"/>
    <x v="83"/>
    <x v="0"/>
    <x v="0"/>
    <s v="Brasilia"/>
    <x v="0"/>
    <n v="8902"/>
    <n v="11"/>
    <n v="97922"/>
    <n v="34272.699999999997"/>
    <n v="0.35"/>
  </r>
  <r>
    <x v="3"/>
    <x v="1"/>
    <x v="84"/>
    <x v="0"/>
    <x v="0"/>
    <s v="Brasilia"/>
    <x v="0"/>
    <n v="8902"/>
    <n v="12"/>
    <n v="106824"/>
    <n v="37388.399999999994"/>
    <n v="0.35"/>
  </r>
  <r>
    <x v="1"/>
    <x v="1"/>
    <x v="85"/>
    <x v="0"/>
    <x v="0"/>
    <s v="Brasilia"/>
    <x v="12"/>
    <n v="4500"/>
    <n v="3"/>
    <n v="13500"/>
    <n v="3375"/>
    <n v="0.25"/>
  </r>
  <r>
    <x v="0"/>
    <x v="0"/>
    <x v="0"/>
    <x v="0"/>
    <x v="1"/>
    <s v="Goiania"/>
    <x v="0"/>
    <n v="8902"/>
    <n v="13"/>
    <n v="35608"/>
    <n v="12462.8"/>
    <n v="0.35"/>
  </r>
  <r>
    <x v="0"/>
    <x v="0"/>
    <x v="1"/>
    <x v="0"/>
    <x v="1"/>
    <s v="Goiania"/>
    <x v="1"/>
    <n v="500"/>
    <n v="13"/>
    <n v="2000"/>
    <n v="500"/>
    <n v="0.25"/>
  </r>
  <r>
    <x v="0"/>
    <x v="1"/>
    <x v="2"/>
    <x v="0"/>
    <x v="1"/>
    <s v="Goiania"/>
    <x v="2"/>
    <n v="1200"/>
    <n v="13"/>
    <n v="6000"/>
    <n v="1800"/>
    <n v="0.3"/>
  </r>
  <r>
    <x v="0"/>
    <x v="1"/>
    <x v="3"/>
    <x v="0"/>
    <x v="1"/>
    <s v="Goiania"/>
    <x v="1"/>
    <n v="500"/>
    <n v="12"/>
    <n v="6000"/>
    <n v="1500"/>
    <n v="0.25"/>
  </r>
  <r>
    <x v="1"/>
    <x v="1"/>
    <x v="4"/>
    <x v="0"/>
    <x v="1"/>
    <s v="Goiania"/>
    <x v="0"/>
    <n v="8902"/>
    <n v="9"/>
    <n v="80118"/>
    <n v="28041.3"/>
    <n v="0.35"/>
  </r>
  <r>
    <x v="0"/>
    <x v="0"/>
    <x v="5"/>
    <x v="0"/>
    <x v="1"/>
    <s v="Goiania"/>
    <x v="3"/>
    <n v="5130"/>
    <n v="2"/>
    <n v="10260"/>
    <n v="4104"/>
    <n v="0.4"/>
  </r>
  <r>
    <x v="0"/>
    <x v="1"/>
    <x v="6"/>
    <x v="0"/>
    <x v="1"/>
    <s v="Goiania"/>
    <x v="0"/>
    <n v="8902"/>
    <n v="6"/>
    <n v="53412"/>
    <n v="18694.199999999997"/>
    <n v="0.35"/>
  </r>
  <r>
    <x v="2"/>
    <x v="1"/>
    <x v="7"/>
    <x v="0"/>
    <x v="1"/>
    <s v="Goiania"/>
    <x v="4"/>
    <n v="300"/>
    <n v="1"/>
    <n v="300"/>
    <n v="45"/>
    <n v="0.15"/>
  </r>
  <r>
    <x v="1"/>
    <x v="0"/>
    <x v="8"/>
    <x v="0"/>
    <x v="1"/>
    <s v="Goiania"/>
    <x v="5"/>
    <n v="1700"/>
    <n v="10"/>
    <n v="17000"/>
    <n v="8500"/>
    <n v="0.5"/>
  </r>
  <r>
    <x v="3"/>
    <x v="0"/>
    <x v="9"/>
    <x v="0"/>
    <x v="1"/>
    <s v="Goiania"/>
    <x v="6"/>
    <n v="1500"/>
    <n v="3"/>
    <n v="4500"/>
    <n v="1800"/>
    <n v="0.4"/>
  </r>
  <r>
    <x v="1"/>
    <x v="1"/>
    <x v="10"/>
    <x v="0"/>
    <x v="1"/>
    <s v="Goiania"/>
    <x v="7"/>
    <n v="5340"/>
    <n v="12"/>
    <n v="64080"/>
    <n v="19224"/>
    <n v="0.3"/>
  </r>
  <r>
    <x v="0"/>
    <x v="1"/>
    <x v="11"/>
    <x v="0"/>
    <x v="1"/>
    <s v="Goiania"/>
    <x v="0"/>
    <n v="8902"/>
    <n v="2"/>
    <n v="17804"/>
    <n v="6231.4"/>
    <n v="0.35"/>
  </r>
  <r>
    <x v="0"/>
    <x v="1"/>
    <x v="12"/>
    <x v="0"/>
    <x v="1"/>
    <s v="Goiania"/>
    <x v="3"/>
    <n v="5130"/>
    <n v="8"/>
    <n v="41040"/>
    <n v="16416"/>
    <n v="0.4"/>
  </r>
  <r>
    <x v="3"/>
    <x v="1"/>
    <x v="13"/>
    <x v="0"/>
    <x v="1"/>
    <s v="Goiania"/>
    <x v="0"/>
    <n v="8902"/>
    <n v="3"/>
    <n v="26706"/>
    <n v="9347.0999999999985"/>
    <n v="0.35"/>
  </r>
  <r>
    <x v="1"/>
    <x v="0"/>
    <x v="14"/>
    <x v="0"/>
    <x v="1"/>
    <s v="Goiania"/>
    <x v="8"/>
    <n v="3400"/>
    <n v="8"/>
    <n v="27200"/>
    <n v="9520"/>
    <n v="0.35"/>
  </r>
  <r>
    <x v="1"/>
    <x v="1"/>
    <x v="15"/>
    <x v="0"/>
    <x v="1"/>
    <s v="Goiania"/>
    <x v="9"/>
    <n v="5300"/>
    <n v="10"/>
    <n v="53000"/>
    <n v="15900"/>
    <n v="0.3"/>
  </r>
  <r>
    <x v="0"/>
    <x v="0"/>
    <x v="16"/>
    <x v="0"/>
    <x v="1"/>
    <s v="Goiania"/>
    <x v="0"/>
    <n v="8902"/>
    <n v="11"/>
    <n v="97922"/>
    <n v="34272.699999999997"/>
    <n v="0.35"/>
  </r>
  <r>
    <x v="0"/>
    <x v="1"/>
    <x v="17"/>
    <x v="0"/>
    <x v="1"/>
    <s v="Goiania"/>
    <x v="3"/>
    <n v="5130"/>
    <n v="2"/>
    <n v="10260"/>
    <n v="4104"/>
    <n v="0.4"/>
  </r>
  <r>
    <x v="2"/>
    <x v="0"/>
    <x v="18"/>
    <x v="0"/>
    <x v="1"/>
    <s v="Goiania"/>
    <x v="4"/>
    <n v="300"/>
    <n v="11"/>
    <n v="3300"/>
    <n v="495"/>
    <n v="0.15"/>
  </r>
  <r>
    <x v="3"/>
    <x v="1"/>
    <x v="19"/>
    <x v="0"/>
    <x v="1"/>
    <s v="Goiania"/>
    <x v="10"/>
    <n v="3200"/>
    <n v="5"/>
    <n v="16000"/>
    <n v="3200"/>
    <n v="0.2"/>
  </r>
  <r>
    <x v="0"/>
    <x v="1"/>
    <x v="20"/>
    <x v="0"/>
    <x v="1"/>
    <s v="Goiania"/>
    <x v="0"/>
    <n v="8902"/>
    <n v="2"/>
    <n v="17804"/>
    <n v="6231.4"/>
    <n v="0.35"/>
  </r>
  <r>
    <x v="1"/>
    <x v="1"/>
    <x v="21"/>
    <x v="0"/>
    <x v="1"/>
    <s v="Goiania"/>
    <x v="4"/>
    <n v="300"/>
    <n v="10"/>
    <n v="3000"/>
    <n v="450"/>
    <n v="0.15"/>
  </r>
  <r>
    <x v="2"/>
    <x v="0"/>
    <x v="22"/>
    <x v="0"/>
    <x v="1"/>
    <s v="Goiania"/>
    <x v="10"/>
    <n v="3200"/>
    <n v="12"/>
    <n v="38400"/>
    <n v="7680"/>
    <n v="0.2"/>
  </r>
  <r>
    <x v="0"/>
    <x v="1"/>
    <x v="23"/>
    <x v="0"/>
    <x v="1"/>
    <s v="Goiania"/>
    <x v="11"/>
    <n v="4600"/>
    <n v="7"/>
    <n v="32200"/>
    <n v="8050"/>
    <n v="0.25"/>
  </r>
  <r>
    <x v="2"/>
    <x v="0"/>
    <x v="24"/>
    <x v="0"/>
    <x v="1"/>
    <s v="Goiania"/>
    <x v="2"/>
    <n v="1200"/>
    <n v="9"/>
    <n v="10800"/>
    <n v="3240"/>
    <n v="0.3"/>
  </r>
  <r>
    <x v="3"/>
    <x v="0"/>
    <x v="25"/>
    <x v="0"/>
    <x v="1"/>
    <s v="Goiania"/>
    <x v="11"/>
    <n v="4600"/>
    <n v="11"/>
    <n v="50600"/>
    <n v="12650"/>
    <n v="0.25"/>
  </r>
  <r>
    <x v="4"/>
    <x v="1"/>
    <x v="26"/>
    <x v="0"/>
    <x v="1"/>
    <s v="Goiania"/>
    <x v="7"/>
    <n v="5340"/>
    <n v="9"/>
    <n v="48060"/>
    <n v="14418"/>
    <n v="0.3"/>
  </r>
  <r>
    <x v="0"/>
    <x v="1"/>
    <x v="27"/>
    <x v="0"/>
    <x v="1"/>
    <s v="Goiania"/>
    <x v="9"/>
    <n v="5300"/>
    <n v="5"/>
    <n v="26500"/>
    <n v="7950"/>
    <n v="0.3"/>
  </r>
  <r>
    <x v="0"/>
    <x v="1"/>
    <x v="28"/>
    <x v="0"/>
    <x v="1"/>
    <s v="Goiania"/>
    <x v="6"/>
    <n v="1500"/>
    <n v="3"/>
    <n v="4500"/>
    <n v="1800"/>
    <n v="0.4"/>
  </r>
  <r>
    <x v="1"/>
    <x v="1"/>
    <x v="28"/>
    <x v="0"/>
    <x v="1"/>
    <s v="Goiania"/>
    <x v="10"/>
    <n v="3200"/>
    <n v="10"/>
    <n v="32000"/>
    <n v="6400"/>
    <n v="0.2"/>
  </r>
  <r>
    <x v="0"/>
    <x v="0"/>
    <x v="29"/>
    <x v="0"/>
    <x v="1"/>
    <s v="Goiania"/>
    <x v="6"/>
    <n v="1500"/>
    <n v="8"/>
    <n v="12000"/>
    <n v="4800"/>
    <n v="0.4"/>
  </r>
  <r>
    <x v="2"/>
    <x v="0"/>
    <x v="30"/>
    <x v="0"/>
    <x v="1"/>
    <s v="Goiania"/>
    <x v="1"/>
    <n v="500"/>
    <n v="12"/>
    <n v="6000"/>
    <n v="1500"/>
    <n v="0.25"/>
  </r>
  <r>
    <x v="0"/>
    <x v="1"/>
    <x v="31"/>
    <x v="0"/>
    <x v="1"/>
    <s v="Goiania"/>
    <x v="4"/>
    <n v="300"/>
    <n v="8"/>
    <n v="2400"/>
    <n v="360"/>
    <n v="0.15"/>
  </r>
  <r>
    <x v="3"/>
    <x v="0"/>
    <x v="32"/>
    <x v="0"/>
    <x v="1"/>
    <s v="Goiania"/>
    <x v="5"/>
    <n v="1700"/>
    <n v="10"/>
    <n v="17000"/>
    <n v="8500"/>
    <n v="0.5"/>
  </r>
  <r>
    <x v="0"/>
    <x v="1"/>
    <x v="33"/>
    <x v="0"/>
    <x v="1"/>
    <s v="Goiania"/>
    <x v="8"/>
    <n v="3400"/>
    <n v="6"/>
    <n v="20400"/>
    <n v="7140"/>
    <n v="0.35"/>
  </r>
  <r>
    <x v="0"/>
    <x v="1"/>
    <x v="34"/>
    <x v="0"/>
    <x v="1"/>
    <s v="Goiania"/>
    <x v="4"/>
    <n v="300"/>
    <n v="4"/>
    <n v="1200"/>
    <n v="180"/>
    <n v="0.15"/>
  </r>
  <r>
    <x v="0"/>
    <x v="1"/>
    <x v="35"/>
    <x v="0"/>
    <x v="1"/>
    <s v="Goiania"/>
    <x v="1"/>
    <n v="500"/>
    <n v="9"/>
    <n v="4500"/>
    <n v="1125"/>
    <n v="0.25"/>
  </r>
  <r>
    <x v="3"/>
    <x v="1"/>
    <x v="36"/>
    <x v="0"/>
    <x v="1"/>
    <s v="Goiania"/>
    <x v="10"/>
    <n v="3200"/>
    <n v="5"/>
    <n v="16000"/>
    <n v="3200"/>
    <n v="0.2"/>
  </r>
  <r>
    <x v="0"/>
    <x v="1"/>
    <x v="37"/>
    <x v="0"/>
    <x v="1"/>
    <s v="Goiania"/>
    <x v="1"/>
    <n v="500"/>
    <n v="1"/>
    <n v="500"/>
    <n v="125"/>
    <n v="0.25"/>
  </r>
  <r>
    <x v="3"/>
    <x v="1"/>
    <x v="38"/>
    <x v="0"/>
    <x v="1"/>
    <s v="Goiania"/>
    <x v="5"/>
    <n v="1700"/>
    <n v="6"/>
    <n v="10200"/>
    <n v="5100"/>
    <n v="0.5"/>
  </r>
  <r>
    <x v="0"/>
    <x v="1"/>
    <x v="39"/>
    <x v="0"/>
    <x v="1"/>
    <s v="Goiania"/>
    <x v="0"/>
    <n v="8902"/>
    <n v="4"/>
    <n v="35608"/>
    <n v="12462.8"/>
    <n v="0.35"/>
  </r>
  <r>
    <x v="1"/>
    <x v="1"/>
    <x v="40"/>
    <x v="0"/>
    <x v="1"/>
    <s v="Goiania"/>
    <x v="7"/>
    <n v="5340"/>
    <n v="1"/>
    <n v="5340"/>
    <n v="1602"/>
    <n v="0.3"/>
  </r>
  <r>
    <x v="0"/>
    <x v="1"/>
    <x v="41"/>
    <x v="0"/>
    <x v="1"/>
    <s v="Goiania"/>
    <x v="0"/>
    <n v="8902"/>
    <n v="8"/>
    <n v="71216"/>
    <n v="24925.599999999999"/>
    <n v="0.35"/>
  </r>
  <r>
    <x v="3"/>
    <x v="0"/>
    <x v="42"/>
    <x v="0"/>
    <x v="1"/>
    <s v="Goiania"/>
    <x v="1"/>
    <n v="500"/>
    <n v="5"/>
    <n v="2500"/>
    <n v="625"/>
    <n v="0.25"/>
  </r>
  <r>
    <x v="4"/>
    <x v="1"/>
    <x v="43"/>
    <x v="0"/>
    <x v="1"/>
    <s v="Goiania"/>
    <x v="2"/>
    <n v="1200"/>
    <n v="2"/>
    <n v="2400"/>
    <n v="720"/>
    <n v="0.3"/>
  </r>
  <r>
    <x v="2"/>
    <x v="0"/>
    <x v="44"/>
    <x v="0"/>
    <x v="1"/>
    <s v="Goiania"/>
    <x v="12"/>
    <n v="4500"/>
    <n v="5"/>
    <n v="22500"/>
    <n v="5625"/>
    <n v="0.25"/>
  </r>
  <r>
    <x v="0"/>
    <x v="1"/>
    <x v="45"/>
    <x v="0"/>
    <x v="1"/>
    <s v="Goiania"/>
    <x v="0"/>
    <n v="8902"/>
    <n v="8"/>
    <n v="71216"/>
    <n v="24925.599999999999"/>
    <n v="0.35"/>
  </r>
  <r>
    <x v="4"/>
    <x v="1"/>
    <x v="46"/>
    <x v="0"/>
    <x v="1"/>
    <s v="Goiania"/>
    <x v="9"/>
    <n v="5300"/>
    <n v="1"/>
    <n v="5300"/>
    <n v="1590"/>
    <n v="0.3"/>
  </r>
  <r>
    <x v="2"/>
    <x v="1"/>
    <x v="47"/>
    <x v="0"/>
    <x v="1"/>
    <s v="Goiania"/>
    <x v="9"/>
    <n v="5300"/>
    <n v="1"/>
    <n v="5300"/>
    <n v="1590"/>
    <n v="0.3"/>
  </r>
  <r>
    <x v="0"/>
    <x v="1"/>
    <x v="48"/>
    <x v="0"/>
    <x v="1"/>
    <s v="Goiania"/>
    <x v="11"/>
    <n v="4600"/>
    <n v="8"/>
    <n v="36800"/>
    <n v="9200"/>
    <n v="0.25"/>
  </r>
  <r>
    <x v="1"/>
    <x v="0"/>
    <x v="49"/>
    <x v="0"/>
    <x v="1"/>
    <s v="Goiania"/>
    <x v="10"/>
    <n v="3200"/>
    <n v="6"/>
    <n v="19200"/>
    <n v="3840"/>
    <n v="0.2"/>
  </r>
  <r>
    <x v="0"/>
    <x v="0"/>
    <x v="50"/>
    <x v="0"/>
    <x v="1"/>
    <s v="Goiania"/>
    <x v="3"/>
    <n v="5130"/>
    <n v="5"/>
    <n v="25650"/>
    <n v="10260"/>
    <n v="0.4"/>
  </r>
  <r>
    <x v="1"/>
    <x v="1"/>
    <x v="51"/>
    <x v="0"/>
    <x v="1"/>
    <s v="Goiania"/>
    <x v="12"/>
    <n v="4500"/>
    <n v="11"/>
    <n v="49500"/>
    <n v="12375"/>
    <n v="0.25"/>
  </r>
  <r>
    <x v="4"/>
    <x v="1"/>
    <x v="52"/>
    <x v="0"/>
    <x v="1"/>
    <s v="Goiania"/>
    <x v="4"/>
    <n v="300"/>
    <n v="4"/>
    <n v="1200"/>
    <n v="180"/>
    <n v="0.15"/>
  </r>
  <r>
    <x v="0"/>
    <x v="0"/>
    <x v="53"/>
    <x v="0"/>
    <x v="1"/>
    <s v="Goiania"/>
    <x v="0"/>
    <n v="8902"/>
    <n v="3"/>
    <n v="26706"/>
    <n v="9347.0999999999985"/>
    <n v="0.35"/>
  </r>
  <r>
    <x v="0"/>
    <x v="0"/>
    <x v="54"/>
    <x v="0"/>
    <x v="1"/>
    <s v="Goiania"/>
    <x v="11"/>
    <n v="4600"/>
    <n v="12"/>
    <n v="55200"/>
    <n v="13800"/>
    <n v="0.25"/>
  </r>
  <r>
    <x v="0"/>
    <x v="0"/>
    <x v="55"/>
    <x v="0"/>
    <x v="1"/>
    <s v="Goiania"/>
    <x v="8"/>
    <n v="3400"/>
    <n v="1"/>
    <n v="3400"/>
    <n v="1190"/>
    <n v="0.35"/>
  </r>
  <r>
    <x v="4"/>
    <x v="1"/>
    <x v="56"/>
    <x v="0"/>
    <x v="1"/>
    <s v="Goiania"/>
    <x v="7"/>
    <n v="5340"/>
    <n v="8"/>
    <n v="42720"/>
    <n v="12816"/>
    <n v="0.3"/>
  </r>
  <r>
    <x v="0"/>
    <x v="0"/>
    <x v="57"/>
    <x v="0"/>
    <x v="1"/>
    <s v="Goiania"/>
    <x v="5"/>
    <n v="1700"/>
    <n v="12"/>
    <n v="20400"/>
    <n v="10200"/>
    <n v="0.5"/>
  </r>
  <r>
    <x v="3"/>
    <x v="0"/>
    <x v="58"/>
    <x v="0"/>
    <x v="1"/>
    <s v="Goiania"/>
    <x v="10"/>
    <n v="3200"/>
    <n v="12"/>
    <n v="38400"/>
    <n v="7680"/>
    <n v="0.2"/>
  </r>
  <r>
    <x v="3"/>
    <x v="1"/>
    <x v="59"/>
    <x v="0"/>
    <x v="1"/>
    <s v="Goiania"/>
    <x v="1"/>
    <n v="500"/>
    <n v="10"/>
    <n v="5000"/>
    <n v="1250"/>
    <n v="0.25"/>
  </r>
  <r>
    <x v="3"/>
    <x v="1"/>
    <x v="60"/>
    <x v="0"/>
    <x v="1"/>
    <s v="Goiania"/>
    <x v="9"/>
    <n v="5300"/>
    <n v="10"/>
    <n v="53000"/>
    <n v="15900"/>
    <n v="0.3"/>
  </r>
  <r>
    <x v="0"/>
    <x v="1"/>
    <x v="61"/>
    <x v="0"/>
    <x v="1"/>
    <s v="Goiania"/>
    <x v="10"/>
    <n v="3200"/>
    <n v="7"/>
    <n v="22400"/>
    <n v="4480"/>
    <n v="0.2"/>
  </r>
  <r>
    <x v="4"/>
    <x v="0"/>
    <x v="62"/>
    <x v="0"/>
    <x v="1"/>
    <s v="Goiania"/>
    <x v="1"/>
    <n v="500"/>
    <n v="15"/>
    <n v="7500"/>
    <n v="1875"/>
    <n v="0.25"/>
  </r>
  <r>
    <x v="3"/>
    <x v="0"/>
    <x v="63"/>
    <x v="0"/>
    <x v="1"/>
    <s v="Goiania"/>
    <x v="10"/>
    <n v="3200"/>
    <n v="10"/>
    <n v="32000"/>
    <n v="6400"/>
    <n v="0.2"/>
  </r>
  <r>
    <x v="0"/>
    <x v="1"/>
    <x v="64"/>
    <x v="0"/>
    <x v="1"/>
    <s v="Goiania"/>
    <x v="12"/>
    <n v="4500"/>
    <n v="8"/>
    <n v="36000"/>
    <n v="9000"/>
    <n v="0.25"/>
  </r>
  <r>
    <x v="3"/>
    <x v="1"/>
    <x v="65"/>
    <x v="0"/>
    <x v="1"/>
    <s v="Goiania"/>
    <x v="12"/>
    <n v="4500"/>
    <n v="4"/>
    <n v="18000"/>
    <n v="4500"/>
    <n v="0.25"/>
  </r>
  <r>
    <x v="1"/>
    <x v="1"/>
    <x v="66"/>
    <x v="0"/>
    <x v="1"/>
    <s v="Goiania"/>
    <x v="12"/>
    <n v="4500"/>
    <n v="5"/>
    <n v="22500"/>
    <n v="5625"/>
    <n v="0.25"/>
  </r>
  <r>
    <x v="4"/>
    <x v="1"/>
    <x v="67"/>
    <x v="0"/>
    <x v="1"/>
    <s v="Goiania"/>
    <x v="12"/>
    <n v="4500"/>
    <n v="6"/>
    <n v="27000"/>
    <n v="6750"/>
    <n v="0.25"/>
  </r>
  <r>
    <x v="1"/>
    <x v="1"/>
    <x v="68"/>
    <x v="0"/>
    <x v="1"/>
    <s v="Goiania"/>
    <x v="2"/>
    <n v="1200"/>
    <n v="4"/>
    <n v="4800"/>
    <n v="1440"/>
    <n v="0.3"/>
  </r>
  <r>
    <x v="2"/>
    <x v="1"/>
    <x v="69"/>
    <x v="0"/>
    <x v="1"/>
    <s v="Goiania"/>
    <x v="8"/>
    <n v="3400"/>
    <n v="10"/>
    <n v="3400"/>
    <n v="1190"/>
    <n v="0.35"/>
  </r>
  <r>
    <x v="3"/>
    <x v="0"/>
    <x v="70"/>
    <x v="0"/>
    <x v="1"/>
    <s v="Goiania"/>
    <x v="1"/>
    <n v="500"/>
    <n v="10"/>
    <n v="5000"/>
    <n v="1250"/>
    <n v="0.25"/>
  </r>
  <r>
    <x v="3"/>
    <x v="1"/>
    <x v="71"/>
    <x v="0"/>
    <x v="1"/>
    <s v="Goiania"/>
    <x v="8"/>
    <n v="3400"/>
    <n v="8"/>
    <n v="27200"/>
    <n v="9520"/>
    <n v="0.35"/>
  </r>
  <r>
    <x v="0"/>
    <x v="1"/>
    <x v="72"/>
    <x v="0"/>
    <x v="1"/>
    <s v="Goiania"/>
    <x v="11"/>
    <n v="4600"/>
    <n v="12"/>
    <n v="55200"/>
    <n v="13800"/>
    <n v="0.25"/>
  </r>
  <r>
    <x v="3"/>
    <x v="0"/>
    <x v="73"/>
    <x v="0"/>
    <x v="1"/>
    <s v="Goiania"/>
    <x v="1"/>
    <n v="500"/>
    <n v="10"/>
    <n v="5000"/>
    <n v="1250"/>
    <n v="0.25"/>
  </r>
  <r>
    <x v="2"/>
    <x v="1"/>
    <x v="74"/>
    <x v="0"/>
    <x v="1"/>
    <s v="Goiania"/>
    <x v="3"/>
    <n v="5130"/>
    <n v="15"/>
    <n v="76950"/>
    <n v="30780"/>
    <n v="0.4"/>
  </r>
  <r>
    <x v="4"/>
    <x v="0"/>
    <x v="75"/>
    <x v="0"/>
    <x v="1"/>
    <s v="Goiania"/>
    <x v="6"/>
    <n v="1500"/>
    <n v="1"/>
    <n v="1500"/>
    <n v="600"/>
    <n v="0.4"/>
  </r>
  <r>
    <x v="0"/>
    <x v="1"/>
    <x v="76"/>
    <x v="0"/>
    <x v="1"/>
    <s v="Goiania"/>
    <x v="10"/>
    <n v="3200"/>
    <n v="20"/>
    <n v="35200"/>
    <n v="7040"/>
    <n v="0.2"/>
  </r>
  <r>
    <x v="0"/>
    <x v="1"/>
    <x v="77"/>
    <x v="0"/>
    <x v="1"/>
    <s v="Goiania"/>
    <x v="7"/>
    <n v="5340"/>
    <n v="20"/>
    <n v="10680"/>
    <n v="3204"/>
    <n v="0.3"/>
  </r>
  <r>
    <x v="3"/>
    <x v="0"/>
    <x v="78"/>
    <x v="0"/>
    <x v="1"/>
    <s v="Goiania"/>
    <x v="7"/>
    <n v="5340"/>
    <n v="1"/>
    <n v="5340"/>
    <n v="1602"/>
    <n v="0.3"/>
  </r>
  <r>
    <x v="0"/>
    <x v="0"/>
    <x v="79"/>
    <x v="0"/>
    <x v="1"/>
    <s v="Goiania"/>
    <x v="1"/>
    <n v="500"/>
    <n v="5"/>
    <n v="2500"/>
    <n v="625"/>
    <n v="0.25"/>
  </r>
  <r>
    <x v="0"/>
    <x v="0"/>
    <x v="80"/>
    <x v="0"/>
    <x v="1"/>
    <s v="Goiania"/>
    <x v="7"/>
    <n v="5340"/>
    <n v="12"/>
    <n v="64080"/>
    <n v="19224"/>
    <n v="0.3"/>
  </r>
  <r>
    <x v="4"/>
    <x v="1"/>
    <x v="81"/>
    <x v="0"/>
    <x v="1"/>
    <s v="Goiania"/>
    <x v="2"/>
    <n v="1200"/>
    <n v="8"/>
    <n v="9600"/>
    <n v="2880"/>
    <n v="0.3"/>
  </r>
  <r>
    <x v="0"/>
    <x v="0"/>
    <x v="82"/>
    <x v="0"/>
    <x v="1"/>
    <s v="Goiania"/>
    <x v="9"/>
    <n v="5300"/>
    <n v="20"/>
    <n v="42400"/>
    <n v="12720"/>
    <n v="0.3"/>
  </r>
  <r>
    <x v="1"/>
    <x v="1"/>
    <x v="83"/>
    <x v="0"/>
    <x v="1"/>
    <s v="Goiania"/>
    <x v="0"/>
    <n v="8902"/>
    <n v="20"/>
    <n v="97922"/>
    <n v="34272.699999999997"/>
    <n v="0.35"/>
  </r>
  <r>
    <x v="3"/>
    <x v="1"/>
    <x v="84"/>
    <x v="0"/>
    <x v="1"/>
    <s v="Goiania"/>
    <x v="0"/>
    <n v="8902"/>
    <n v="12"/>
    <n v="106824"/>
    <n v="37388.399999999994"/>
    <n v="0.35"/>
  </r>
  <r>
    <x v="1"/>
    <x v="1"/>
    <x v="85"/>
    <x v="0"/>
    <x v="1"/>
    <s v="Goiania"/>
    <x v="12"/>
    <n v="4500"/>
    <n v="3"/>
    <n v="13500"/>
    <n v="3375"/>
    <n v="0.25"/>
  </r>
  <r>
    <x v="0"/>
    <x v="0"/>
    <x v="0"/>
    <x v="0"/>
    <x v="2"/>
    <s v="Cuiabá"/>
    <x v="0"/>
    <n v="8902"/>
    <n v="4"/>
    <n v="35608"/>
    <n v="12462.8"/>
    <n v="0.35"/>
  </r>
  <r>
    <x v="0"/>
    <x v="0"/>
    <x v="1"/>
    <x v="0"/>
    <x v="2"/>
    <s v="Cuiabá"/>
    <x v="1"/>
    <n v="500"/>
    <n v="4"/>
    <n v="2000"/>
    <n v="500"/>
    <n v="0.25"/>
  </r>
  <r>
    <x v="0"/>
    <x v="1"/>
    <x v="2"/>
    <x v="0"/>
    <x v="2"/>
    <s v="Cuiabá"/>
    <x v="2"/>
    <n v="1200"/>
    <n v="5"/>
    <n v="6000"/>
    <n v="1800"/>
    <n v="0.3"/>
  </r>
  <r>
    <x v="0"/>
    <x v="1"/>
    <x v="3"/>
    <x v="0"/>
    <x v="2"/>
    <s v="Cuiabá"/>
    <x v="1"/>
    <n v="500"/>
    <n v="12"/>
    <n v="6000"/>
    <n v="1500"/>
    <n v="0.25"/>
  </r>
  <r>
    <x v="1"/>
    <x v="1"/>
    <x v="4"/>
    <x v="0"/>
    <x v="2"/>
    <s v="Cuiabá"/>
    <x v="0"/>
    <n v="8902"/>
    <n v="21"/>
    <n v="186942"/>
    <n v="65429.7"/>
    <n v="0.35"/>
  </r>
  <r>
    <x v="0"/>
    <x v="0"/>
    <x v="5"/>
    <x v="0"/>
    <x v="2"/>
    <s v="Cuiabá"/>
    <x v="3"/>
    <n v="5130"/>
    <n v="2"/>
    <n v="10260"/>
    <n v="4104"/>
    <n v="0.4"/>
  </r>
  <r>
    <x v="0"/>
    <x v="1"/>
    <x v="6"/>
    <x v="0"/>
    <x v="2"/>
    <s v="Cuiabá"/>
    <x v="0"/>
    <n v="8902"/>
    <n v="6"/>
    <n v="53412"/>
    <n v="18694.199999999997"/>
    <n v="0.35"/>
  </r>
  <r>
    <x v="2"/>
    <x v="1"/>
    <x v="7"/>
    <x v="0"/>
    <x v="2"/>
    <s v="Cuiabá"/>
    <x v="4"/>
    <n v="300"/>
    <n v="1"/>
    <n v="300"/>
    <n v="45"/>
    <n v="0.15"/>
  </r>
  <r>
    <x v="1"/>
    <x v="0"/>
    <x v="8"/>
    <x v="0"/>
    <x v="2"/>
    <s v="Cuiabá"/>
    <x v="5"/>
    <n v="1700"/>
    <n v="10"/>
    <n v="17000"/>
    <n v="8500"/>
    <n v="0.5"/>
  </r>
  <r>
    <x v="3"/>
    <x v="0"/>
    <x v="9"/>
    <x v="0"/>
    <x v="2"/>
    <s v="Cuiabá"/>
    <x v="6"/>
    <n v="1500"/>
    <n v="3"/>
    <n v="4500"/>
    <n v="1800"/>
    <n v="0.4"/>
  </r>
  <r>
    <x v="1"/>
    <x v="1"/>
    <x v="10"/>
    <x v="0"/>
    <x v="2"/>
    <s v="Cuiabá"/>
    <x v="7"/>
    <n v="5340"/>
    <n v="12"/>
    <n v="64080"/>
    <n v="19224"/>
    <n v="0.3"/>
  </r>
  <r>
    <x v="0"/>
    <x v="1"/>
    <x v="11"/>
    <x v="0"/>
    <x v="2"/>
    <s v="Cuiabá"/>
    <x v="0"/>
    <n v="8902"/>
    <n v="2"/>
    <n v="17804"/>
    <n v="6231.4"/>
    <n v="0.35"/>
  </r>
  <r>
    <x v="0"/>
    <x v="1"/>
    <x v="12"/>
    <x v="0"/>
    <x v="2"/>
    <s v="Cuiabá"/>
    <x v="3"/>
    <n v="5130"/>
    <n v="8"/>
    <n v="41040"/>
    <n v="16416"/>
    <n v="0.4"/>
  </r>
  <r>
    <x v="3"/>
    <x v="1"/>
    <x v="13"/>
    <x v="0"/>
    <x v="2"/>
    <s v="Cuiabá"/>
    <x v="0"/>
    <n v="8902"/>
    <n v="3"/>
    <n v="26706"/>
    <n v="9347.0999999999985"/>
    <n v="0.35"/>
  </r>
  <r>
    <x v="1"/>
    <x v="0"/>
    <x v="14"/>
    <x v="0"/>
    <x v="2"/>
    <s v="Cuiabá"/>
    <x v="8"/>
    <n v="3400"/>
    <n v="8"/>
    <n v="27200"/>
    <n v="9520"/>
    <n v="0.35"/>
  </r>
  <r>
    <x v="1"/>
    <x v="1"/>
    <x v="15"/>
    <x v="0"/>
    <x v="2"/>
    <s v="Cuiabá"/>
    <x v="9"/>
    <n v="5300"/>
    <n v="10"/>
    <n v="53000"/>
    <n v="15900"/>
    <n v="0.3"/>
  </r>
  <r>
    <x v="0"/>
    <x v="0"/>
    <x v="16"/>
    <x v="0"/>
    <x v="2"/>
    <s v="Cuiabá"/>
    <x v="0"/>
    <n v="8902"/>
    <n v="11"/>
    <n v="97922"/>
    <n v="34272.699999999997"/>
    <n v="0.35"/>
  </r>
  <r>
    <x v="0"/>
    <x v="1"/>
    <x v="17"/>
    <x v="0"/>
    <x v="2"/>
    <s v="Cuiabá"/>
    <x v="3"/>
    <n v="5130"/>
    <n v="2"/>
    <n v="10260"/>
    <n v="4104"/>
    <n v="0.4"/>
  </r>
  <r>
    <x v="2"/>
    <x v="0"/>
    <x v="18"/>
    <x v="0"/>
    <x v="2"/>
    <s v="Cuiabá"/>
    <x v="4"/>
    <n v="300"/>
    <n v="11"/>
    <n v="3300"/>
    <n v="495"/>
    <n v="0.15"/>
  </r>
  <r>
    <x v="3"/>
    <x v="1"/>
    <x v="19"/>
    <x v="0"/>
    <x v="2"/>
    <s v="Cuiabá"/>
    <x v="10"/>
    <n v="3200"/>
    <n v="5"/>
    <n v="16000"/>
    <n v="3200"/>
    <n v="0.2"/>
  </r>
  <r>
    <x v="0"/>
    <x v="1"/>
    <x v="20"/>
    <x v="0"/>
    <x v="2"/>
    <s v="Cuiabá"/>
    <x v="0"/>
    <n v="8902"/>
    <n v="2"/>
    <n v="17804"/>
    <n v="6231.4"/>
    <n v="0.35"/>
  </r>
  <r>
    <x v="1"/>
    <x v="1"/>
    <x v="21"/>
    <x v="0"/>
    <x v="2"/>
    <s v="Cuiabá"/>
    <x v="4"/>
    <n v="300"/>
    <n v="10"/>
    <n v="3000"/>
    <n v="450"/>
    <n v="0.15"/>
  </r>
  <r>
    <x v="2"/>
    <x v="0"/>
    <x v="22"/>
    <x v="0"/>
    <x v="2"/>
    <s v="Cuiabá"/>
    <x v="10"/>
    <n v="3200"/>
    <n v="12"/>
    <n v="38400"/>
    <n v="7680"/>
    <n v="0.2"/>
  </r>
  <r>
    <x v="0"/>
    <x v="1"/>
    <x v="23"/>
    <x v="0"/>
    <x v="2"/>
    <s v="Cuiabá"/>
    <x v="11"/>
    <n v="4600"/>
    <n v="7"/>
    <n v="32200"/>
    <n v="8050"/>
    <n v="0.25"/>
  </r>
  <r>
    <x v="2"/>
    <x v="0"/>
    <x v="24"/>
    <x v="0"/>
    <x v="2"/>
    <s v="Cuiabá"/>
    <x v="2"/>
    <n v="1200"/>
    <n v="9"/>
    <n v="10800"/>
    <n v="3240"/>
    <n v="0.3"/>
  </r>
  <r>
    <x v="3"/>
    <x v="0"/>
    <x v="25"/>
    <x v="0"/>
    <x v="2"/>
    <s v="Cuiabá"/>
    <x v="11"/>
    <n v="4600"/>
    <n v="11"/>
    <n v="50600"/>
    <n v="12650"/>
    <n v="0.25"/>
  </r>
  <r>
    <x v="4"/>
    <x v="1"/>
    <x v="26"/>
    <x v="0"/>
    <x v="2"/>
    <s v="Cuiabá"/>
    <x v="7"/>
    <n v="5340"/>
    <n v="9"/>
    <n v="48060"/>
    <n v="14418"/>
    <n v="0.3"/>
  </r>
  <r>
    <x v="0"/>
    <x v="1"/>
    <x v="27"/>
    <x v="0"/>
    <x v="2"/>
    <s v="Cuiabá"/>
    <x v="9"/>
    <n v="5300"/>
    <n v="5"/>
    <n v="26500"/>
    <n v="7950"/>
    <n v="0.3"/>
  </r>
  <r>
    <x v="0"/>
    <x v="1"/>
    <x v="28"/>
    <x v="0"/>
    <x v="2"/>
    <s v="Cuiabá"/>
    <x v="6"/>
    <n v="1500"/>
    <n v="3"/>
    <n v="4500"/>
    <n v="1800"/>
    <n v="0.4"/>
  </r>
  <r>
    <x v="1"/>
    <x v="1"/>
    <x v="28"/>
    <x v="0"/>
    <x v="2"/>
    <s v="Cuiabá"/>
    <x v="10"/>
    <n v="3200"/>
    <n v="10"/>
    <n v="32000"/>
    <n v="6400"/>
    <n v="0.2"/>
  </r>
  <r>
    <x v="0"/>
    <x v="0"/>
    <x v="29"/>
    <x v="0"/>
    <x v="2"/>
    <s v="Cuiabá"/>
    <x v="6"/>
    <n v="1500"/>
    <n v="8"/>
    <n v="12000"/>
    <n v="4800"/>
    <n v="0.4"/>
  </r>
  <r>
    <x v="2"/>
    <x v="0"/>
    <x v="30"/>
    <x v="0"/>
    <x v="2"/>
    <s v="Cuiabá"/>
    <x v="1"/>
    <n v="500"/>
    <n v="12"/>
    <n v="6000"/>
    <n v="1500"/>
    <n v="0.25"/>
  </r>
  <r>
    <x v="0"/>
    <x v="1"/>
    <x v="31"/>
    <x v="0"/>
    <x v="2"/>
    <s v="Cuiabá"/>
    <x v="4"/>
    <n v="300"/>
    <n v="8"/>
    <n v="2400"/>
    <n v="360"/>
    <n v="0.15"/>
  </r>
  <r>
    <x v="3"/>
    <x v="0"/>
    <x v="32"/>
    <x v="0"/>
    <x v="2"/>
    <s v="Cuiabá"/>
    <x v="5"/>
    <n v="1700"/>
    <n v="10"/>
    <n v="17000"/>
    <n v="8500"/>
    <n v="0.5"/>
  </r>
  <r>
    <x v="0"/>
    <x v="1"/>
    <x v="33"/>
    <x v="0"/>
    <x v="2"/>
    <s v="Cuiabá"/>
    <x v="8"/>
    <n v="3400"/>
    <n v="6"/>
    <n v="20400"/>
    <n v="7140"/>
    <n v="0.35"/>
  </r>
  <r>
    <x v="0"/>
    <x v="1"/>
    <x v="34"/>
    <x v="0"/>
    <x v="2"/>
    <s v="Cuiabá"/>
    <x v="4"/>
    <n v="300"/>
    <n v="4"/>
    <n v="1200"/>
    <n v="180"/>
    <n v="0.15"/>
  </r>
  <r>
    <x v="0"/>
    <x v="1"/>
    <x v="35"/>
    <x v="0"/>
    <x v="2"/>
    <s v="Cuiabá"/>
    <x v="1"/>
    <n v="500"/>
    <n v="9"/>
    <n v="4500"/>
    <n v="1125"/>
    <n v="0.25"/>
  </r>
  <r>
    <x v="3"/>
    <x v="1"/>
    <x v="36"/>
    <x v="0"/>
    <x v="2"/>
    <s v="Cuiabá"/>
    <x v="10"/>
    <n v="3200"/>
    <n v="5"/>
    <n v="16000"/>
    <n v="3200"/>
    <n v="0.2"/>
  </r>
  <r>
    <x v="0"/>
    <x v="1"/>
    <x v="37"/>
    <x v="0"/>
    <x v="2"/>
    <s v="Cuiabá"/>
    <x v="1"/>
    <n v="500"/>
    <n v="1"/>
    <n v="500"/>
    <n v="125"/>
    <n v="0.25"/>
  </r>
  <r>
    <x v="3"/>
    <x v="1"/>
    <x v="38"/>
    <x v="0"/>
    <x v="2"/>
    <s v="Cuiabá"/>
    <x v="5"/>
    <n v="1700"/>
    <n v="6"/>
    <n v="10200"/>
    <n v="5100"/>
    <n v="0.5"/>
  </r>
  <r>
    <x v="0"/>
    <x v="1"/>
    <x v="39"/>
    <x v="0"/>
    <x v="2"/>
    <s v="Cuiabá"/>
    <x v="0"/>
    <n v="8902"/>
    <n v="4"/>
    <n v="35608"/>
    <n v="12462.8"/>
    <n v="0.35"/>
  </r>
  <r>
    <x v="1"/>
    <x v="1"/>
    <x v="40"/>
    <x v="0"/>
    <x v="2"/>
    <s v="Cuiabá"/>
    <x v="7"/>
    <n v="5340"/>
    <n v="1"/>
    <n v="5340"/>
    <n v="1602"/>
    <n v="0.3"/>
  </r>
  <r>
    <x v="0"/>
    <x v="1"/>
    <x v="41"/>
    <x v="0"/>
    <x v="2"/>
    <s v="Cuiabá"/>
    <x v="0"/>
    <n v="8902"/>
    <n v="8"/>
    <n v="71216"/>
    <n v="24925.599999999999"/>
    <n v="0.35"/>
  </r>
  <r>
    <x v="3"/>
    <x v="0"/>
    <x v="42"/>
    <x v="0"/>
    <x v="2"/>
    <s v="Cuiabá"/>
    <x v="1"/>
    <n v="500"/>
    <n v="5"/>
    <n v="2500"/>
    <n v="625"/>
    <n v="0.25"/>
  </r>
  <r>
    <x v="4"/>
    <x v="1"/>
    <x v="43"/>
    <x v="0"/>
    <x v="2"/>
    <s v="Cuiabá"/>
    <x v="2"/>
    <n v="1200"/>
    <n v="2"/>
    <n v="2400"/>
    <n v="720"/>
    <n v="0.3"/>
  </r>
  <r>
    <x v="2"/>
    <x v="0"/>
    <x v="44"/>
    <x v="0"/>
    <x v="2"/>
    <s v="Cuiabá"/>
    <x v="12"/>
    <n v="4500"/>
    <n v="5"/>
    <n v="22500"/>
    <n v="5625"/>
    <n v="0.25"/>
  </r>
  <r>
    <x v="0"/>
    <x v="1"/>
    <x v="45"/>
    <x v="0"/>
    <x v="2"/>
    <s v="Cuiabá"/>
    <x v="0"/>
    <n v="8902"/>
    <n v="8"/>
    <n v="71216"/>
    <n v="24925.599999999999"/>
    <n v="0.35"/>
  </r>
  <r>
    <x v="4"/>
    <x v="1"/>
    <x v="46"/>
    <x v="0"/>
    <x v="2"/>
    <s v="Cuiabá"/>
    <x v="9"/>
    <n v="5300"/>
    <n v="1"/>
    <n v="5300"/>
    <n v="1590"/>
    <n v="0.3"/>
  </r>
  <r>
    <x v="2"/>
    <x v="1"/>
    <x v="47"/>
    <x v="0"/>
    <x v="2"/>
    <s v="Cuiabá"/>
    <x v="9"/>
    <n v="5300"/>
    <n v="1"/>
    <n v="5300"/>
    <n v="1590"/>
    <n v="0.3"/>
  </r>
  <r>
    <x v="0"/>
    <x v="1"/>
    <x v="48"/>
    <x v="0"/>
    <x v="2"/>
    <s v="Cuiabá"/>
    <x v="11"/>
    <n v="4600"/>
    <n v="8"/>
    <n v="36800"/>
    <n v="9200"/>
    <n v="0.25"/>
  </r>
  <r>
    <x v="1"/>
    <x v="0"/>
    <x v="49"/>
    <x v="0"/>
    <x v="2"/>
    <s v="Cuiabá"/>
    <x v="10"/>
    <n v="3200"/>
    <n v="6"/>
    <n v="19200"/>
    <n v="3840"/>
    <n v="0.2"/>
  </r>
  <r>
    <x v="0"/>
    <x v="0"/>
    <x v="50"/>
    <x v="0"/>
    <x v="2"/>
    <s v="Cuiabá"/>
    <x v="3"/>
    <n v="5130"/>
    <n v="5"/>
    <n v="25650"/>
    <n v="10260"/>
    <n v="0.4"/>
  </r>
  <r>
    <x v="1"/>
    <x v="1"/>
    <x v="51"/>
    <x v="0"/>
    <x v="2"/>
    <s v="Cuiabá"/>
    <x v="12"/>
    <n v="4500"/>
    <n v="11"/>
    <n v="49500"/>
    <n v="12375"/>
    <n v="0.25"/>
  </r>
  <r>
    <x v="4"/>
    <x v="1"/>
    <x v="52"/>
    <x v="0"/>
    <x v="2"/>
    <s v="Cuiabá"/>
    <x v="4"/>
    <n v="300"/>
    <n v="4"/>
    <n v="1200"/>
    <n v="180"/>
    <n v="0.15"/>
  </r>
  <r>
    <x v="0"/>
    <x v="0"/>
    <x v="53"/>
    <x v="0"/>
    <x v="2"/>
    <s v="Cuiabá"/>
    <x v="0"/>
    <n v="8902"/>
    <n v="3"/>
    <n v="26706"/>
    <n v="9347.0999999999985"/>
    <n v="0.35"/>
  </r>
  <r>
    <x v="0"/>
    <x v="0"/>
    <x v="54"/>
    <x v="0"/>
    <x v="2"/>
    <s v="Cuiabá"/>
    <x v="11"/>
    <n v="4600"/>
    <n v="12"/>
    <n v="55200"/>
    <n v="13800"/>
    <n v="0.25"/>
  </r>
  <r>
    <x v="0"/>
    <x v="0"/>
    <x v="55"/>
    <x v="0"/>
    <x v="2"/>
    <s v="Cuiabá"/>
    <x v="8"/>
    <n v="3400"/>
    <n v="1"/>
    <n v="3400"/>
    <n v="1190"/>
    <n v="0.35"/>
  </r>
  <r>
    <x v="4"/>
    <x v="1"/>
    <x v="56"/>
    <x v="0"/>
    <x v="2"/>
    <s v="Cuiabá"/>
    <x v="7"/>
    <n v="5340"/>
    <n v="8"/>
    <n v="42720"/>
    <n v="12816"/>
    <n v="0.3"/>
  </r>
  <r>
    <x v="0"/>
    <x v="0"/>
    <x v="57"/>
    <x v="0"/>
    <x v="2"/>
    <s v="Cuiabá"/>
    <x v="5"/>
    <n v="1700"/>
    <n v="12"/>
    <n v="20400"/>
    <n v="10200"/>
    <n v="0.5"/>
  </r>
  <r>
    <x v="3"/>
    <x v="0"/>
    <x v="58"/>
    <x v="0"/>
    <x v="2"/>
    <s v="Cuiabá"/>
    <x v="10"/>
    <n v="3200"/>
    <n v="12"/>
    <n v="38400"/>
    <n v="7680"/>
    <n v="0.2"/>
  </r>
  <r>
    <x v="3"/>
    <x v="1"/>
    <x v="59"/>
    <x v="0"/>
    <x v="2"/>
    <s v="Cuiabá"/>
    <x v="1"/>
    <n v="500"/>
    <n v="10"/>
    <n v="5000"/>
    <n v="1250"/>
    <n v="0.25"/>
  </r>
  <r>
    <x v="3"/>
    <x v="1"/>
    <x v="60"/>
    <x v="0"/>
    <x v="2"/>
    <s v="Cuiabá"/>
    <x v="9"/>
    <n v="5300"/>
    <n v="10"/>
    <n v="53000"/>
    <n v="15900"/>
    <n v="0.3"/>
  </r>
  <r>
    <x v="0"/>
    <x v="1"/>
    <x v="61"/>
    <x v="0"/>
    <x v="2"/>
    <s v="Cuiabá"/>
    <x v="10"/>
    <n v="3200"/>
    <n v="7"/>
    <n v="22400"/>
    <n v="4480"/>
    <n v="0.2"/>
  </r>
  <r>
    <x v="4"/>
    <x v="0"/>
    <x v="62"/>
    <x v="0"/>
    <x v="2"/>
    <s v="Cuiabá"/>
    <x v="1"/>
    <n v="500"/>
    <n v="15"/>
    <n v="7500"/>
    <n v="1875"/>
    <n v="0.25"/>
  </r>
  <r>
    <x v="3"/>
    <x v="0"/>
    <x v="63"/>
    <x v="0"/>
    <x v="2"/>
    <s v="Cuiabá"/>
    <x v="10"/>
    <n v="3200"/>
    <n v="10"/>
    <n v="32000"/>
    <n v="6400"/>
    <n v="0.2"/>
  </r>
  <r>
    <x v="0"/>
    <x v="1"/>
    <x v="64"/>
    <x v="0"/>
    <x v="2"/>
    <s v="Cuiabá"/>
    <x v="12"/>
    <n v="4500"/>
    <n v="8"/>
    <n v="36000"/>
    <n v="9000"/>
    <n v="0.25"/>
  </r>
  <r>
    <x v="3"/>
    <x v="1"/>
    <x v="65"/>
    <x v="0"/>
    <x v="2"/>
    <s v="Cuiabá"/>
    <x v="12"/>
    <n v="4500"/>
    <n v="4"/>
    <n v="18000"/>
    <n v="4500"/>
    <n v="0.25"/>
  </r>
  <r>
    <x v="1"/>
    <x v="1"/>
    <x v="66"/>
    <x v="0"/>
    <x v="2"/>
    <s v="Cuiabá"/>
    <x v="12"/>
    <n v="4500"/>
    <n v="5"/>
    <n v="22500"/>
    <n v="5625"/>
    <n v="0.25"/>
  </r>
  <r>
    <x v="4"/>
    <x v="1"/>
    <x v="67"/>
    <x v="0"/>
    <x v="2"/>
    <s v="Cuiabá"/>
    <x v="12"/>
    <n v="4500"/>
    <n v="6"/>
    <n v="27000"/>
    <n v="6750"/>
    <n v="0.25"/>
  </r>
  <r>
    <x v="1"/>
    <x v="1"/>
    <x v="68"/>
    <x v="0"/>
    <x v="2"/>
    <s v="Cuiabá"/>
    <x v="2"/>
    <n v="1200"/>
    <n v="4"/>
    <n v="4800"/>
    <n v="1440"/>
    <n v="0.3"/>
  </r>
  <r>
    <x v="2"/>
    <x v="1"/>
    <x v="69"/>
    <x v="0"/>
    <x v="2"/>
    <s v="Cuiabá"/>
    <x v="8"/>
    <n v="3400"/>
    <n v="1"/>
    <n v="3400"/>
    <n v="1190"/>
    <n v="0.35"/>
  </r>
  <r>
    <x v="3"/>
    <x v="0"/>
    <x v="70"/>
    <x v="0"/>
    <x v="2"/>
    <s v="Cuiabá"/>
    <x v="1"/>
    <n v="500"/>
    <n v="10"/>
    <n v="5000"/>
    <n v="1250"/>
    <n v="0.25"/>
  </r>
  <r>
    <x v="3"/>
    <x v="1"/>
    <x v="71"/>
    <x v="0"/>
    <x v="2"/>
    <s v="Cuiabá"/>
    <x v="8"/>
    <n v="3400"/>
    <n v="8"/>
    <n v="27200"/>
    <n v="9520"/>
    <n v="0.35"/>
  </r>
  <r>
    <x v="0"/>
    <x v="1"/>
    <x v="72"/>
    <x v="0"/>
    <x v="2"/>
    <s v="Cuiabá"/>
    <x v="11"/>
    <n v="4600"/>
    <n v="12"/>
    <n v="55200"/>
    <n v="13800"/>
    <n v="0.25"/>
  </r>
  <r>
    <x v="3"/>
    <x v="0"/>
    <x v="73"/>
    <x v="0"/>
    <x v="2"/>
    <s v="Cuiabá"/>
    <x v="1"/>
    <n v="500"/>
    <n v="10"/>
    <n v="5000"/>
    <n v="1250"/>
    <n v="0.25"/>
  </r>
  <r>
    <x v="2"/>
    <x v="1"/>
    <x v="74"/>
    <x v="0"/>
    <x v="2"/>
    <s v="Cuiabá"/>
    <x v="3"/>
    <n v="5130"/>
    <n v="15"/>
    <n v="76950"/>
    <n v="30780"/>
    <n v="0.4"/>
  </r>
  <r>
    <x v="4"/>
    <x v="0"/>
    <x v="75"/>
    <x v="0"/>
    <x v="2"/>
    <s v="Cuiabá"/>
    <x v="6"/>
    <n v="1500"/>
    <n v="1"/>
    <n v="1500"/>
    <n v="600"/>
    <n v="0.4"/>
  </r>
  <r>
    <x v="0"/>
    <x v="1"/>
    <x v="76"/>
    <x v="0"/>
    <x v="2"/>
    <s v="Cuiabá"/>
    <x v="10"/>
    <n v="3200"/>
    <n v="11"/>
    <n v="35200"/>
    <n v="7040"/>
    <n v="0.2"/>
  </r>
  <r>
    <x v="0"/>
    <x v="1"/>
    <x v="77"/>
    <x v="0"/>
    <x v="2"/>
    <s v="Cuiabá"/>
    <x v="7"/>
    <n v="5340"/>
    <n v="2"/>
    <n v="10680"/>
    <n v="3204"/>
    <n v="0.3"/>
  </r>
  <r>
    <x v="3"/>
    <x v="0"/>
    <x v="78"/>
    <x v="0"/>
    <x v="2"/>
    <s v="Cuiabá"/>
    <x v="7"/>
    <n v="5340"/>
    <n v="1"/>
    <n v="5340"/>
    <n v="1602"/>
    <n v="0.3"/>
  </r>
  <r>
    <x v="0"/>
    <x v="0"/>
    <x v="79"/>
    <x v="0"/>
    <x v="2"/>
    <s v="Cuiabá"/>
    <x v="1"/>
    <n v="500"/>
    <n v="5"/>
    <n v="2500"/>
    <n v="625"/>
    <n v="0.25"/>
  </r>
  <r>
    <x v="0"/>
    <x v="0"/>
    <x v="80"/>
    <x v="0"/>
    <x v="2"/>
    <s v="Cuiabá"/>
    <x v="7"/>
    <n v="5340"/>
    <n v="12"/>
    <n v="64080"/>
    <n v="19224"/>
    <n v="0.3"/>
  </r>
  <r>
    <x v="4"/>
    <x v="1"/>
    <x v="81"/>
    <x v="0"/>
    <x v="2"/>
    <s v="Cuiabá"/>
    <x v="2"/>
    <n v="1200"/>
    <n v="8"/>
    <n v="9600"/>
    <n v="2880"/>
    <n v="0.3"/>
  </r>
  <r>
    <x v="0"/>
    <x v="0"/>
    <x v="82"/>
    <x v="0"/>
    <x v="2"/>
    <s v="Cuiabá"/>
    <x v="9"/>
    <n v="5300"/>
    <n v="8"/>
    <n v="42400"/>
    <n v="12720"/>
    <n v="0.3"/>
  </r>
  <r>
    <x v="1"/>
    <x v="1"/>
    <x v="83"/>
    <x v="0"/>
    <x v="2"/>
    <s v="Cuiabá"/>
    <x v="0"/>
    <n v="8902"/>
    <n v="11"/>
    <n v="97922"/>
    <n v="34272.699999999997"/>
    <n v="0.35"/>
  </r>
  <r>
    <x v="3"/>
    <x v="1"/>
    <x v="84"/>
    <x v="0"/>
    <x v="2"/>
    <s v="Cuiabá"/>
    <x v="0"/>
    <n v="8902"/>
    <n v="12"/>
    <n v="106824"/>
    <n v="37388.399999999994"/>
    <n v="0.35"/>
  </r>
  <r>
    <x v="1"/>
    <x v="1"/>
    <x v="85"/>
    <x v="0"/>
    <x v="2"/>
    <s v="Cuiabá"/>
    <x v="12"/>
    <n v="4500"/>
    <n v="3"/>
    <n v="13500"/>
    <n v="3375"/>
    <n v="0.25"/>
  </r>
  <r>
    <x v="0"/>
    <x v="0"/>
    <x v="0"/>
    <x v="0"/>
    <x v="2"/>
    <s v="Cuiabá"/>
    <x v="0"/>
    <n v="8902"/>
    <n v="13"/>
    <n v="35608"/>
    <n v="12462.8"/>
    <n v="0.35"/>
  </r>
  <r>
    <x v="0"/>
    <x v="0"/>
    <x v="1"/>
    <x v="0"/>
    <x v="2"/>
    <s v="Cuiabá"/>
    <x v="1"/>
    <n v="500"/>
    <n v="13"/>
    <n v="2000"/>
    <n v="500"/>
    <n v="0.25"/>
  </r>
  <r>
    <x v="0"/>
    <x v="1"/>
    <x v="2"/>
    <x v="0"/>
    <x v="2"/>
    <s v="Cuiabá"/>
    <x v="2"/>
    <n v="1200"/>
    <n v="13"/>
    <n v="6000"/>
    <n v="1800"/>
    <n v="0.3"/>
  </r>
  <r>
    <x v="0"/>
    <x v="1"/>
    <x v="3"/>
    <x v="0"/>
    <x v="2"/>
    <s v="Cuiabá"/>
    <x v="1"/>
    <n v="500"/>
    <n v="12"/>
    <n v="6000"/>
    <n v="1500"/>
    <n v="0.25"/>
  </r>
  <r>
    <x v="1"/>
    <x v="1"/>
    <x v="4"/>
    <x v="0"/>
    <x v="2"/>
    <s v="Cuiabá"/>
    <x v="0"/>
    <n v="8902"/>
    <n v="9"/>
    <n v="80118"/>
    <n v="28041.3"/>
    <n v="0.35"/>
  </r>
  <r>
    <x v="0"/>
    <x v="0"/>
    <x v="5"/>
    <x v="0"/>
    <x v="2"/>
    <s v="Cuiabá"/>
    <x v="3"/>
    <n v="5130"/>
    <n v="2"/>
    <n v="10260"/>
    <n v="4104"/>
    <n v="0.4"/>
  </r>
  <r>
    <x v="0"/>
    <x v="1"/>
    <x v="6"/>
    <x v="0"/>
    <x v="2"/>
    <s v="Cuiabá"/>
    <x v="0"/>
    <n v="8902"/>
    <n v="6"/>
    <n v="53412"/>
    <n v="18694.199999999997"/>
    <n v="0.35"/>
  </r>
  <r>
    <x v="2"/>
    <x v="1"/>
    <x v="7"/>
    <x v="0"/>
    <x v="2"/>
    <s v="Cuiabá"/>
    <x v="4"/>
    <n v="300"/>
    <n v="1"/>
    <n v="300"/>
    <n v="45"/>
    <n v="0.15"/>
  </r>
  <r>
    <x v="1"/>
    <x v="0"/>
    <x v="8"/>
    <x v="0"/>
    <x v="2"/>
    <s v="Cuiabá"/>
    <x v="5"/>
    <n v="1700"/>
    <n v="10"/>
    <n v="17000"/>
    <n v="8500"/>
    <n v="0.5"/>
  </r>
  <r>
    <x v="3"/>
    <x v="0"/>
    <x v="9"/>
    <x v="0"/>
    <x v="2"/>
    <s v="Cuiabá"/>
    <x v="6"/>
    <n v="1500"/>
    <n v="3"/>
    <n v="4500"/>
    <n v="1800"/>
    <n v="0.4"/>
  </r>
  <r>
    <x v="1"/>
    <x v="1"/>
    <x v="10"/>
    <x v="0"/>
    <x v="2"/>
    <s v="Cuiabá"/>
    <x v="7"/>
    <n v="5340"/>
    <n v="12"/>
    <n v="64080"/>
    <n v="19224"/>
    <n v="0.3"/>
  </r>
  <r>
    <x v="0"/>
    <x v="1"/>
    <x v="11"/>
    <x v="0"/>
    <x v="2"/>
    <s v="Cuiabá"/>
    <x v="0"/>
    <n v="8902"/>
    <n v="2"/>
    <n v="17804"/>
    <n v="6231.4"/>
    <n v="0.35"/>
  </r>
  <r>
    <x v="0"/>
    <x v="1"/>
    <x v="12"/>
    <x v="0"/>
    <x v="2"/>
    <s v="Cuiabá"/>
    <x v="3"/>
    <n v="5130"/>
    <n v="8"/>
    <n v="41040"/>
    <n v="16416"/>
    <n v="0.4"/>
  </r>
  <r>
    <x v="3"/>
    <x v="1"/>
    <x v="13"/>
    <x v="0"/>
    <x v="2"/>
    <s v="Cuiabá"/>
    <x v="0"/>
    <n v="8902"/>
    <n v="3"/>
    <n v="26706"/>
    <n v="9347.0999999999985"/>
    <n v="0.35"/>
  </r>
  <r>
    <x v="1"/>
    <x v="0"/>
    <x v="14"/>
    <x v="0"/>
    <x v="2"/>
    <s v="Cuiabá"/>
    <x v="8"/>
    <n v="3400"/>
    <n v="8"/>
    <n v="27200"/>
    <n v="9520"/>
    <n v="0.35"/>
  </r>
  <r>
    <x v="1"/>
    <x v="1"/>
    <x v="15"/>
    <x v="0"/>
    <x v="2"/>
    <s v="Cuiabá"/>
    <x v="9"/>
    <n v="5300"/>
    <n v="10"/>
    <n v="53000"/>
    <n v="15900"/>
    <n v="0.3"/>
  </r>
  <r>
    <x v="0"/>
    <x v="0"/>
    <x v="16"/>
    <x v="0"/>
    <x v="2"/>
    <s v="Cuiabá"/>
    <x v="0"/>
    <n v="8902"/>
    <n v="11"/>
    <n v="97922"/>
    <n v="34272.699999999997"/>
    <n v="0.35"/>
  </r>
  <r>
    <x v="0"/>
    <x v="1"/>
    <x v="17"/>
    <x v="0"/>
    <x v="2"/>
    <s v="Cuiabá"/>
    <x v="3"/>
    <n v="5130"/>
    <n v="2"/>
    <n v="10260"/>
    <n v="4104"/>
    <n v="0.4"/>
  </r>
  <r>
    <x v="2"/>
    <x v="0"/>
    <x v="18"/>
    <x v="0"/>
    <x v="2"/>
    <s v="Cuiabá"/>
    <x v="4"/>
    <n v="300"/>
    <n v="11"/>
    <n v="3300"/>
    <n v="495"/>
    <n v="0.15"/>
  </r>
  <r>
    <x v="3"/>
    <x v="1"/>
    <x v="19"/>
    <x v="0"/>
    <x v="2"/>
    <s v="Cuiabá"/>
    <x v="10"/>
    <n v="3200"/>
    <n v="5"/>
    <n v="16000"/>
    <n v="3200"/>
    <n v="0.2"/>
  </r>
  <r>
    <x v="0"/>
    <x v="1"/>
    <x v="20"/>
    <x v="0"/>
    <x v="2"/>
    <s v="Cuiabá"/>
    <x v="0"/>
    <n v="8902"/>
    <n v="2"/>
    <n v="17804"/>
    <n v="6231.4"/>
    <n v="0.35"/>
  </r>
  <r>
    <x v="1"/>
    <x v="1"/>
    <x v="21"/>
    <x v="0"/>
    <x v="2"/>
    <s v="Cuiabá"/>
    <x v="4"/>
    <n v="300"/>
    <n v="10"/>
    <n v="3000"/>
    <n v="450"/>
    <n v="0.15"/>
  </r>
  <r>
    <x v="2"/>
    <x v="0"/>
    <x v="22"/>
    <x v="0"/>
    <x v="2"/>
    <s v="Cuiabá"/>
    <x v="10"/>
    <n v="3200"/>
    <n v="12"/>
    <n v="38400"/>
    <n v="7680"/>
    <n v="0.2"/>
  </r>
  <r>
    <x v="0"/>
    <x v="1"/>
    <x v="23"/>
    <x v="0"/>
    <x v="2"/>
    <s v="Cuiabá"/>
    <x v="11"/>
    <n v="4600"/>
    <n v="7"/>
    <n v="32200"/>
    <n v="8050"/>
    <n v="0.25"/>
  </r>
  <r>
    <x v="2"/>
    <x v="0"/>
    <x v="24"/>
    <x v="0"/>
    <x v="2"/>
    <s v="Cuiabá"/>
    <x v="2"/>
    <n v="1200"/>
    <n v="9"/>
    <n v="10800"/>
    <n v="3240"/>
    <n v="0.3"/>
  </r>
  <r>
    <x v="3"/>
    <x v="0"/>
    <x v="25"/>
    <x v="0"/>
    <x v="3"/>
    <s v="Campo Grande"/>
    <x v="11"/>
    <n v="4600"/>
    <n v="11"/>
    <n v="50600"/>
    <n v="12650"/>
    <n v="0.25"/>
  </r>
  <r>
    <x v="4"/>
    <x v="1"/>
    <x v="26"/>
    <x v="0"/>
    <x v="3"/>
    <s v="Campo Grande"/>
    <x v="7"/>
    <n v="5340"/>
    <n v="9"/>
    <n v="48060"/>
    <n v="14418"/>
    <n v="0.3"/>
  </r>
  <r>
    <x v="0"/>
    <x v="1"/>
    <x v="27"/>
    <x v="0"/>
    <x v="3"/>
    <s v="Campo Grande"/>
    <x v="9"/>
    <n v="5300"/>
    <n v="5"/>
    <n v="26500"/>
    <n v="7950"/>
    <n v="0.3"/>
  </r>
  <r>
    <x v="0"/>
    <x v="1"/>
    <x v="28"/>
    <x v="0"/>
    <x v="3"/>
    <s v="Campo Grande"/>
    <x v="6"/>
    <n v="1500"/>
    <n v="3"/>
    <n v="4500"/>
    <n v="1800"/>
    <n v="0.4"/>
  </r>
  <r>
    <x v="1"/>
    <x v="1"/>
    <x v="28"/>
    <x v="0"/>
    <x v="3"/>
    <s v="Campo Grande"/>
    <x v="10"/>
    <n v="3200"/>
    <n v="10"/>
    <n v="32000"/>
    <n v="6400"/>
    <n v="0.2"/>
  </r>
  <r>
    <x v="0"/>
    <x v="0"/>
    <x v="29"/>
    <x v="0"/>
    <x v="3"/>
    <s v="Campo Grande"/>
    <x v="6"/>
    <n v="1500"/>
    <n v="8"/>
    <n v="12000"/>
    <n v="4800"/>
    <n v="0.4"/>
  </r>
  <r>
    <x v="2"/>
    <x v="0"/>
    <x v="30"/>
    <x v="0"/>
    <x v="3"/>
    <s v="Campo Grande"/>
    <x v="1"/>
    <n v="500"/>
    <n v="12"/>
    <n v="6000"/>
    <n v="1500"/>
    <n v="0.25"/>
  </r>
  <r>
    <x v="0"/>
    <x v="1"/>
    <x v="31"/>
    <x v="0"/>
    <x v="3"/>
    <s v="Campo Grande"/>
    <x v="4"/>
    <n v="300"/>
    <n v="8"/>
    <n v="2400"/>
    <n v="360"/>
    <n v="0.15"/>
  </r>
  <r>
    <x v="3"/>
    <x v="0"/>
    <x v="32"/>
    <x v="0"/>
    <x v="3"/>
    <s v="Campo Grande"/>
    <x v="5"/>
    <n v="1700"/>
    <n v="10"/>
    <n v="17000"/>
    <n v="8500"/>
    <n v="0.5"/>
  </r>
  <r>
    <x v="0"/>
    <x v="1"/>
    <x v="33"/>
    <x v="0"/>
    <x v="3"/>
    <s v="Campo Grande"/>
    <x v="8"/>
    <n v="3400"/>
    <n v="6"/>
    <n v="20400"/>
    <n v="7140"/>
    <n v="0.35"/>
  </r>
  <r>
    <x v="0"/>
    <x v="1"/>
    <x v="34"/>
    <x v="0"/>
    <x v="3"/>
    <s v="Campo Grande"/>
    <x v="4"/>
    <n v="300"/>
    <n v="4"/>
    <n v="1200"/>
    <n v="180"/>
    <n v="0.15"/>
  </r>
  <r>
    <x v="0"/>
    <x v="1"/>
    <x v="35"/>
    <x v="0"/>
    <x v="3"/>
    <s v="Campo Grande"/>
    <x v="1"/>
    <n v="500"/>
    <n v="9"/>
    <n v="4500"/>
    <n v="1125"/>
    <n v="0.25"/>
  </r>
  <r>
    <x v="3"/>
    <x v="1"/>
    <x v="36"/>
    <x v="0"/>
    <x v="3"/>
    <s v="Campo Grande"/>
    <x v="10"/>
    <n v="3200"/>
    <n v="5"/>
    <n v="16000"/>
    <n v="3200"/>
    <n v="0.2"/>
  </r>
  <r>
    <x v="0"/>
    <x v="1"/>
    <x v="37"/>
    <x v="0"/>
    <x v="3"/>
    <s v="Campo Grande"/>
    <x v="1"/>
    <n v="500"/>
    <n v="1"/>
    <n v="500"/>
    <n v="125"/>
    <n v="0.25"/>
  </r>
  <r>
    <x v="3"/>
    <x v="1"/>
    <x v="38"/>
    <x v="0"/>
    <x v="3"/>
    <s v="Campo Grande"/>
    <x v="5"/>
    <n v="1700"/>
    <n v="6"/>
    <n v="10200"/>
    <n v="5100"/>
    <n v="0.5"/>
  </r>
  <r>
    <x v="0"/>
    <x v="1"/>
    <x v="39"/>
    <x v="0"/>
    <x v="3"/>
    <s v="Campo Grande"/>
    <x v="0"/>
    <n v="8902"/>
    <n v="4"/>
    <n v="35608"/>
    <n v="12462.8"/>
    <n v="0.35"/>
  </r>
  <r>
    <x v="1"/>
    <x v="1"/>
    <x v="40"/>
    <x v="0"/>
    <x v="3"/>
    <s v="Campo Grande"/>
    <x v="7"/>
    <n v="5340"/>
    <n v="1"/>
    <n v="5340"/>
    <n v="1602"/>
    <n v="0.3"/>
  </r>
  <r>
    <x v="0"/>
    <x v="1"/>
    <x v="41"/>
    <x v="0"/>
    <x v="3"/>
    <s v="Campo Grande"/>
    <x v="0"/>
    <n v="8902"/>
    <n v="8"/>
    <n v="71216"/>
    <n v="24925.599999999999"/>
    <n v="0.35"/>
  </r>
  <r>
    <x v="3"/>
    <x v="0"/>
    <x v="42"/>
    <x v="0"/>
    <x v="3"/>
    <s v="Campo Grande"/>
    <x v="1"/>
    <n v="500"/>
    <n v="5"/>
    <n v="2500"/>
    <n v="625"/>
    <n v="0.25"/>
  </r>
  <r>
    <x v="4"/>
    <x v="1"/>
    <x v="43"/>
    <x v="0"/>
    <x v="3"/>
    <s v="Campo Grande"/>
    <x v="2"/>
    <n v="1200"/>
    <n v="2"/>
    <n v="2400"/>
    <n v="720"/>
    <n v="0.3"/>
  </r>
  <r>
    <x v="2"/>
    <x v="0"/>
    <x v="44"/>
    <x v="0"/>
    <x v="3"/>
    <s v="Campo Grande"/>
    <x v="12"/>
    <n v="4500"/>
    <n v="5"/>
    <n v="22500"/>
    <n v="5625"/>
    <n v="0.25"/>
  </r>
  <r>
    <x v="0"/>
    <x v="1"/>
    <x v="45"/>
    <x v="0"/>
    <x v="3"/>
    <s v="Campo Grande"/>
    <x v="0"/>
    <n v="8902"/>
    <n v="8"/>
    <n v="71216"/>
    <n v="24925.599999999999"/>
    <n v="0.35"/>
  </r>
  <r>
    <x v="4"/>
    <x v="1"/>
    <x v="46"/>
    <x v="0"/>
    <x v="3"/>
    <s v="Campo Grande"/>
    <x v="9"/>
    <n v="5300"/>
    <n v="1"/>
    <n v="5300"/>
    <n v="1590"/>
    <n v="0.3"/>
  </r>
  <r>
    <x v="2"/>
    <x v="1"/>
    <x v="47"/>
    <x v="0"/>
    <x v="3"/>
    <s v="Campo Grande"/>
    <x v="9"/>
    <n v="5300"/>
    <n v="1"/>
    <n v="5300"/>
    <n v="1590"/>
    <n v="0.3"/>
  </r>
  <r>
    <x v="0"/>
    <x v="1"/>
    <x v="48"/>
    <x v="0"/>
    <x v="3"/>
    <s v="Campo Grande"/>
    <x v="11"/>
    <n v="4600"/>
    <n v="8"/>
    <n v="36800"/>
    <n v="9200"/>
    <n v="0.25"/>
  </r>
  <r>
    <x v="1"/>
    <x v="0"/>
    <x v="49"/>
    <x v="0"/>
    <x v="3"/>
    <s v="Campo Grande"/>
    <x v="10"/>
    <n v="3200"/>
    <n v="6"/>
    <n v="19200"/>
    <n v="3840"/>
    <n v="0.2"/>
  </r>
  <r>
    <x v="0"/>
    <x v="0"/>
    <x v="50"/>
    <x v="0"/>
    <x v="3"/>
    <s v="Campo Grande"/>
    <x v="3"/>
    <n v="5130"/>
    <n v="5"/>
    <n v="25650"/>
    <n v="10260"/>
    <n v="0.4"/>
  </r>
  <r>
    <x v="1"/>
    <x v="1"/>
    <x v="51"/>
    <x v="0"/>
    <x v="3"/>
    <s v="Campo Grande"/>
    <x v="12"/>
    <n v="4500"/>
    <n v="11"/>
    <n v="49500"/>
    <n v="12375"/>
    <n v="0.25"/>
  </r>
  <r>
    <x v="4"/>
    <x v="1"/>
    <x v="52"/>
    <x v="0"/>
    <x v="3"/>
    <s v="Campo Grande"/>
    <x v="4"/>
    <n v="300"/>
    <n v="4"/>
    <n v="1200"/>
    <n v="180"/>
    <n v="0.15"/>
  </r>
  <r>
    <x v="0"/>
    <x v="0"/>
    <x v="53"/>
    <x v="0"/>
    <x v="3"/>
    <s v="Campo Grande"/>
    <x v="0"/>
    <n v="8902"/>
    <n v="3"/>
    <n v="26706"/>
    <n v="9347.0999999999985"/>
    <n v="0.35"/>
  </r>
  <r>
    <x v="0"/>
    <x v="0"/>
    <x v="54"/>
    <x v="0"/>
    <x v="3"/>
    <s v="Campo Grande"/>
    <x v="11"/>
    <n v="4600"/>
    <n v="12"/>
    <n v="55200"/>
    <n v="13800"/>
    <n v="0.25"/>
  </r>
  <r>
    <x v="0"/>
    <x v="0"/>
    <x v="55"/>
    <x v="0"/>
    <x v="3"/>
    <s v="Campo Grande"/>
    <x v="8"/>
    <n v="3400"/>
    <n v="1"/>
    <n v="3400"/>
    <n v="1190"/>
    <n v="0.35"/>
  </r>
  <r>
    <x v="4"/>
    <x v="1"/>
    <x v="56"/>
    <x v="0"/>
    <x v="3"/>
    <s v="Campo Grande"/>
    <x v="7"/>
    <n v="5340"/>
    <n v="8"/>
    <n v="42720"/>
    <n v="12816"/>
    <n v="0.3"/>
  </r>
  <r>
    <x v="0"/>
    <x v="0"/>
    <x v="57"/>
    <x v="0"/>
    <x v="3"/>
    <s v="Campo Grande"/>
    <x v="5"/>
    <n v="1700"/>
    <n v="12"/>
    <n v="20400"/>
    <n v="10200"/>
    <n v="0.5"/>
  </r>
  <r>
    <x v="3"/>
    <x v="0"/>
    <x v="58"/>
    <x v="0"/>
    <x v="3"/>
    <s v="Campo Grande"/>
    <x v="10"/>
    <n v="3200"/>
    <n v="12"/>
    <n v="38400"/>
    <n v="7680"/>
    <n v="0.2"/>
  </r>
  <r>
    <x v="3"/>
    <x v="1"/>
    <x v="59"/>
    <x v="0"/>
    <x v="3"/>
    <s v="Campo Grande"/>
    <x v="1"/>
    <n v="500"/>
    <n v="10"/>
    <n v="5000"/>
    <n v="1250"/>
    <n v="0.25"/>
  </r>
  <r>
    <x v="3"/>
    <x v="1"/>
    <x v="60"/>
    <x v="0"/>
    <x v="3"/>
    <s v="Campo Grande"/>
    <x v="9"/>
    <n v="5300"/>
    <n v="10"/>
    <n v="53000"/>
    <n v="15900"/>
    <n v="0.3"/>
  </r>
  <r>
    <x v="0"/>
    <x v="1"/>
    <x v="61"/>
    <x v="0"/>
    <x v="3"/>
    <s v="Campo Grande"/>
    <x v="10"/>
    <n v="3200"/>
    <n v="7"/>
    <n v="22400"/>
    <n v="4480"/>
    <n v="0.2"/>
  </r>
  <r>
    <x v="4"/>
    <x v="0"/>
    <x v="62"/>
    <x v="0"/>
    <x v="3"/>
    <s v="Campo Grande"/>
    <x v="1"/>
    <n v="500"/>
    <n v="15"/>
    <n v="7500"/>
    <n v="1875"/>
    <n v="0.25"/>
  </r>
  <r>
    <x v="3"/>
    <x v="0"/>
    <x v="63"/>
    <x v="0"/>
    <x v="3"/>
    <s v="Campo Grande"/>
    <x v="10"/>
    <n v="3200"/>
    <n v="10"/>
    <n v="32000"/>
    <n v="6400"/>
    <n v="0.2"/>
  </r>
  <r>
    <x v="0"/>
    <x v="1"/>
    <x v="64"/>
    <x v="0"/>
    <x v="3"/>
    <s v="Campo Grande"/>
    <x v="12"/>
    <n v="4500"/>
    <n v="8"/>
    <n v="36000"/>
    <n v="9000"/>
    <n v="0.25"/>
  </r>
  <r>
    <x v="3"/>
    <x v="1"/>
    <x v="65"/>
    <x v="0"/>
    <x v="3"/>
    <s v="Campo Grande"/>
    <x v="12"/>
    <n v="4500"/>
    <n v="4"/>
    <n v="18000"/>
    <n v="4500"/>
    <n v="0.25"/>
  </r>
  <r>
    <x v="1"/>
    <x v="1"/>
    <x v="66"/>
    <x v="0"/>
    <x v="3"/>
    <s v="Campo Grande"/>
    <x v="12"/>
    <n v="4500"/>
    <n v="5"/>
    <n v="22500"/>
    <n v="5625"/>
    <n v="0.25"/>
  </r>
  <r>
    <x v="4"/>
    <x v="1"/>
    <x v="67"/>
    <x v="0"/>
    <x v="3"/>
    <s v="Campo Grande"/>
    <x v="12"/>
    <n v="4500"/>
    <n v="6"/>
    <n v="27000"/>
    <n v="6750"/>
    <n v="0.25"/>
  </r>
  <r>
    <x v="1"/>
    <x v="1"/>
    <x v="68"/>
    <x v="0"/>
    <x v="3"/>
    <s v="Campo Grande"/>
    <x v="2"/>
    <n v="1200"/>
    <n v="4"/>
    <n v="4800"/>
    <n v="1440"/>
    <n v="0.3"/>
  </r>
  <r>
    <x v="2"/>
    <x v="1"/>
    <x v="69"/>
    <x v="0"/>
    <x v="3"/>
    <s v="Campo Grande"/>
    <x v="8"/>
    <n v="3400"/>
    <n v="10"/>
    <n v="3400"/>
    <n v="1190"/>
    <n v="0.35"/>
  </r>
  <r>
    <x v="3"/>
    <x v="0"/>
    <x v="70"/>
    <x v="0"/>
    <x v="3"/>
    <s v="Campo Grande"/>
    <x v="1"/>
    <n v="500"/>
    <n v="10"/>
    <n v="5000"/>
    <n v="1250"/>
    <n v="0.25"/>
  </r>
  <r>
    <x v="3"/>
    <x v="1"/>
    <x v="71"/>
    <x v="0"/>
    <x v="3"/>
    <s v="Campo Grande"/>
    <x v="8"/>
    <n v="3400"/>
    <n v="8"/>
    <n v="27200"/>
    <n v="9520"/>
    <n v="0.35"/>
  </r>
  <r>
    <x v="0"/>
    <x v="1"/>
    <x v="72"/>
    <x v="0"/>
    <x v="3"/>
    <s v="Campo Grande"/>
    <x v="11"/>
    <n v="4600"/>
    <n v="12"/>
    <n v="55200"/>
    <n v="13800"/>
    <n v="0.25"/>
  </r>
  <r>
    <x v="3"/>
    <x v="0"/>
    <x v="73"/>
    <x v="0"/>
    <x v="3"/>
    <s v="Campo Grande"/>
    <x v="1"/>
    <n v="500"/>
    <n v="10"/>
    <n v="5000"/>
    <n v="1250"/>
    <n v="0.25"/>
  </r>
  <r>
    <x v="2"/>
    <x v="1"/>
    <x v="74"/>
    <x v="0"/>
    <x v="3"/>
    <s v="Campo Grande"/>
    <x v="3"/>
    <n v="5130"/>
    <n v="15"/>
    <n v="76950"/>
    <n v="30780"/>
    <n v="0.4"/>
  </r>
  <r>
    <x v="4"/>
    <x v="0"/>
    <x v="75"/>
    <x v="0"/>
    <x v="3"/>
    <s v="Campo Grande"/>
    <x v="6"/>
    <n v="1500"/>
    <n v="1"/>
    <n v="1500"/>
    <n v="600"/>
    <n v="0.4"/>
  </r>
  <r>
    <x v="0"/>
    <x v="1"/>
    <x v="76"/>
    <x v="0"/>
    <x v="3"/>
    <s v="Campo Grande"/>
    <x v="10"/>
    <n v="3200"/>
    <n v="20"/>
    <n v="35200"/>
    <n v="7040"/>
    <n v="0.2"/>
  </r>
  <r>
    <x v="0"/>
    <x v="1"/>
    <x v="77"/>
    <x v="0"/>
    <x v="3"/>
    <s v="Campo Grande"/>
    <x v="7"/>
    <n v="5340"/>
    <n v="20"/>
    <n v="10680"/>
    <n v="3204"/>
    <n v="0.3"/>
  </r>
  <r>
    <x v="3"/>
    <x v="0"/>
    <x v="78"/>
    <x v="0"/>
    <x v="3"/>
    <s v="Campo Grande"/>
    <x v="7"/>
    <n v="5340"/>
    <n v="1"/>
    <n v="5340"/>
    <n v="1602"/>
    <n v="0.3"/>
  </r>
  <r>
    <x v="0"/>
    <x v="0"/>
    <x v="79"/>
    <x v="0"/>
    <x v="3"/>
    <s v="Campo Grande"/>
    <x v="1"/>
    <n v="500"/>
    <n v="5"/>
    <n v="2500"/>
    <n v="625"/>
    <n v="0.25"/>
  </r>
  <r>
    <x v="0"/>
    <x v="0"/>
    <x v="80"/>
    <x v="0"/>
    <x v="3"/>
    <s v="Campo Grande"/>
    <x v="7"/>
    <n v="5340"/>
    <n v="12"/>
    <n v="64080"/>
    <n v="19224"/>
    <n v="0.3"/>
  </r>
  <r>
    <x v="4"/>
    <x v="1"/>
    <x v="81"/>
    <x v="0"/>
    <x v="3"/>
    <s v="Campo Grande"/>
    <x v="2"/>
    <n v="1200"/>
    <n v="8"/>
    <n v="9600"/>
    <n v="2880"/>
    <n v="0.3"/>
  </r>
  <r>
    <x v="0"/>
    <x v="0"/>
    <x v="82"/>
    <x v="0"/>
    <x v="3"/>
    <s v="Campo Grande"/>
    <x v="9"/>
    <n v="5300"/>
    <n v="20"/>
    <n v="42400"/>
    <n v="12720"/>
    <n v="0.3"/>
  </r>
  <r>
    <x v="1"/>
    <x v="1"/>
    <x v="83"/>
    <x v="0"/>
    <x v="3"/>
    <s v="Campo Grande"/>
    <x v="0"/>
    <n v="8902"/>
    <n v="20"/>
    <n v="97922"/>
    <n v="34272.699999999997"/>
    <n v="0.35"/>
  </r>
  <r>
    <x v="3"/>
    <x v="1"/>
    <x v="84"/>
    <x v="0"/>
    <x v="3"/>
    <s v="Campo Grande"/>
    <x v="0"/>
    <n v="8902"/>
    <n v="12"/>
    <n v="106824"/>
    <n v="37388.399999999994"/>
    <n v="0.35"/>
  </r>
  <r>
    <x v="1"/>
    <x v="1"/>
    <x v="85"/>
    <x v="0"/>
    <x v="3"/>
    <s v="Campo Grande"/>
    <x v="12"/>
    <n v="4500"/>
    <n v="3"/>
    <n v="13500"/>
    <n v="3375"/>
    <n v="0.25"/>
  </r>
  <r>
    <x v="1"/>
    <x v="1"/>
    <x v="28"/>
    <x v="1"/>
    <x v="4"/>
    <s v="Salvador"/>
    <x v="9"/>
    <n v="5300"/>
    <n v="9"/>
    <n v="47700"/>
    <n v="14310"/>
    <n v="0.3"/>
  </r>
  <r>
    <x v="3"/>
    <x v="1"/>
    <x v="29"/>
    <x v="1"/>
    <x v="4"/>
    <s v="Salvador"/>
    <x v="2"/>
    <n v="1200"/>
    <n v="3"/>
    <n v="3600"/>
    <n v="1080"/>
    <n v="0.3"/>
  </r>
  <r>
    <x v="0"/>
    <x v="1"/>
    <x v="30"/>
    <x v="1"/>
    <x v="4"/>
    <s v="Salvador"/>
    <x v="4"/>
    <n v="300"/>
    <n v="6"/>
    <n v="1800"/>
    <n v="270"/>
    <n v="0.15"/>
  </r>
  <r>
    <x v="0"/>
    <x v="0"/>
    <x v="31"/>
    <x v="1"/>
    <x v="4"/>
    <s v="Salvador"/>
    <x v="12"/>
    <n v="4500"/>
    <n v="6"/>
    <n v="27000"/>
    <n v="6750"/>
    <n v="0.25"/>
  </r>
  <r>
    <x v="0"/>
    <x v="0"/>
    <x v="32"/>
    <x v="1"/>
    <x v="4"/>
    <s v="Salvador"/>
    <x v="6"/>
    <n v="1500"/>
    <n v="5"/>
    <n v="7500"/>
    <n v="3000"/>
    <n v="0.4"/>
  </r>
  <r>
    <x v="0"/>
    <x v="0"/>
    <x v="33"/>
    <x v="1"/>
    <x v="4"/>
    <s v="Salvador"/>
    <x v="12"/>
    <n v="4500"/>
    <n v="7"/>
    <n v="31500"/>
    <n v="7875"/>
    <n v="0.25"/>
  </r>
  <r>
    <x v="0"/>
    <x v="1"/>
    <x v="34"/>
    <x v="1"/>
    <x v="4"/>
    <s v="Salvador"/>
    <x v="10"/>
    <n v="3200"/>
    <n v="7"/>
    <n v="22400"/>
    <n v="4480"/>
    <n v="0.2"/>
  </r>
  <r>
    <x v="0"/>
    <x v="1"/>
    <x v="35"/>
    <x v="1"/>
    <x v="4"/>
    <s v="Salvador"/>
    <x v="6"/>
    <n v="1500"/>
    <n v="9"/>
    <n v="13500"/>
    <n v="5400"/>
    <n v="0.4"/>
  </r>
  <r>
    <x v="3"/>
    <x v="1"/>
    <x v="36"/>
    <x v="1"/>
    <x v="4"/>
    <s v="Salvador"/>
    <x v="1"/>
    <n v="500"/>
    <n v="2"/>
    <n v="1000"/>
    <n v="250"/>
    <n v="0.25"/>
  </r>
  <r>
    <x v="0"/>
    <x v="0"/>
    <x v="37"/>
    <x v="1"/>
    <x v="4"/>
    <s v="Salvador"/>
    <x v="1"/>
    <n v="500"/>
    <n v="9"/>
    <n v="4500"/>
    <n v="1125"/>
    <n v="0.25"/>
  </r>
  <r>
    <x v="0"/>
    <x v="1"/>
    <x v="38"/>
    <x v="1"/>
    <x v="4"/>
    <s v="Salvador"/>
    <x v="9"/>
    <n v="5300"/>
    <n v="4"/>
    <n v="21200"/>
    <n v="6360"/>
    <n v="0.3"/>
  </r>
  <r>
    <x v="3"/>
    <x v="1"/>
    <x v="39"/>
    <x v="1"/>
    <x v="4"/>
    <s v="Salvador"/>
    <x v="11"/>
    <n v="4600"/>
    <n v="5"/>
    <n v="23000"/>
    <n v="5750"/>
    <n v="0.25"/>
  </r>
  <r>
    <x v="3"/>
    <x v="1"/>
    <x v="40"/>
    <x v="1"/>
    <x v="4"/>
    <s v="Salvador"/>
    <x v="11"/>
    <n v="4600"/>
    <n v="11"/>
    <n v="50600"/>
    <n v="12650"/>
    <n v="0.25"/>
  </r>
  <r>
    <x v="0"/>
    <x v="1"/>
    <x v="41"/>
    <x v="1"/>
    <x v="4"/>
    <s v="Salvador"/>
    <x v="2"/>
    <n v="1200"/>
    <n v="6"/>
    <n v="7200"/>
    <n v="2160"/>
    <n v="0.3"/>
  </r>
  <r>
    <x v="0"/>
    <x v="0"/>
    <x v="42"/>
    <x v="1"/>
    <x v="4"/>
    <s v="Salvador"/>
    <x v="10"/>
    <n v="3200"/>
    <n v="1"/>
    <n v="3200"/>
    <n v="640"/>
    <n v="0.2"/>
  </r>
  <r>
    <x v="0"/>
    <x v="0"/>
    <x v="43"/>
    <x v="1"/>
    <x v="4"/>
    <s v="Salvador"/>
    <x v="9"/>
    <n v="5300"/>
    <n v="12"/>
    <n v="63600"/>
    <n v="19080"/>
    <n v="0.3"/>
  </r>
  <r>
    <x v="3"/>
    <x v="1"/>
    <x v="44"/>
    <x v="1"/>
    <x v="4"/>
    <s v="Salvador"/>
    <x v="1"/>
    <n v="500"/>
    <n v="5"/>
    <n v="2500"/>
    <n v="625"/>
    <n v="0.25"/>
  </r>
  <r>
    <x v="4"/>
    <x v="1"/>
    <x v="45"/>
    <x v="1"/>
    <x v="4"/>
    <s v="Salvador"/>
    <x v="3"/>
    <n v="5130"/>
    <n v="7"/>
    <n v="35910"/>
    <n v="14364"/>
    <n v="0.4"/>
  </r>
  <r>
    <x v="0"/>
    <x v="0"/>
    <x v="46"/>
    <x v="1"/>
    <x v="4"/>
    <s v="Salvador"/>
    <x v="6"/>
    <n v="1500"/>
    <n v="5"/>
    <n v="7500"/>
    <n v="3000"/>
    <n v="0.4"/>
  </r>
  <r>
    <x v="3"/>
    <x v="1"/>
    <x v="47"/>
    <x v="1"/>
    <x v="4"/>
    <s v="Salvador"/>
    <x v="9"/>
    <n v="5300"/>
    <n v="10"/>
    <n v="53000"/>
    <n v="15900"/>
    <n v="0.3"/>
  </r>
  <r>
    <x v="0"/>
    <x v="1"/>
    <x v="48"/>
    <x v="1"/>
    <x v="4"/>
    <s v="Salvador"/>
    <x v="7"/>
    <n v="5340"/>
    <n v="8"/>
    <n v="42720"/>
    <n v="12816"/>
    <n v="0.3"/>
  </r>
  <r>
    <x v="2"/>
    <x v="1"/>
    <x v="49"/>
    <x v="1"/>
    <x v="4"/>
    <s v="Salvador"/>
    <x v="9"/>
    <n v="5300"/>
    <n v="6"/>
    <n v="31800"/>
    <n v="9540"/>
    <n v="0.3"/>
  </r>
  <r>
    <x v="3"/>
    <x v="0"/>
    <x v="50"/>
    <x v="1"/>
    <x v="4"/>
    <s v="Salvador"/>
    <x v="1"/>
    <n v="500"/>
    <n v="5"/>
    <n v="2500"/>
    <n v="625"/>
    <n v="0.25"/>
  </r>
  <r>
    <x v="0"/>
    <x v="1"/>
    <x v="51"/>
    <x v="1"/>
    <x v="4"/>
    <s v="Salvador"/>
    <x v="0"/>
    <n v="8902"/>
    <n v="11"/>
    <n v="97922"/>
    <n v="34272.699999999997"/>
    <n v="0.35"/>
  </r>
  <r>
    <x v="2"/>
    <x v="1"/>
    <x v="52"/>
    <x v="1"/>
    <x v="4"/>
    <s v="Salvador"/>
    <x v="7"/>
    <n v="5340"/>
    <n v="5"/>
    <n v="26700"/>
    <n v="8010"/>
    <n v="0.3"/>
  </r>
  <r>
    <x v="2"/>
    <x v="0"/>
    <x v="53"/>
    <x v="1"/>
    <x v="4"/>
    <s v="Salvador"/>
    <x v="4"/>
    <n v="300"/>
    <n v="3"/>
    <n v="900"/>
    <n v="135"/>
    <n v="0.15"/>
  </r>
  <r>
    <x v="0"/>
    <x v="0"/>
    <x v="54"/>
    <x v="1"/>
    <x v="4"/>
    <s v="Salvador"/>
    <x v="10"/>
    <n v="3200"/>
    <n v="3"/>
    <n v="9600"/>
    <n v="1920"/>
    <n v="0.2"/>
  </r>
  <r>
    <x v="4"/>
    <x v="1"/>
    <x v="55"/>
    <x v="1"/>
    <x v="4"/>
    <s v="Salvador"/>
    <x v="9"/>
    <n v="5300"/>
    <n v="1"/>
    <n v="5300"/>
    <n v="1590"/>
    <n v="0.3"/>
  </r>
  <r>
    <x v="3"/>
    <x v="0"/>
    <x v="56"/>
    <x v="1"/>
    <x v="4"/>
    <s v="Salvador"/>
    <x v="8"/>
    <n v="3400"/>
    <n v="1"/>
    <n v="3400"/>
    <n v="1190"/>
    <n v="0.35"/>
  </r>
  <r>
    <x v="0"/>
    <x v="1"/>
    <x v="57"/>
    <x v="1"/>
    <x v="4"/>
    <s v="Salvador"/>
    <x v="10"/>
    <n v="3200"/>
    <n v="7"/>
    <n v="22400"/>
    <n v="4480"/>
    <n v="0.2"/>
  </r>
  <r>
    <x v="0"/>
    <x v="1"/>
    <x v="58"/>
    <x v="1"/>
    <x v="4"/>
    <s v="Salvador"/>
    <x v="1"/>
    <n v="500"/>
    <n v="5"/>
    <n v="2500"/>
    <n v="625"/>
    <n v="0.25"/>
  </r>
  <r>
    <x v="0"/>
    <x v="1"/>
    <x v="59"/>
    <x v="1"/>
    <x v="4"/>
    <s v="Salvador"/>
    <x v="11"/>
    <n v="4600"/>
    <n v="12"/>
    <n v="55200"/>
    <n v="13800"/>
    <n v="0.25"/>
  </r>
  <r>
    <x v="2"/>
    <x v="1"/>
    <x v="60"/>
    <x v="1"/>
    <x v="4"/>
    <s v="Salvador"/>
    <x v="3"/>
    <n v="5130"/>
    <n v="7"/>
    <n v="35910"/>
    <n v="14364"/>
    <n v="0.4"/>
  </r>
  <r>
    <x v="0"/>
    <x v="1"/>
    <x v="61"/>
    <x v="1"/>
    <x v="4"/>
    <s v="Salvador"/>
    <x v="0"/>
    <n v="8902"/>
    <n v="10"/>
    <n v="89020"/>
    <n v="31156.999999999996"/>
    <n v="0.35"/>
  </r>
  <r>
    <x v="3"/>
    <x v="1"/>
    <x v="62"/>
    <x v="1"/>
    <x v="4"/>
    <s v="Salvador"/>
    <x v="0"/>
    <n v="8902"/>
    <n v="9"/>
    <n v="80118"/>
    <n v="28041.3"/>
    <n v="0.35"/>
  </r>
  <r>
    <x v="3"/>
    <x v="1"/>
    <x v="63"/>
    <x v="1"/>
    <x v="4"/>
    <s v="Salvador"/>
    <x v="0"/>
    <n v="8902"/>
    <n v="9"/>
    <n v="80118"/>
    <n v="28041.3"/>
    <n v="0.35"/>
  </r>
  <r>
    <x v="3"/>
    <x v="1"/>
    <x v="64"/>
    <x v="1"/>
    <x v="4"/>
    <s v="Salvador"/>
    <x v="1"/>
    <n v="500"/>
    <n v="6"/>
    <n v="3000"/>
    <n v="750"/>
    <n v="0.25"/>
  </r>
  <r>
    <x v="4"/>
    <x v="1"/>
    <x v="65"/>
    <x v="1"/>
    <x v="4"/>
    <s v="Salvador"/>
    <x v="0"/>
    <n v="8902"/>
    <n v="6"/>
    <n v="53412"/>
    <n v="18694.199999999997"/>
    <n v="0.35"/>
  </r>
  <r>
    <x v="0"/>
    <x v="1"/>
    <x v="66"/>
    <x v="1"/>
    <x v="4"/>
    <s v="Salvador"/>
    <x v="2"/>
    <n v="1200"/>
    <n v="8"/>
    <n v="9600"/>
    <n v="2880"/>
    <n v="0.3"/>
  </r>
  <r>
    <x v="0"/>
    <x v="1"/>
    <x v="67"/>
    <x v="1"/>
    <x v="4"/>
    <s v="Salvador"/>
    <x v="6"/>
    <n v="1500"/>
    <n v="5"/>
    <n v="7500"/>
    <n v="3000"/>
    <n v="0.4"/>
  </r>
  <r>
    <x v="2"/>
    <x v="1"/>
    <x v="68"/>
    <x v="1"/>
    <x v="4"/>
    <s v="Salvador"/>
    <x v="7"/>
    <n v="5340"/>
    <n v="9"/>
    <n v="48060"/>
    <n v="14418"/>
    <n v="0.3"/>
  </r>
  <r>
    <x v="2"/>
    <x v="1"/>
    <x v="69"/>
    <x v="1"/>
    <x v="4"/>
    <s v="Salvador"/>
    <x v="10"/>
    <n v="3200"/>
    <n v="2"/>
    <n v="6400"/>
    <n v="1280"/>
    <n v="0.2"/>
  </r>
  <r>
    <x v="0"/>
    <x v="0"/>
    <x v="70"/>
    <x v="1"/>
    <x v="4"/>
    <s v="Salvador"/>
    <x v="9"/>
    <n v="5300"/>
    <n v="2"/>
    <n v="10600"/>
    <n v="3180"/>
    <n v="0.3"/>
  </r>
  <r>
    <x v="2"/>
    <x v="1"/>
    <x v="71"/>
    <x v="1"/>
    <x v="4"/>
    <s v="Salvador"/>
    <x v="6"/>
    <n v="1500"/>
    <n v="11"/>
    <n v="16500"/>
    <n v="6600"/>
    <n v="0.4"/>
  </r>
  <r>
    <x v="1"/>
    <x v="1"/>
    <x v="72"/>
    <x v="1"/>
    <x v="4"/>
    <s v="Salvador"/>
    <x v="11"/>
    <n v="4600"/>
    <n v="9"/>
    <n v="41400"/>
    <n v="10350"/>
    <n v="0.25"/>
  </r>
  <r>
    <x v="3"/>
    <x v="1"/>
    <x v="73"/>
    <x v="1"/>
    <x v="4"/>
    <s v="Salvador"/>
    <x v="5"/>
    <n v="1700"/>
    <n v="6"/>
    <n v="10200"/>
    <n v="5100"/>
    <n v="0.5"/>
  </r>
  <r>
    <x v="3"/>
    <x v="0"/>
    <x v="74"/>
    <x v="1"/>
    <x v="4"/>
    <s v="Salvador"/>
    <x v="1"/>
    <n v="500"/>
    <n v="7"/>
    <n v="3500"/>
    <n v="875"/>
    <n v="0.25"/>
  </r>
  <r>
    <x v="0"/>
    <x v="1"/>
    <x v="75"/>
    <x v="1"/>
    <x v="4"/>
    <s v="Salvador"/>
    <x v="4"/>
    <n v="300"/>
    <n v="12"/>
    <n v="3600"/>
    <n v="540"/>
    <n v="0.15"/>
  </r>
  <r>
    <x v="0"/>
    <x v="1"/>
    <x v="76"/>
    <x v="1"/>
    <x v="4"/>
    <s v="Salvador"/>
    <x v="10"/>
    <n v="3200"/>
    <n v="15"/>
    <n v="48000"/>
    <n v="9600"/>
    <n v="0.2"/>
  </r>
  <r>
    <x v="3"/>
    <x v="0"/>
    <x v="77"/>
    <x v="1"/>
    <x v="4"/>
    <s v="Salvador"/>
    <x v="1"/>
    <n v="500"/>
    <n v="12"/>
    <n v="6000"/>
    <n v="1500"/>
    <n v="0.25"/>
  </r>
  <r>
    <x v="3"/>
    <x v="1"/>
    <x v="78"/>
    <x v="1"/>
    <x v="4"/>
    <s v="Salvador"/>
    <x v="2"/>
    <n v="1200"/>
    <n v="7"/>
    <n v="8400"/>
    <n v="2520"/>
    <n v="0.3"/>
  </r>
  <r>
    <x v="4"/>
    <x v="1"/>
    <x v="79"/>
    <x v="1"/>
    <x v="4"/>
    <s v="Salvador"/>
    <x v="5"/>
    <n v="1700"/>
    <n v="2"/>
    <n v="3400"/>
    <n v="1700"/>
    <n v="0.5"/>
  </r>
  <r>
    <x v="0"/>
    <x v="1"/>
    <x v="80"/>
    <x v="1"/>
    <x v="4"/>
    <s v="Salvador"/>
    <x v="8"/>
    <n v="3400"/>
    <n v="12"/>
    <n v="40800"/>
    <n v="14280"/>
    <n v="0.35"/>
  </r>
  <r>
    <x v="0"/>
    <x v="1"/>
    <x v="81"/>
    <x v="1"/>
    <x v="4"/>
    <s v="Salvador"/>
    <x v="10"/>
    <n v="3200"/>
    <n v="3"/>
    <n v="9600"/>
    <n v="1920"/>
    <n v="0.2"/>
  </r>
  <r>
    <x v="4"/>
    <x v="1"/>
    <x v="86"/>
    <x v="1"/>
    <x v="4"/>
    <s v="Salvador"/>
    <x v="8"/>
    <n v="3400"/>
    <n v="1"/>
    <n v="3400"/>
    <n v="1190"/>
    <n v="0.35"/>
  </r>
  <r>
    <x v="3"/>
    <x v="1"/>
    <x v="82"/>
    <x v="1"/>
    <x v="4"/>
    <s v="Salvador"/>
    <x v="5"/>
    <n v="1700"/>
    <n v="4"/>
    <n v="6800"/>
    <n v="3400"/>
    <n v="0.5"/>
  </r>
  <r>
    <x v="0"/>
    <x v="1"/>
    <x v="87"/>
    <x v="1"/>
    <x v="4"/>
    <s v="Salvador"/>
    <x v="11"/>
    <n v="4600"/>
    <n v="6"/>
    <n v="27600"/>
    <n v="6900"/>
    <n v="0.25"/>
  </r>
  <r>
    <x v="3"/>
    <x v="1"/>
    <x v="83"/>
    <x v="1"/>
    <x v="4"/>
    <s v="Salvador"/>
    <x v="5"/>
    <n v="1700"/>
    <n v="7"/>
    <n v="11900"/>
    <n v="5950"/>
    <n v="0.5"/>
  </r>
  <r>
    <x v="3"/>
    <x v="1"/>
    <x v="88"/>
    <x v="1"/>
    <x v="4"/>
    <s v="Salvador"/>
    <x v="12"/>
    <n v="4500"/>
    <n v="5"/>
    <n v="22500"/>
    <n v="5625"/>
    <n v="0.25"/>
  </r>
  <r>
    <x v="3"/>
    <x v="0"/>
    <x v="84"/>
    <x v="1"/>
    <x v="4"/>
    <s v="Salvador"/>
    <x v="2"/>
    <n v="1200"/>
    <n v="5"/>
    <n v="6000"/>
    <n v="1800"/>
    <n v="0.3"/>
  </r>
  <r>
    <x v="0"/>
    <x v="0"/>
    <x v="89"/>
    <x v="1"/>
    <x v="4"/>
    <s v="Salvador"/>
    <x v="0"/>
    <n v="8902"/>
    <n v="19"/>
    <n v="169138"/>
    <n v="59198.299999999996"/>
    <n v="0.35"/>
  </r>
  <r>
    <x v="3"/>
    <x v="0"/>
    <x v="85"/>
    <x v="1"/>
    <x v="4"/>
    <s v="Salvador"/>
    <x v="4"/>
    <n v="300"/>
    <n v="1"/>
    <n v="300"/>
    <n v="45"/>
    <n v="0.15"/>
  </r>
  <r>
    <x v="3"/>
    <x v="1"/>
    <x v="85"/>
    <x v="1"/>
    <x v="4"/>
    <s v="Salvador"/>
    <x v="4"/>
    <n v="300"/>
    <n v="7"/>
    <n v="2100"/>
    <n v="315"/>
    <n v="0.15"/>
  </r>
  <r>
    <x v="3"/>
    <x v="1"/>
    <x v="85"/>
    <x v="1"/>
    <x v="4"/>
    <s v="Salvador"/>
    <x v="2"/>
    <n v="1200"/>
    <n v="18"/>
    <n v="21600"/>
    <n v="6480"/>
    <n v="0.3"/>
  </r>
  <r>
    <x v="0"/>
    <x v="0"/>
    <x v="85"/>
    <x v="1"/>
    <x v="4"/>
    <s v="Salvador"/>
    <x v="10"/>
    <n v="3200"/>
    <n v="7"/>
    <n v="22400"/>
    <n v="4480"/>
    <n v="0.2"/>
  </r>
  <r>
    <x v="0"/>
    <x v="1"/>
    <x v="85"/>
    <x v="1"/>
    <x v="4"/>
    <s v="Salvador"/>
    <x v="8"/>
    <n v="3400"/>
    <n v="7"/>
    <n v="23800"/>
    <n v="8330"/>
    <n v="0.35"/>
  </r>
  <r>
    <x v="2"/>
    <x v="1"/>
    <x v="85"/>
    <x v="1"/>
    <x v="4"/>
    <s v="Salvador"/>
    <x v="3"/>
    <n v="5130"/>
    <n v="15"/>
    <n v="76950"/>
    <n v="30780"/>
    <n v="0.4"/>
  </r>
  <r>
    <x v="4"/>
    <x v="1"/>
    <x v="47"/>
    <x v="1"/>
    <x v="5"/>
    <s v="Fortaleza"/>
    <x v="6"/>
    <n v="1500"/>
    <n v="3"/>
    <n v="4500"/>
    <n v="1800"/>
    <n v="0.4"/>
  </r>
  <r>
    <x v="0"/>
    <x v="1"/>
    <x v="48"/>
    <x v="1"/>
    <x v="5"/>
    <s v="Fortaleza"/>
    <x v="3"/>
    <n v="5130"/>
    <n v="12"/>
    <n v="61560"/>
    <n v="24624"/>
    <n v="0.4"/>
  </r>
  <r>
    <x v="2"/>
    <x v="0"/>
    <x v="49"/>
    <x v="1"/>
    <x v="5"/>
    <s v="Fortaleza"/>
    <x v="12"/>
    <n v="4500"/>
    <n v="1"/>
    <n v="4500"/>
    <n v="1125"/>
    <n v="0.25"/>
  </r>
  <r>
    <x v="3"/>
    <x v="1"/>
    <x v="50"/>
    <x v="1"/>
    <x v="5"/>
    <s v="Fortaleza"/>
    <x v="10"/>
    <n v="3200"/>
    <n v="6"/>
    <n v="19200"/>
    <n v="3840"/>
    <n v="0.2"/>
  </r>
  <r>
    <x v="3"/>
    <x v="0"/>
    <x v="51"/>
    <x v="1"/>
    <x v="5"/>
    <s v="Fortaleza"/>
    <x v="10"/>
    <n v="3200"/>
    <n v="10"/>
    <n v="32000"/>
    <n v="6400"/>
    <n v="0.2"/>
  </r>
  <r>
    <x v="0"/>
    <x v="1"/>
    <x v="52"/>
    <x v="1"/>
    <x v="5"/>
    <s v="Fortaleza"/>
    <x v="6"/>
    <n v="1500"/>
    <n v="6"/>
    <n v="9000"/>
    <n v="3600"/>
    <n v="0.4"/>
  </r>
  <r>
    <x v="2"/>
    <x v="1"/>
    <x v="53"/>
    <x v="1"/>
    <x v="5"/>
    <s v="Fortaleza"/>
    <x v="0"/>
    <n v="8902"/>
    <n v="6"/>
    <n v="53412"/>
    <n v="18694.199999999997"/>
    <n v="0.35"/>
  </r>
  <r>
    <x v="0"/>
    <x v="0"/>
    <x v="54"/>
    <x v="1"/>
    <x v="5"/>
    <s v="Fortaleza"/>
    <x v="5"/>
    <n v="1700"/>
    <n v="2"/>
    <n v="3400"/>
    <n v="1700"/>
    <n v="0.5"/>
  </r>
  <r>
    <x v="0"/>
    <x v="1"/>
    <x v="55"/>
    <x v="1"/>
    <x v="5"/>
    <s v="Fortaleza"/>
    <x v="8"/>
    <n v="3400"/>
    <n v="1"/>
    <n v="3400"/>
    <n v="1190"/>
    <n v="0.35"/>
  </r>
  <r>
    <x v="2"/>
    <x v="1"/>
    <x v="56"/>
    <x v="1"/>
    <x v="5"/>
    <s v="Fortaleza"/>
    <x v="2"/>
    <n v="1200"/>
    <n v="2"/>
    <n v="2400"/>
    <n v="720"/>
    <n v="0.3"/>
  </r>
  <r>
    <x v="1"/>
    <x v="1"/>
    <x v="57"/>
    <x v="1"/>
    <x v="5"/>
    <s v="Fortaleza"/>
    <x v="12"/>
    <n v="4500"/>
    <n v="5"/>
    <n v="22500"/>
    <n v="5625"/>
    <n v="0.25"/>
  </r>
  <r>
    <x v="0"/>
    <x v="1"/>
    <x v="58"/>
    <x v="1"/>
    <x v="5"/>
    <s v="Fortaleza"/>
    <x v="2"/>
    <n v="1200"/>
    <n v="6"/>
    <n v="7200"/>
    <n v="2160"/>
    <n v="0.3"/>
  </r>
  <r>
    <x v="4"/>
    <x v="0"/>
    <x v="59"/>
    <x v="1"/>
    <x v="5"/>
    <s v="Fortaleza"/>
    <x v="3"/>
    <n v="5130"/>
    <n v="2"/>
    <n v="10260"/>
    <n v="4104"/>
    <n v="0.4"/>
  </r>
  <r>
    <x v="1"/>
    <x v="1"/>
    <x v="60"/>
    <x v="1"/>
    <x v="5"/>
    <s v="Fortaleza"/>
    <x v="2"/>
    <n v="1200"/>
    <n v="9"/>
    <n v="10800"/>
    <n v="3240"/>
    <n v="0.3"/>
  </r>
  <r>
    <x v="0"/>
    <x v="0"/>
    <x v="61"/>
    <x v="1"/>
    <x v="5"/>
    <s v="Fortaleza"/>
    <x v="4"/>
    <n v="300"/>
    <n v="2"/>
    <n v="600"/>
    <n v="90"/>
    <n v="0.15"/>
  </r>
  <r>
    <x v="0"/>
    <x v="1"/>
    <x v="62"/>
    <x v="1"/>
    <x v="5"/>
    <s v="Fortaleza"/>
    <x v="11"/>
    <n v="4600"/>
    <n v="8"/>
    <n v="36800"/>
    <n v="9200"/>
    <n v="0.25"/>
  </r>
  <r>
    <x v="3"/>
    <x v="1"/>
    <x v="63"/>
    <x v="1"/>
    <x v="5"/>
    <s v="Fortaleza"/>
    <x v="8"/>
    <n v="3400"/>
    <n v="8"/>
    <n v="27200"/>
    <n v="9520"/>
    <n v="0.35"/>
  </r>
  <r>
    <x v="0"/>
    <x v="0"/>
    <x v="64"/>
    <x v="1"/>
    <x v="5"/>
    <s v="Fortaleza"/>
    <x v="4"/>
    <n v="300"/>
    <n v="6"/>
    <n v="1800"/>
    <n v="270"/>
    <n v="0.15"/>
  </r>
  <r>
    <x v="3"/>
    <x v="0"/>
    <x v="65"/>
    <x v="1"/>
    <x v="5"/>
    <s v="Fortaleza"/>
    <x v="8"/>
    <n v="3400"/>
    <n v="8"/>
    <n v="27200"/>
    <n v="9520"/>
    <n v="0.35"/>
  </r>
  <r>
    <x v="0"/>
    <x v="1"/>
    <x v="66"/>
    <x v="1"/>
    <x v="5"/>
    <s v="Fortaleza"/>
    <x v="2"/>
    <n v="1200"/>
    <n v="6"/>
    <n v="7200"/>
    <n v="2160"/>
    <n v="0.3"/>
  </r>
  <r>
    <x v="3"/>
    <x v="1"/>
    <x v="67"/>
    <x v="1"/>
    <x v="5"/>
    <s v="Fortaleza"/>
    <x v="7"/>
    <n v="5340"/>
    <n v="1"/>
    <n v="5340"/>
    <n v="1602"/>
    <n v="0.3"/>
  </r>
  <r>
    <x v="3"/>
    <x v="1"/>
    <x v="68"/>
    <x v="1"/>
    <x v="5"/>
    <s v="Fortaleza"/>
    <x v="0"/>
    <n v="8902"/>
    <n v="7"/>
    <n v="62314"/>
    <n v="21809.899999999998"/>
    <n v="0.35"/>
  </r>
  <r>
    <x v="0"/>
    <x v="1"/>
    <x v="69"/>
    <x v="1"/>
    <x v="5"/>
    <s v="Fortaleza"/>
    <x v="7"/>
    <n v="5340"/>
    <n v="6"/>
    <n v="32040"/>
    <n v="9612"/>
    <n v="0.3"/>
  </r>
  <r>
    <x v="3"/>
    <x v="1"/>
    <x v="70"/>
    <x v="1"/>
    <x v="5"/>
    <s v="Fortaleza"/>
    <x v="1"/>
    <n v="500"/>
    <n v="9"/>
    <n v="4500"/>
    <n v="1125"/>
    <n v="0.25"/>
  </r>
  <r>
    <x v="0"/>
    <x v="1"/>
    <x v="71"/>
    <x v="1"/>
    <x v="5"/>
    <s v="Fortaleza"/>
    <x v="11"/>
    <n v="4600"/>
    <n v="3"/>
    <n v="13800"/>
    <n v="3450"/>
    <n v="0.25"/>
  </r>
  <r>
    <x v="0"/>
    <x v="0"/>
    <x v="72"/>
    <x v="1"/>
    <x v="5"/>
    <s v="Fortaleza"/>
    <x v="11"/>
    <n v="4600"/>
    <n v="8"/>
    <n v="36800"/>
    <n v="9200"/>
    <n v="0.25"/>
  </r>
  <r>
    <x v="0"/>
    <x v="1"/>
    <x v="73"/>
    <x v="1"/>
    <x v="5"/>
    <s v="Fortaleza"/>
    <x v="10"/>
    <n v="3200"/>
    <n v="16"/>
    <n v="51200"/>
    <n v="10240"/>
    <n v="0.2"/>
  </r>
  <r>
    <x v="3"/>
    <x v="1"/>
    <x v="74"/>
    <x v="1"/>
    <x v="5"/>
    <s v="Fortaleza"/>
    <x v="0"/>
    <n v="8902"/>
    <n v="15"/>
    <n v="133530"/>
    <n v="46735.5"/>
    <n v="0.35"/>
  </r>
  <r>
    <x v="0"/>
    <x v="0"/>
    <x v="75"/>
    <x v="1"/>
    <x v="5"/>
    <s v="Fortaleza"/>
    <x v="2"/>
    <n v="1200"/>
    <n v="5"/>
    <n v="6000"/>
    <n v="1800"/>
    <n v="0.3"/>
  </r>
  <r>
    <x v="3"/>
    <x v="1"/>
    <x v="76"/>
    <x v="1"/>
    <x v="5"/>
    <s v="Fortaleza"/>
    <x v="7"/>
    <n v="5340"/>
    <n v="5"/>
    <n v="26700"/>
    <n v="8010"/>
    <n v="0.3"/>
  </r>
  <r>
    <x v="0"/>
    <x v="1"/>
    <x v="77"/>
    <x v="1"/>
    <x v="5"/>
    <s v="Fortaleza"/>
    <x v="8"/>
    <n v="3400"/>
    <n v="5"/>
    <n v="17000"/>
    <n v="5950"/>
    <n v="0.35"/>
  </r>
  <r>
    <x v="0"/>
    <x v="1"/>
    <x v="78"/>
    <x v="1"/>
    <x v="5"/>
    <s v="Fortaleza"/>
    <x v="4"/>
    <n v="300"/>
    <n v="2"/>
    <n v="600"/>
    <n v="90"/>
    <n v="0.15"/>
  </r>
  <r>
    <x v="0"/>
    <x v="1"/>
    <x v="79"/>
    <x v="1"/>
    <x v="5"/>
    <s v="Fortaleza"/>
    <x v="1"/>
    <n v="500"/>
    <n v="5"/>
    <n v="2500"/>
    <n v="625"/>
    <n v="0.25"/>
  </r>
  <r>
    <x v="1"/>
    <x v="1"/>
    <x v="80"/>
    <x v="1"/>
    <x v="5"/>
    <s v="Fortaleza"/>
    <x v="9"/>
    <n v="5300"/>
    <n v="3"/>
    <n v="15900"/>
    <n v="4770"/>
    <n v="0.3"/>
  </r>
  <r>
    <x v="3"/>
    <x v="1"/>
    <x v="81"/>
    <x v="1"/>
    <x v="5"/>
    <s v="Fortaleza"/>
    <x v="10"/>
    <n v="3200"/>
    <n v="8"/>
    <n v="25600"/>
    <n v="5120"/>
    <n v="0.2"/>
  </r>
  <r>
    <x v="0"/>
    <x v="0"/>
    <x v="82"/>
    <x v="1"/>
    <x v="5"/>
    <s v="Fortaleza"/>
    <x v="10"/>
    <n v="3200"/>
    <n v="7"/>
    <n v="22400"/>
    <n v="4480"/>
    <n v="0.2"/>
  </r>
  <r>
    <x v="4"/>
    <x v="1"/>
    <x v="83"/>
    <x v="1"/>
    <x v="5"/>
    <s v="Fortaleza"/>
    <x v="11"/>
    <n v="4600"/>
    <n v="8"/>
    <n v="36800"/>
    <n v="9200"/>
    <n v="0.25"/>
  </r>
  <r>
    <x v="2"/>
    <x v="1"/>
    <x v="84"/>
    <x v="1"/>
    <x v="5"/>
    <s v="Fortaleza"/>
    <x v="3"/>
    <n v="5130"/>
    <n v="12"/>
    <n v="61560"/>
    <n v="24624"/>
    <n v="0.4"/>
  </r>
  <r>
    <x v="3"/>
    <x v="1"/>
    <x v="85"/>
    <x v="1"/>
    <x v="5"/>
    <s v="Fortaleza"/>
    <x v="2"/>
    <n v="1200"/>
    <n v="9"/>
    <n v="10800"/>
    <n v="3240"/>
    <n v="0.3"/>
  </r>
  <r>
    <x v="3"/>
    <x v="0"/>
    <x v="0"/>
    <x v="1"/>
    <x v="6"/>
    <s v="Recife"/>
    <x v="5"/>
    <n v="1700"/>
    <n v="7"/>
    <n v="11900"/>
    <n v="5950"/>
    <n v="0.5"/>
  </r>
  <r>
    <x v="1"/>
    <x v="1"/>
    <x v="1"/>
    <x v="1"/>
    <x v="6"/>
    <s v="Recife"/>
    <x v="6"/>
    <n v="1500"/>
    <n v="3"/>
    <n v="4500"/>
    <n v="1800"/>
    <n v="0.4"/>
  </r>
  <r>
    <x v="2"/>
    <x v="0"/>
    <x v="2"/>
    <x v="1"/>
    <x v="6"/>
    <s v="Recife"/>
    <x v="5"/>
    <n v="1700"/>
    <n v="6"/>
    <n v="10200"/>
    <n v="5100"/>
    <n v="0.5"/>
  </r>
  <r>
    <x v="2"/>
    <x v="0"/>
    <x v="3"/>
    <x v="1"/>
    <x v="6"/>
    <s v="Recife"/>
    <x v="12"/>
    <n v="4500"/>
    <n v="11"/>
    <n v="49500"/>
    <n v="12375"/>
    <n v="0.25"/>
  </r>
  <r>
    <x v="3"/>
    <x v="1"/>
    <x v="4"/>
    <x v="1"/>
    <x v="6"/>
    <s v="Recife"/>
    <x v="11"/>
    <n v="4600"/>
    <n v="5"/>
    <n v="23000"/>
    <n v="5750"/>
    <n v="0.25"/>
  </r>
  <r>
    <x v="1"/>
    <x v="1"/>
    <x v="5"/>
    <x v="1"/>
    <x v="6"/>
    <s v="Recife"/>
    <x v="7"/>
    <n v="5340"/>
    <n v="1"/>
    <n v="5340"/>
    <n v="1602"/>
    <n v="0.3"/>
  </r>
  <r>
    <x v="0"/>
    <x v="1"/>
    <x v="6"/>
    <x v="1"/>
    <x v="6"/>
    <s v="Recife"/>
    <x v="6"/>
    <n v="1500"/>
    <n v="5"/>
    <n v="7500"/>
    <n v="3000"/>
    <n v="0.4"/>
  </r>
  <r>
    <x v="0"/>
    <x v="1"/>
    <x v="7"/>
    <x v="1"/>
    <x v="6"/>
    <s v="Recife"/>
    <x v="11"/>
    <n v="4600"/>
    <n v="12"/>
    <n v="55200"/>
    <n v="13800"/>
    <n v="0.25"/>
  </r>
  <r>
    <x v="1"/>
    <x v="0"/>
    <x v="8"/>
    <x v="1"/>
    <x v="6"/>
    <s v="Recife"/>
    <x v="0"/>
    <n v="8902"/>
    <n v="5"/>
    <n v="44510"/>
    <n v="15578.499999999998"/>
    <n v="0.35"/>
  </r>
  <r>
    <x v="0"/>
    <x v="1"/>
    <x v="9"/>
    <x v="1"/>
    <x v="6"/>
    <s v="Recife"/>
    <x v="11"/>
    <n v="4600"/>
    <n v="10"/>
    <n v="46000"/>
    <n v="11500"/>
    <n v="0.25"/>
  </r>
  <r>
    <x v="0"/>
    <x v="1"/>
    <x v="10"/>
    <x v="1"/>
    <x v="6"/>
    <s v="Recife"/>
    <x v="4"/>
    <n v="300"/>
    <n v="4"/>
    <n v="1200"/>
    <n v="180"/>
    <n v="0.15"/>
  </r>
  <r>
    <x v="0"/>
    <x v="0"/>
    <x v="11"/>
    <x v="1"/>
    <x v="6"/>
    <s v="Recife"/>
    <x v="10"/>
    <n v="3200"/>
    <n v="1"/>
    <n v="3200"/>
    <n v="640"/>
    <n v="0.2"/>
  </r>
  <r>
    <x v="4"/>
    <x v="0"/>
    <x v="12"/>
    <x v="1"/>
    <x v="6"/>
    <s v="Recife"/>
    <x v="3"/>
    <n v="5130"/>
    <n v="11"/>
    <n v="56430"/>
    <n v="22572"/>
    <n v="0.4"/>
  </r>
  <r>
    <x v="0"/>
    <x v="1"/>
    <x v="13"/>
    <x v="1"/>
    <x v="6"/>
    <s v="Recife"/>
    <x v="11"/>
    <n v="4600"/>
    <n v="4"/>
    <n v="18400"/>
    <n v="4600"/>
    <n v="0.25"/>
  </r>
  <r>
    <x v="0"/>
    <x v="1"/>
    <x v="14"/>
    <x v="1"/>
    <x v="6"/>
    <s v="Recife"/>
    <x v="6"/>
    <n v="1500"/>
    <n v="11"/>
    <n v="16500"/>
    <n v="6600"/>
    <n v="0.4"/>
  </r>
  <r>
    <x v="0"/>
    <x v="1"/>
    <x v="15"/>
    <x v="1"/>
    <x v="6"/>
    <s v="Recife"/>
    <x v="9"/>
    <n v="5300"/>
    <n v="4"/>
    <n v="21200"/>
    <n v="6360"/>
    <n v="0.3"/>
  </r>
  <r>
    <x v="0"/>
    <x v="0"/>
    <x v="16"/>
    <x v="1"/>
    <x v="6"/>
    <s v="Recife"/>
    <x v="0"/>
    <n v="8902"/>
    <n v="6"/>
    <n v="53412"/>
    <n v="18694.199999999997"/>
    <n v="0.35"/>
  </r>
  <r>
    <x v="0"/>
    <x v="0"/>
    <x v="17"/>
    <x v="1"/>
    <x v="6"/>
    <s v="Recife"/>
    <x v="2"/>
    <n v="1200"/>
    <n v="1"/>
    <n v="1200"/>
    <n v="360"/>
    <n v="0.3"/>
  </r>
  <r>
    <x v="4"/>
    <x v="1"/>
    <x v="18"/>
    <x v="1"/>
    <x v="6"/>
    <s v="Recife"/>
    <x v="3"/>
    <n v="5130"/>
    <n v="7"/>
    <n v="35910"/>
    <n v="14364"/>
    <n v="0.4"/>
  </r>
  <r>
    <x v="0"/>
    <x v="1"/>
    <x v="19"/>
    <x v="1"/>
    <x v="6"/>
    <s v="Recife"/>
    <x v="6"/>
    <n v="1500"/>
    <n v="4"/>
    <n v="6000"/>
    <n v="2400"/>
    <n v="0.4"/>
  </r>
  <r>
    <x v="3"/>
    <x v="1"/>
    <x v="20"/>
    <x v="1"/>
    <x v="6"/>
    <s v="Recife"/>
    <x v="3"/>
    <n v="5130"/>
    <n v="4"/>
    <n v="20520"/>
    <n v="8208"/>
    <n v="0.4"/>
  </r>
  <r>
    <x v="3"/>
    <x v="1"/>
    <x v="21"/>
    <x v="1"/>
    <x v="6"/>
    <s v="Recife"/>
    <x v="12"/>
    <n v="4500"/>
    <n v="2"/>
    <n v="9000"/>
    <n v="2250"/>
    <n v="0.25"/>
  </r>
  <r>
    <x v="0"/>
    <x v="0"/>
    <x v="22"/>
    <x v="1"/>
    <x v="6"/>
    <s v="Recife"/>
    <x v="9"/>
    <n v="5300"/>
    <n v="2"/>
    <n v="10600"/>
    <n v="3180"/>
    <n v="0.3"/>
  </r>
  <r>
    <x v="0"/>
    <x v="1"/>
    <x v="23"/>
    <x v="1"/>
    <x v="6"/>
    <s v="Recife"/>
    <x v="4"/>
    <n v="300"/>
    <n v="2"/>
    <n v="600"/>
    <n v="90"/>
    <n v="0.15"/>
  </r>
  <r>
    <x v="4"/>
    <x v="0"/>
    <x v="24"/>
    <x v="1"/>
    <x v="6"/>
    <s v="Recife"/>
    <x v="1"/>
    <n v="500"/>
    <n v="12"/>
    <n v="6000"/>
    <n v="1500"/>
    <n v="0.25"/>
  </r>
  <r>
    <x v="2"/>
    <x v="0"/>
    <x v="25"/>
    <x v="1"/>
    <x v="6"/>
    <s v="Recife"/>
    <x v="4"/>
    <n v="300"/>
    <n v="1"/>
    <n v="300"/>
    <n v="45"/>
    <n v="0.15"/>
  </r>
  <r>
    <x v="3"/>
    <x v="1"/>
    <x v="26"/>
    <x v="1"/>
    <x v="6"/>
    <s v="Recife"/>
    <x v="6"/>
    <n v="1500"/>
    <n v="1"/>
    <n v="1500"/>
    <n v="600"/>
    <n v="0.4"/>
  </r>
  <r>
    <x v="0"/>
    <x v="1"/>
    <x v="27"/>
    <x v="1"/>
    <x v="6"/>
    <s v="Recife"/>
    <x v="6"/>
    <n v="1500"/>
    <n v="11"/>
    <n v="16500"/>
    <n v="6600"/>
    <n v="0.4"/>
  </r>
  <r>
    <x v="0"/>
    <x v="1"/>
    <x v="28"/>
    <x v="1"/>
    <x v="6"/>
    <s v="Recife"/>
    <x v="2"/>
    <n v="1200"/>
    <n v="2"/>
    <n v="2400"/>
    <n v="720"/>
    <n v="0.3"/>
  </r>
  <r>
    <x v="3"/>
    <x v="1"/>
    <x v="28"/>
    <x v="1"/>
    <x v="6"/>
    <s v="Recife"/>
    <x v="1"/>
    <n v="500"/>
    <n v="5"/>
    <n v="2500"/>
    <n v="625"/>
    <n v="0.25"/>
  </r>
  <r>
    <x v="1"/>
    <x v="0"/>
    <x v="29"/>
    <x v="1"/>
    <x v="6"/>
    <s v="Recife"/>
    <x v="10"/>
    <n v="3200"/>
    <n v="12"/>
    <n v="38400"/>
    <n v="7680"/>
    <n v="0.2"/>
  </r>
  <r>
    <x v="4"/>
    <x v="1"/>
    <x v="30"/>
    <x v="1"/>
    <x v="6"/>
    <s v="Recife"/>
    <x v="9"/>
    <n v="5300"/>
    <n v="4"/>
    <n v="21200"/>
    <n v="6360"/>
    <n v="0.3"/>
  </r>
  <r>
    <x v="4"/>
    <x v="1"/>
    <x v="31"/>
    <x v="1"/>
    <x v="6"/>
    <s v="Recife"/>
    <x v="3"/>
    <n v="5130"/>
    <n v="8"/>
    <n v="41040"/>
    <n v="16416"/>
    <n v="0.4"/>
  </r>
  <r>
    <x v="0"/>
    <x v="1"/>
    <x v="32"/>
    <x v="1"/>
    <x v="6"/>
    <s v="Recife"/>
    <x v="7"/>
    <n v="5340"/>
    <n v="2"/>
    <n v="10680"/>
    <n v="3204"/>
    <n v="0.3"/>
  </r>
  <r>
    <x v="1"/>
    <x v="1"/>
    <x v="33"/>
    <x v="1"/>
    <x v="6"/>
    <s v="Recife"/>
    <x v="2"/>
    <n v="1200"/>
    <n v="5"/>
    <n v="6000"/>
    <n v="1800"/>
    <n v="0.3"/>
  </r>
  <r>
    <x v="3"/>
    <x v="1"/>
    <x v="34"/>
    <x v="1"/>
    <x v="6"/>
    <s v="Recife"/>
    <x v="9"/>
    <n v="5300"/>
    <n v="10"/>
    <n v="53000"/>
    <n v="15900"/>
    <n v="0.3"/>
  </r>
  <r>
    <x v="0"/>
    <x v="1"/>
    <x v="35"/>
    <x v="1"/>
    <x v="6"/>
    <s v="Recife"/>
    <x v="1"/>
    <n v="500"/>
    <n v="9"/>
    <n v="4500"/>
    <n v="1125"/>
    <n v="0.25"/>
  </r>
  <r>
    <x v="3"/>
    <x v="0"/>
    <x v="36"/>
    <x v="1"/>
    <x v="6"/>
    <s v="Recife"/>
    <x v="7"/>
    <n v="5340"/>
    <n v="7"/>
    <n v="37380"/>
    <n v="11214"/>
    <n v="0.3"/>
  </r>
  <r>
    <x v="0"/>
    <x v="1"/>
    <x v="37"/>
    <x v="1"/>
    <x v="6"/>
    <s v="Recife"/>
    <x v="0"/>
    <n v="8902"/>
    <n v="8"/>
    <n v="71216"/>
    <n v="24925.599999999999"/>
    <n v="0.35"/>
  </r>
  <r>
    <x v="0"/>
    <x v="1"/>
    <x v="38"/>
    <x v="1"/>
    <x v="6"/>
    <s v="Recife"/>
    <x v="10"/>
    <n v="3200"/>
    <n v="7"/>
    <n v="22400"/>
    <n v="4480"/>
    <n v="0.2"/>
  </r>
  <r>
    <x v="3"/>
    <x v="1"/>
    <x v="39"/>
    <x v="1"/>
    <x v="6"/>
    <s v="Recife"/>
    <x v="1"/>
    <n v="500"/>
    <n v="2"/>
    <n v="1000"/>
    <n v="250"/>
    <n v="0.25"/>
  </r>
  <r>
    <x v="0"/>
    <x v="1"/>
    <x v="40"/>
    <x v="1"/>
    <x v="6"/>
    <s v="Recife"/>
    <x v="7"/>
    <n v="5340"/>
    <n v="2"/>
    <n v="10680"/>
    <n v="3204"/>
    <n v="0.3"/>
  </r>
  <r>
    <x v="3"/>
    <x v="1"/>
    <x v="41"/>
    <x v="1"/>
    <x v="6"/>
    <s v="Recife"/>
    <x v="1"/>
    <n v="500"/>
    <n v="2"/>
    <n v="1000"/>
    <n v="250"/>
    <n v="0.25"/>
  </r>
  <r>
    <x v="0"/>
    <x v="0"/>
    <x v="42"/>
    <x v="1"/>
    <x v="6"/>
    <s v="Recife"/>
    <x v="3"/>
    <n v="5130"/>
    <n v="1"/>
    <n v="5130"/>
    <n v="2052"/>
    <n v="0.4"/>
  </r>
  <r>
    <x v="3"/>
    <x v="1"/>
    <x v="43"/>
    <x v="1"/>
    <x v="6"/>
    <s v="Recife"/>
    <x v="6"/>
    <n v="1500"/>
    <n v="10"/>
    <n v="15000"/>
    <n v="6000"/>
    <n v="0.4"/>
  </r>
  <r>
    <x v="0"/>
    <x v="1"/>
    <x v="44"/>
    <x v="1"/>
    <x v="6"/>
    <s v="Recife"/>
    <x v="11"/>
    <n v="4600"/>
    <n v="3"/>
    <n v="13800"/>
    <n v="3450"/>
    <n v="0.25"/>
  </r>
  <r>
    <x v="2"/>
    <x v="0"/>
    <x v="45"/>
    <x v="1"/>
    <x v="6"/>
    <s v="Recife"/>
    <x v="7"/>
    <n v="5340"/>
    <n v="5"/>
    <n v="26700"/>
    <n v="8010"/>
    <n v="0.3"/>
  </r>
  <r>
    <x v="1"/>
    <x v="1"/>
    <x v="46"/>
    <x v="1"/>
    <x v="6"/>
    <s v="Recife"/>
    <x v="2"/>
    <n v="1200"/>
    <n v="4"/>
    <n v="4800"/>
    <n v="1440"/>
    <n v="0.3"/>
  </r>
  <r>
    <x v="2"/>
    <x v="1"/>
    <x v="47"/>
    <x v="1"/>
    <x v="6"/>
    <s v="Recife"/>
    <x v="6"/>
    <n v="1500"/>
    <n v="3"/>
    <n v="4500"/>
    <n v="1800"/>
    <n v="0.4"/>
  </r>
  <r>
    <x v="1"/>
    <x v="1"/>
    <x v="48"/>
    <x v="1"/>
    <x v="6"/>
    <s v="Recife"/>
    <x v="1"/>
    <n v="500"/>
    <n v="8"/>
    <n v="4000"/>
    <n v="1000"/>
    <n v="0.25"/>
  </r>
  <r>
    <x v="4"/>
    <x v="1"/>
    <x v="49"/>
    <x v="1"/>
    <x v="6"/>
    <s v="Recife"/>
    <x v="6"/>
    <n v="1500"/>
    <n v="9"/>
    <n v="13500"/>
    <n v="5400"/>
    <n v="0.4"/>
  </r>
  <r>
    <x v="1"/>
    <x v="1"/>
    <x v="50"/>
    <x v="1"/>
    <x v="6"/>
    <s v="Recife"/>
    <x v="4"/>
    <n v="300"/>
    <n v="11"/>
    <n v="3300"/>
    <n v="495"/>
    <n v="0.15"/>
  </r>
  <r>
    <x v="3"/>
    <x v="0"/>
    <x v="51"/>
    <x v="1"/>
    <x v="6"/>
    <s v="Recife"/>
    <x v="0"/>
    <n v="8902"/>
    <n v="12"/>
    <n v="106824"/>
    <n v="37388.399999999994"/>
    <n v="0.35"/>
  </r>
  <r>
    <x v="3"/>
    <x v="1"/>
    <x v="52"/>
    <x v="1"/>
    <x v="6"/>
    <s v="Recife"/>
    <x v="12"/>
    <n v="4500"/>
    <n v="10"/>
    <n v="45000"/>
    <n v="11250"/>
    <n v="0.25"/>
  </r>
  <r>
    <x v="2"/>
    <x v="1"/>
    <x v="53"/>
    <x v="1"/>
    <x v="6"/>
    <s v="Recife"/>
    <x v="2"/>
    <n v="1200"/>
    <n v="1"/>
    <n v="1200"/>
    <n v="360"/>
    <n v="0.3"/>
  </r>
  <r>
    <x v="0"/>
    <x v="0"/>
    <x v="54"/>
    <x v="1"/>
    <x v="6"/>
    <s v="Recife"/>
    <x v="1"/>
    <n v="500"/>
    <n v="5"/>
    <n v="2500"/>
    <n v="625"/>
    <n v="0.25"/>
  </r>
  <r>
    <x v="0"/>
    <x v="0"/>
    <x v="55"/>
    <x v="1"/>
    <x v="6"/>
    <s v="Recife"/>
    <x v="11"/>
    <n v="4600"/>
    <n v="12"/>
    <n v="55200"/>
    <n v="13800"/>
    <n v="0.25"/>
  </r>
  <r>
    <x v="4"/>
    <x v="0"/>
    <x v="56"/>
    <x v="1"/>
    <x v="6"/>
    <s v="Recife"/>
    <x v="11"/>
    <n v="4600"/>
    <n v="7"/>
    <n v="32200"/>
    <n v="8050"/>
    <n v="0.25"/>
  </r>
  <r>
    <x v="3"/>
    <x v="1"/>
    <x v="57"/>
    <x v="1"/>
    <x v="6"/>
    <s v="Recife"/>
    <x v="0"/>
    <n v="8902"/>
    <n v="9"/>
    <n v="80118"/>
    <n v="28041.3"/>
    <n v="0.35"/>
  </r>
  <r>
    <x v="0"/>
    <x v="0"/>
    <x v="58"/>
    <x v="1"/>
    <x v="6"/>
    <s v="Recife"/>
    <x v="4"/>
    <n v="300"/>
    <n v="5"/>
    <n v="1500"/>
    <n v="225"/>
    <n v="0.15"/>
  </r>
  <r>
    <x v="2"/>
    <x v="1"/>
    <x v="59"/>
    <x v="1"/>
    <x v="6"/>
    <s v="Recife"/>
    <x v="10"/>
    <n v="3200"/>
    <n v="2"/>
    <n v="6400"/>
    <n v="1280"/>
    <n v="0.2"/>
  </r>
  <r>
    <x v="3"/>
    <x v="1"/>
    <x v="60"/>
    <x v="1"/>
    <x v="6"/>
    <s v="Recife"/>
    <x v="12"/>
    <n v="4500"/>
    <n v="12"/>
    <n v="54000"/>
    <n v="13500"/>
    <n v="0.25"/>
  </r>
  <r>
    <x v="4"/>
    <x v="1"/>
    <x v="61"/>
    <x v="1"/>
    <x v="6"/>
    <s v="Recife"/>
    <x v="5"/>
    <n v="1700"/>
    <n v="12"/>
    <n v="20400"/>
    <n v="10200"/>
    <n v="0.5"/>
  </r>
  <r>
    <x v="1"/>
    <x v="1"/>
    <x v="62"/>
    <x v="1"/>
    <x v="6"/>
    <s v="Recife"/>
    <x v="10"/>
    <n v="3200"/>
    <n v="8"/>
    <n v="25600"/>
    <n v="5120"/>
    <n v="0.2"/>
  </r>
  <r>
    <x v="3"/>
    <x v="0"/>
    <x v="63"/>
    <x v="1"/>
    <x v="6"/>
    <s v="Recife"/>
    <x v="4"/>
    <n v="300"/>
    <n v="7"/>
    <n v="2100"/>
    <n v="315"/>
    <n v="0.15"/>
  </r>
  <r>
    <x v="0"/>
    <x v="1"/>
    <x v="64"/>
    <x v="1"/>
    <x v="6"/>
    <s v="Recife"/>
    <x v="8"/>
    <n v="3400"/>
    <n v="12"/>
    <n v="40800"/>
    <n v="14280"/>
    <n v="0.35"/>
  </r>
  <r>
    <x v="0"/>
    <x v="0"/>
    <x v="65"/>
    <x v="1"/>
    <x v="6"/>
    <s v="Recife"/>
    <x v="11"/>
    <n v="4600"/>
    <n v="3"/>
    <n v="13800"/>
    <n v="3450"/>
    <n v="0.25"/>
  </r>
  <r>
    <x v="3"/>
    <x v="1"/>
    <x v="66"/>
    <x v="1"/>
    <x v="6"/>
    <s v="Recife"/>
    <x v="8"/>
    <n v="3400"/>
    <n v="3"/>
    <n v="10200"/>
    <n v="3570"/>
    <n v="0.35"/>
  </r>
  <r>
    <x v="0"/>
    <x v="1"/>
    <x v="67"/>
    <x v="1"/>
    <x v="6"/>
    <s v="Recife"/>
    <x v="5"/>
    <n v="1700"/>
    <n v="3"/>
    <n v="5100"/>
    <n v="2550"/>
    <n v="0.5"/>
  </r>
  <r>
    <x v="1"/>
    <x v="0"/>
    <x v="68"/>
    <x v="1"/>
    <x v="6"/>
    <s v="Recife"/>
    <x v="10"/>
    <n v="3200"/>
    <n v="8"/>
    <n v="25600"/>
    <n v="5120"/>
    <n v="0.2"/>
  </r>
  <r>
    <x v="0"/>
    <x v="1"/>
    <x v="69"/>
    <x v="1"/>
    <x v="6"/>
    <s v="Recife"/>
    <x v="0"/>
    <n v="8902"/>
    <n v="7"/>
    <n v="62314"/>
    <n v="21809.899999999998"/>
    <n v="0.35"/>
  </r>
  <r>
    <x v="0"/>
    <x v="1"/>
    <x v="70"/>
    <x v="1"/>
    <x v="6"/>
    <s v="Recife"/>
    <x v="12"/>
    <n v="4500"/>
    <n v="10"/>
    <n v="45000"/>
    <n v="11250"/>
    <n v="0.25"/>
  </r>
  <r>
    <x v="0"/>
    <x v="1"/>
    <x v="71"/>
    <x v="1"/>
    <x v="6"/>
    <s v="Recife"/>
    <x v="3"/>
    <n v="5130"/>
    <n v="6"/>
    <n v="30780"/>
    <n v="12312"/>
    <n v="0.4"/>
  </r>
  <r>
    <x v="1"/>
    <x v="1"/>
    <x v="72"/>
    <x v="1"/>
    <x v="6"/>
    <s v="Recife"/>
    <x v="0"/>
    <n v="8902"/>
    <n v="1"/>
    <n v="8902"/>
    <n v="3115.7"/>
    <n v="0.35"/>
  </r>
  <r>
    <x v="1"/>
    <x v="0"/>
    <x v="73"/>
    <x v="1"/>
    <x v="6"/>
    <s v="Recife"/>
    <x v="4"/>
    <n v="300"/>
    <n v="4"/>
    <n v="1200"/>
    <n v="180"/>
    <n v="0.15"/>
  </r>
  <r>
    <x v="3"/>
    <x v="1"/>
    <x v="74"/>
    <x v="1"/>
    <x v="6"/>
    <s v="Recife"/>
    <x v="6"/>
    <n v="1500"/>
    <n v="10"/>
    <n v="15000"/>
    <n v="6000"/>
    <n v="0.4"/>
  </r>
  <r>
    <x v="3"/>
    <x v="0"/>
    <x v="75"/>
    <x v="1"/>
    <x v="6"/>
    <s v="Recife"/>
    <x v="6"/>
    <n v="1500"/>
    <n v="10"/>
    <n v="15000"/>
    <n v="6000"/>
    <n v="0.4"/>
  </r>
  <r>
    <x v="0"/>
    <x v="1"/>
    <x v="76"/>
    <x v="1"/>
    <x v="6"/>
    <s v="Recife"/>
    <x v="2"/>
    <n v="1200"/>
    <n v="8"/>
    <n v="9600"/>
    <n v="2880"/>
    <n v="0.3"/>
  </r>
  <r>
    <x v="3"/>
    <x v="1"/>
    <x v="77"/>
    <x v="1"/>
    <x v="6"/>
    <s v="Recife"/>
    <x v="1"/>
    <n v="500"/>
    <n v="7"/>
    <n v="3500"/>
    <n v="875"/>
    <n v="0.25"/>
  </r>
  <r>
    <x v="0"/>
    <x v="1"/>
    <x v="78"/>
    <x v="1"/>
    <x v="6"/>
    <s v="Recife"/>
    <x v="6"/>
    <n v="1500"/>
    <n v="2"/>
    <n v="3000"/>
    <n v="1200"/>
    <n v="0.4"/>
  </r>
  <r>
    <x v="2"/>
    <x v="0"/>
    <x v="79"/>
    <x v="1"/>
    <x v="6"/>
    <s v="Recife"/>
    <x v="1"/>
    <n v="500"/>
    <n v="4"/>
    <n v="2000"/>
    <n v="500"/>
    <n v="0.25"/>
  </r>
  <r>
    <x v="0"/>
    <x v="1"/>
    <x v="80"/>
    <x v="1"/>
    <x v="6"/>
    <s v="Recife"/>
    <x v="1"/>
    <n v="500"/>
    <n v="5"/>
    <n v="2500"/>
    <n v="625"/>
    <n v="0.25"/>
  </r>
  <r>
    <x v="3"/>
    <x v="1"/>
    <x v="81"/>
    <x v="1"/>
    <x v="6"/>
    <s v="Recife"/>
    <x v="9"/>
    <n v="5300"/>
    <n v="11"/>
    <n v="58300"/>
    <n v="17490"/>
    <n v="0.3"/>
  </r>
  <r>
    <x v="3"/>
    <x v="0"/>
    <x v="82"/>
    <x v="1"/>
    <x v="6"/>
    <s v="Recife"/>
    <x v="9"/>
    <n v="5300"/>
    <n v="11"/>
    <n v="58300"/>
    <n v="17490"/>
    <n v="0.3"/>
  </r>
  <r>
    <x v="4"/>
    <x v="0"/>
    <x v="83"/>
    <x v="1"/>
    <x v="6"/>
    <s v="Recife"/>
    <x v="11"/>
    <n v="4600"/>
    <n v="1"/>
    <n v="4600"/>
    <n v="1150"/>
    <n v="0.25"/>
  </r>
  <r>
    <x v="3"/>
    <x v="1"/>
    <x v="84"/>
    <x v="1"/>
    <x v="6"/>
    <s v="Recife"/>
    <x v="0"/>
    <n v="8902"/>
    <n v="17"/>
    <n v="151334"/>
    <n v="52966.899999999994"/>
    <n v="0.35"/>
  </r>
  <r>
    <x v="0"/>
    <x v="1"/>
    <x v="85"/>
    <x v="1"/>
    <x v="6"/>
    <s v="Recife"/>
    <x v="11"/>
    <n v="4600"/>
    <n v="6"/>
    <n v="27600"/>
    <n v="6900"/>
    <n v="0.25"/>
  </r>
  <r>
    <x v="1"/>
    <x v="1"/>
    <x v="28"/>
    <x v="1"/>
    <x v="5"/>
    <s v="Fortaleza"/>
    <x v="9"/>
    <n v="5300"/>
    <n v="9"/>
    <n v="47700"/>
    <n v="14310"/>
    <n v="0.3"/>
  </r>
  <r>
    <x v="3"/>
    <x v="1"/>
    <x v="29"/>
    <x v="1"/>
    <x v="5"/>
    <s v="Fortaleza"/>
    <x v="2"/>
    <n v="1200"/>
    <n v="3"/>
    <n v="3600"/>
    <n v="1080"/>
    <n v="0.3"/>
  </r>
  <r>
    <x v="0"/>
    <x v="1"/>
    <x v="30"/>
    <x v="1"/>
    <x v="5"/>
    <s v="Fortaleza"/>
    <x v="4"/>
    <n v="300"/>
    <n v="6"/>
    <n v="1800"/>
    <n v="270"/>
    <n v="0.15"/>
  </r>
  <r>
    <x v="0"/>
    <x v="0"/>
    <x v="31"/>
    <x v="1"/>
    <x v="5"/>
    <s v="Fortaleza"/>
    <x v="12"/>
    <n v="4500"/>
    <n v="6"/>
    <n v="27000"/>
    <n v="6750"/>
    <n v="0.25"/>
  </r>
  <r>
    <x v="0"/>
    <x v="0"/>
    <x v="32"/>
    <x v="1"/>
    <x v="5"/>
    <s v="Fortaleza"/>
    <x v="6"/>
    <n v="1500"/>
    <n v="5"/>
    <n v="7500"/>
    <n v="3000"/>
    <n v="0.4"/>
  </r>
  <r>
    <x v="0"/>
    <x v="0"/>
    <x v="33"/>
    <x v="1"/>
    <x v="5"/>
    <s v="Fortaleza"/>
    <x v="12"/>
    <n v="4500"/>
    <n v="7"/>
    <n v="31500"/>
    <n v="7875"/>
    <n v="0.25"/>
  </r>
  <r>
    <x v="0"/>
    <x v="1"/>
    <x v="34"/>
    <x v="1"/>
    <x v="5"/>
    <s v="Fortaleza"/>
    <x v="10"/>
    <n v="3200"/>
    <n v="7"/>
    <n v="22400"/>
    <n v="4480"/>
    <n v="0.2"/>
  </r>
  <r>
    <x v="0"/>
    <x v="1"/>
    <x v="35"/>
    <x v="1"/>
    <x v="5"/>
    <s v="Fortaleza"/>
    <x v="6"/>
    <n v="1500"/>
    <n v="9"/>
    <n v="13500"/>
    <n v="5400"/>
    <n v="0.4"/>
  </r>
  <r>
    <x v="3"/>
    <x v="1"/>
    <x v="36"/>
    <x v="1"/>
    <x v="5"/>
    <s v="Fortaleza"/>
    <x v="1"/>
    <n v="500"/>
    <n v="2"/>
    <n v="1000"/>
    <n v="250"/>
    <n v="0.25"/>
  </r>
  <r>
    <x v="0"/>
    <x v="0"/>
    <x v="37"/>
    <x v="1"/>
    <x v="5"/>
    <s v="Fortaleza"/>
    <x v="1"/>
    <n v="500"/>
    <n v="9"/>
    <n v="4500"/>
    <n v="1125"/>
    <n v="0.25"/>
  </r>
  <r>
    <x v="0"/>
    <x v="1"/>
    <x v="38"/>
    <x v="1"/>
    <x v="5"/>
    <s v="Fortaleza"/>
    <x v="9"/>
    <n v="5300"/>
    <n v="4"/>
    <n v="21200"/>
    <n v="6360"/>
    <n v="0.3"/>
  </r>
  <r>
    <x v="3"/>
    <x v="1"/>
    <x v="39"/>
    <x v="1"/>
    <x v="5"/>
    <s v="Fortaleza"/>
    <x v="11"/>
    <n v="4600"/>
    <n v="5"/>
    <n v="23000"/>
    <n v="5750"/>
    <n v="0.25"/>
  </r>
  <r>
    <x v="3"/>
    <x v="1"/>
    <x v="40"/>
    <x v="1"/>
    <x v="5"/>
    <s v="Fortaleza"/>
    <x v="11"/>
    <n v="4600"/>
    <n v="11"/>
    <n v="50600"/>
    <n v="12650"/>
    <n v="0.25"/>
  </r>
  <r>
    <x v="0"/>
    <x v="1"/>
    <x v="41"/>
    <x v="1"/>
    <x v="5"/>
    <s v="Fortaleza"/>
    <x v="2"/>
    <n v="1200"/>
    <n v="6"/>
    <n v="7200"/>
    <n v="2160"/>
    <n v="0.3"/>
  </r>
  <r>
    <x v="0"/>
    <x v="0"/>
    <x v="42"/>
    <x v="1"/>
    <x v="5"/>
    <s v="Fortaleza"/>
    <x v="10"/>
    <n v="3200"/>
    <n v="1"/>
    <n v="3200"/>
    <n v="640"/>
    <n v="0.2"/>
  </r>
  <r>
    <x v="0"/>
    <x v="0"/>
    <x v="43"/>
    <x v="1"/>
    <x v="5"/>
    <s v="Fortaleza"/>
    <x v="9"/>
    <n v="5300"/>
    <n v="12"/>
    <n v="63600"/>
    <n v="19080"/>
    <n v="0.3"/>
  </r>
  <r>
    <x v="3"/>
    <x v="1"/>
    <x v="44"/>
    <x v="1"/>
    <x v="5"/>
    <s v="Fortaleza"/>
    <x v="1"/>
    <n v="500"/>
    <n v="5"/>
    <n v="2500"/>
    <n v="625"/>
    <n v="0.25"/>
  </r>
  <r>
    <x v="4"/>
    <x v="1"/>
    <x v="45"/>
    <x v="1"/>
    <x v="5"/>
    <s v="Fortaleza"/>
    <x v="3"/>
    <n v="5130"/>
    <n v="7"/>
    <n v="35910"/>
    <n v="14364"/>
    <n v="0.4"/>
  </r>
  <r>
    <x v="0"/>
    <x v="0"/>
    <x v="46"/>
    <x v="1"/>
    <x v="5"/>
    <s v="Fortaleza"/>
    <x v="6"/>
    <n v="1500"/>
    <n v="5"/>
    <n v="7500"/>
    <n v="3000"/>
    <n v="0.4"/>
  </r>
  <r>
    <x v="3"/>
    <x v="1"/>
    <x v="47"/>
    <x v="1"/>
    <x v="5"/>
    <s v="Fortaleza"/>
    <x v="9"/>
    <n v="5300"/>
    <n v="10"/>
    <n v="53000"/>
    <n v="15900"/>
    <n v="0.3"/>
  </r>
  <r>
    <x v="0"/>
    <x v="1"/>
    <x v="48"/>
    <x v="1"/>
    <x v="5"/>
    <s v="Fortaleza"/>
    <x v="7"/>
    <n v="5340"/>
    <n v="8"/>
    <n v="42720"/>
    <n v="12816"/>
    <n v="0.3"/>
  </r>
  <r>
    <x v="2"/>
    <x v="1"/>
    <x v="49"/>
    <x v="1"/>
    <x v="5"/>
    <s v="Fortaleza"/>
    <x v="9"/>
    <n v="5300"/>
    <n v="6"/>
    <n v="31800"/>
    <n v="9540"/>
    <n v="0.3"/>
  </r>
  <r>
    <x v="3"/>
    <x v="0"/>
    <x v="50"/>
    <x v="1"/>
    <x v="5"/>
    <s v="Fortaleza"/>
    <x v="1"/>
    <n v="500"/>
    <n v="5"/>
    <n v="2500"/>
    <n v="625"/>
    <n v="0.25"/>
  </r>
  <r>
    <x v="0"/>
    <x v="1"/>
    <x v="51"/>
    <x v="1"/>
    <x v="5"/>
    <s v="Fortaleza"/>
    <x v="0"/>
    <n v="8902"/>
    <n v="11"/>
    <n v="97922"/>
    <n v="34272.699999999997"/>
    <n v="0.35"/>
  </r>
  <r>
    <x v="2"/>
    <x v="1"/>
    <x v="52"/>
    <x v="1"/>
    <x v="5"/>
    <s v="Fortaleza"/>
    <x v="7"/>
    <n v="5340"/>
    <n v="5"/>
    <n v="26700"/>
    <n v="8010"/>
    <n v="0.3"/>
  </r>
  <r>
    <x v="2"/>
    <x v="0"/>
    <x v="53"/>
    <x v="1"/>
    <x v="5"/>
    <s v="Fortaleza"/>
    <x v="4"/>
    <n v="300"/>
    <n v="3"/>
    <n v="900"/>
    <n v="135"/>
    <n v="0.15"/>
  </r>
  <r>
    <x v="0"/>
    <x v="0"/>
    <x v="54"/>
    <x v="1"/>
    <x v="5"/>
    <s v="Fortaleza"/>
    <x v="10"/>
    <n v="3200"/>
    <n v="3"/>
    <n v="9600"/>
    <n v="1920"/>
    <n v="0.2"/>
  </r>
  <r>
    <x v="4"/>
    <x v="1"/>
    <x v="55"/>
    <x v="1"/>
    <x v="5"/>
    <s v="Fortaleza"/>
    <x v="9"/>
    <n v="5300"/>
    <n v="1"/>
    <n v="5300"/>
    <n v="1590"/>
    <n v="0.3"/>
  </r>
  <r>
    <x v="3"/>
    <x v="0"/>
    <x v="56"/>
    <x v="1"/>
    <x v="5"/>
    <s v="Fortaleza"/>
    <x v="8"/>
    <n v="3400"/>
    <n v="1"/>
    <n v="3400"/>
    <n v="1190"/>
    <n v="0.35"/>
  </r>
  <r>
    <x v="0"/>
    <x v="1"/>
    <x v="57"/>
    <x v="1"/>
    <x v="5"/>
    <s v="Fortaleza"/>
    <x v="10"/>
    <n v="3200"/>
    <n v="7"/>
    <n v="22400"/>
    <n v="4480"/>
    <n v="0.2"/>
  </r>
  <r>
    <x v="0"/>
    <x v="1"/>
    <x v="58"/>
    <x v="1"/>
    <x v="5"/>
    <s v="Fortaleza"/>
    <x v="1"/>
    <n v="500"/>
    <n v="5"/>
    <n v="2500"/>
    <n v="625"/>
    <n v="0.25"/>
  </r>
  <r>
    <x v="0"/>
    <x v="1"/>
    <x v="59"/>
    <x v="1"/>
    <x v="5"/>
    <s v="Fortaleza"/>
    <x v="11"/>
    <n v="4600"/>
    <n v="12"/>
    <n v="55200"/>
    <n v="13800"/>
    <n v="0.25"/>
  </r>
  <r>
    <x v="2"/>
    <x v="1"/>
    <x v="60"/>
    <x v="1"/>
    <x v="5"/>
    <s v="Fortaleza"/>
    <x v="3"/>
    <n v="5130"/>
    <n v="7"/>
    <n v="35910"/>
    <n v="14364"/>
    <n v="0.4"/>
  </r>
  <r>
    <x v="0"/>
    <x v="1"/>
    <x v="61"/>
    <x v="1"/>
    <x v="5"/>
    <s v="Fortaleza"/>
    <x v="0"/>
    <n v="8902"/>
    <n v="10"/>
    <n v="89020"/>
    <n v="31156.999999999996"/>
    <n v="0.35"/>
  </r>
  <r>
    <x v="3"/>
    <x v="1"/>
    <x v="62"/>
    <x v="1"/>
    <x v="5"/>
    <s v="Fortaleza"/>
    <x v="0"/>
    <n v="8902"/>
    <n v="9"/>
    <n v="80118"/>
    <n v="28041.3"/>
    <n v="0.35"/>
  </r>
  <r>
    <x v="3"/>
    <x v="1"/>
    <x v="63"/>
    <x v="1"/>
    <x v="5"/>
    <s v="Fortaleza"/>
    <x v="0"/>
    <n v="8902"/>
    <n v="9"/>
    <n v="80118"/>
    <n v="28041.3"/>
    <n v="0.35"/>
  </r>
  <r>
    <x v="3"/>
    <x v="1"/>
    <x v="64"/>
    <x v="1"/>
    <x v="5"/>
    <s v="Fortaleza"/>
    <x v="1"/>
    <n v="500"/>
    <n v="6"/>
    <n v="3000"/>
    <n v="750"/>
    <n v="0.25"/>
  </r>
  <r>
    <x v="4"/>
    <x v="1"/>
    <x v="65"/>
    <x v="1"/>
    <x v="5"/>
    <s v="Fortaleza"/>
    <x v="0"/>
    <n v="8902"/>
    <n v="6"/>
    <n v="53412"/>
    <n v="18694.199999999997"/>
    <n v="0.35"/>
  </r>
  <r>
    <x v="0"/>
    <x v="1"/>
    <x v="66"/>
    <x v="1"/>
    <x v="5"/>
    <s v="Fortaleza"/>
    <x v="2"/>
    <n v="1200"/>
    <n v="8"/>
    <n v="9600"/>
    <n v="2880"/>
    <n v="0.3"/>
  </r>
  <r>
    <x v="0"/>
    <x v="1"/>
    <x v="67"/>
    <x v="1"/>
    <x v="5"/>
    <s v="Fortaleza"/>
    <x v="6"/>
    <n v="1500"/>
    <n v="5"/>
    <n v="7500"/>
    <n v="3000"/>
    <n v="0.4"/>
  </r>
  <r>
    <x v="2"/>
    <x v="1"/>
    <x v="68"/>
    <x v="1"/>
    <x v="5"/>
    <s v="Fortaleza"/>
    <x v="7"/>
    <n v="5340"/>
    <n v="9"/>
    <n v="48060"/>
    <n v="14418"/>
    <n v="0.3"/>
  </r>
  <r>
    <x v="2"/>
    <x v="1"/>
    <x v="69"/>
    <x v="1"/>
    <x v="5"/>
    <s v="Fortaleza"/>
    <x v="10"/>
    <n v="3200"/>
    <n v="2"/>
    <n v="6400"/>
    <n v="1280"/>
    <n v="0.2"/>
  </r>
  <r>
    <x v="0"/>
    <x v="0"/>
    <x v="70"/>
    <x v="1"/>
    <x v="5"/>
    <s v="Fortaleza"/>
    <x v="9"/>
    <n v="5300"/>
    <n v="2"/>
    <n v="10600"/>
    <n v="3180"/>
    <n v="0.3"/>
  </r>
  <r>
    <x v="2"/>
    <x v="1"/>
    <x v="71"/>
    <x v="1"/>
    <x v="5"/>
    <s v="Fortaleza"/>
    <x v="6"/>
    <n v="1500"/>
    <n v="11"/>
    <n v="16500"/>
    <n v="6600"/>
    <n v="0.4"/>
  </r>
  <r>
    <x v="1"/>
    <x v="1"/>
    <x v="72"/>
    <x v="1"/>
    <x v="5"/>
    <s v="Fortaleza"/>
    <x v="11"/>
    <n v="4600"/>
    <n v="9"/>
    <n v="41400"/>
    <n v="10350"/>
    <n v="0.25"/>
  </r>
  <r>
    <x v="3"/>
    <x v="1"/>
    <x v="73"/>
    <x v="1"/>
    <x v="5"/>
    <s v="Fortaleza"/>
    <x v="5"/>
    <n v="1700"/>
    <n v="6"/>
    <n v="10200"/>
    <n v="5100"/>
    <n v="0.5"/>
  </r>
  <r>
    <x v="3"/>
    <x v="0"/>
    <x v="74"/>
    <x v="1"/>
    <x v="5"/>
    <s v="Fortaleza"/>
    <x v="1"/>
    <n v="500"/>
    <n v="7"/>
    <n v="3500"/>
    <n v="875"/>
    <n v="0.25"/>
  </r>
  <r>
    <x v="0"/>
    <x v="1"/>
    <x v="75"/>
    <x v="1"/>
    <x v="5"/>
    <s v="Fortaleza"/>
    <x v="4"/>
    <n v="300"/>
    <n v="12"/>
    <n v="3600"/>
    <n v="540"/>
    <n v="0.15"/>
  </r>
  <r>
    <x v="0"/>
    <x v="1"/>
    <x v="76"/>
    <x v="1"/>
    <x v="5"/>
    <s v="Fortaleza"/>
    <x v="10"/>
    <n v="3200"/>
    <n v="15"/>
    <n v="48000"/>
    <n v="9600"/>
    <n v="0.2"/>
  </r>
  <r>
    <x v="3"/>
    <x v="0"/>
    <x v="77"/>
    <x v="1"/>
    <x v="5"/>
    <s v="Fortaleza"/>
    <x v="1"/>
    <n v="500"/>
    <n v="12"/>
    <n v="6000"/>
    <n v="1500"/>
    <n v="0.25"/>
  </r>
  <r>
    <x v="3"/>
    <x v="1"/>
    <x v="78"/>
    <x v="1"/>
    <x v="5"/>
    <s v="Fortaleza"/>
    <x v="2"/>
    <n v="1200"/>
    <n v="7"/>
    <n v="8400"/>
    <n v="2520"/>
    <n v="0.3"/>
  </r>
  <r>
    <x v="4"/>
    <x v="1"/>
    <x v="79"/>
    <x v="1"/>
    <x v="5"/>
    <s v="Fortaleza"/>
    <x v="5"/>
    <n v="1700"/>
    <n v="2"/>
    <n v="3400"/>
    <n v="1700"/>
    <n v="0.5"/>
  </r>
  <r>
    <x v="0"/>
    <x v="1"/>
    <x v="80"/>
    <x v="1"/>
    <x v="5"/>
    <s v="Fortaleza"/>
    <x v="8"/>
    <n v="3400"/>
    <n v="12"/>
    <n v="40800"/>
    <n v="14280"/>
    <n v="0.35"/>
  </r>
  <r>
    <x v="0"/>
    <x v="1"/>
    <x v="81"/>
    <x v="1"/>
    <x v="5"/>
    <s v="Fortaleza"/>
    <x v="10"/>
    <n v="3200"/>
    <n v="3"/>
    <n v="9600"/>
    <n v="1920"/>
    <n v="0.2"/>
  </r>
  <r>
    <x v="4"/>
    <x v="1"/>
    <x v="86"/>
    <x v="1"/>
    <x v="5"/>
    <s v="Fortaleza"/>
    <x v="8"/>
    <n v="3400"/>
    <n v="1"/>
    <n v="3400"/>
    <n v="1190"/>
    <n v="0.35"/>
  </r>
  <r>
    <x v="3"/>
    <x v="1"/>
    <x v="82"/>
    <x v="1"/>
    <x v="5"/>
    <s v="Fortaleza"/>
    <x v="5"/>
    <n v="1700"/>
    <n v="4"/>
    <n v="6800"/>
    <n v="3400"/>
    <n v="0.5"/>
  </r>
  <r>
    <x v="0"/>
    <x v="1"/>
    <x v="87"/>
    <x v="1"/>
    <x v="5"/>
    <s v="Fortaleza"/>
    <x v="11"/>
    <n v="4600"/>
    <n v="6"/>
    <n v="27600"/>
    <n v="6900"/>
    <n v="0.25"/>
  </r>
  <r>
    <x v="3"/>
    <x v="1"/>
    <x v="83"/>
    <x v="1"/>
    <x v="5"/>
    <s v="Fortaleza"/>
    <x v="5"/>
    <n v="1700"/>
    <n v="7"/>
    <n v="11900"/>
    <n v="5950"/>
    <n v="0.5"/>
  </r>
  <r>
    <x v="3"/>
    <x v="1"/>
    <x v="88"/>
    <x v="1"/>
    <x v="5"/>
    <s v="Fortaleza"/>
    <x v="12"/>
    <n v="4500"/>
    <n v="5"/>
    <n v="22500"/>
    <n v="5625"/>
    <n v="0.25"/>
  </r>
  <r>
    <x v="3"/>
    <x v="0"/>
    <x v="84"/>
    <x v="1"/>
    <x v="5"/>
    <s v="Fortaleza"/>
    <x v="2"/>
    <n v="1200"/>
    <n v="5"/>
    <n v="6000"/>
    <n v="1800"/>
    <n v="0.3"/>
  </r>
  <r>
    <x v="0"/>
    <x v="0"/>
    <x v="89"/>
    <x v="1"/>
    <x v="5"/>
    <s v="Fortaleza"/>
    <x v="0"/>
    <n v="8902"/>
    <n v="19"/>
    <n v="169138"/>
    <n v="59198.299999999996"/>
    <n v="0.35"/>
  </r>
  <r>
    <x v="3"/>
    <x v="0"/>
    <x v="85"/>
    <x v="1"/>
    <x v="5"/>
    <s v="Fortaleza"/>
    <x v="4"/>
    <n v="300"/>
    <n v="1"/>
    <n v="300"/>
    <n v="45"/>
    <n v="0.15"/>
  </r>
  <r>
    <x v="1"/>
    <x v="1"/>
    <x v="28"/>
    <x v="1"/>
    <x v="7"/>
    <s v="Aracajú"/>
    <x v="9"/>
    <n v="5300"/>
    <n v="9"/>
    <n v="47700"/>
    <n v="14310"/>
    <n v="0.3"/>
  </r>
  <r>
    <x v="3"/>
    <x v="1"/>
    <x v="29"/>
    <x v="1"/>
    <x v="7"/>
    <s v="Aracajú"/>
    <x v="2"/>
    <n v="1200"/>
    <n v="3"/>
    <n v="3600"/>
    <n v="1080"/>
    <n v="0.3"/>
  </r>
  <r>
    <x v="0"/>
    <x v="1"/>
    <x v="30"/>
    <x v="1"/>
    <x v="7"/>
    <s v="Aracajú"/>
    <x v="4"/>
    <n v="300"/>
    <n v="6"/>
    <n v="1800"/>
    <n v="270"/>
    <n v="0.15"/>
  </r>
  <r>
    <x v="0"/>
    <x v="0"/>
    <x v="31"/>
    <x v="1"/>
    <x v="7"/>
    <s v="Aracajú"/>
    <x v="12"/>
    <n v="4500"/>
    <n v="6"/>
    <n v="27000"/>
    <n v="6750"/>
    <n v="0.25"/>
  </r>
  <r>
    <x v="0"/>
    <x v="0"/>
    <x v="32"/>
    <x v="1"/>
    <x v="7"/>
    <s v="Aracajú"/>
    <x v="6"/>
    <n v="1500"/>
    <n v="5"/>
    <n v="7500"/>
    <n v="3000"/>
    <n v="0.4"/>
  </r>
  <r>
    <x v="0"/>
    <x v="0"/>
    <x v="33"/>
    <x v="1"/>
    <x v="7"/>
    <s v="Aracajú"/>
    <x v="12"/>
    <n v="4500"/>
    <n v="7"/>
    <n v="31500"/>
    <n v="7875"/>
    <n v="0.25"/>
  </r>
  <r>
    <x v="0"/>
    <x v="1"/>
    <x v="34"/>
    <x v="1"/>
    <x v="7"/>
    <s v="Aracajú"/>
    <x v="10"/>
    <n v="3200"/>
    <n v="7"/>
    <n v="22400"/>
    <n v="4480"/>
    <n v="0.2"/>
  </r>
  <r>
    <x v="0"/>
    <x v="1"/>
    <x v="35"/>
    <x v="1"/>
    <x v="7"/>
    <s v="Aracajú"/>
    <x v="6"/>
    <n v="1500"/>
    <n v="9"/>
    <n v="13500"/>
    <n v="5400"/>
    <n v="0.4"/>
  </r>
  <r>
    <x v="3"/>
    <x v="1"/>
    <x v="36"/>
    <x v="1"/>
    <x v="7"/>
    <s v="Aracajú"/>
    <x v="1"/>
    <n v="500"/>
    <n v="2"/>
    <n v="1000"/>
    <n v="250"/>
    <n v="0.25"/>
  </r>
  <r>
    <x v="0"/>
    <x v="0"/>
    <x v="37"/>
    <x v="1"/>
    <x v="7"/>
    <s v="Aracajú"/>
    <x v="1"/>
    <n v="500"/>
    <n v="9"/>
    <n v="4500"/>
    <n v="1125"/>
    <n v="0.25"/>
  </r>
  <r>
    <x v="0"/>
    <x v="1"/>
    <x v="38"/>
    <x v="1"/>
    <x v="7"/>
    <s v="Aracajú"/>
    <x v="9"/>
    <n v="5300"/>
    <n v="4"/>
    <n v="21200"/>
    <n v="6360"/>
    <n v="0.3"/>
  </r>
  <r>
    <x v="3"/>
    <x v="1"/>
    <x v="39"/>
    <x v="1"/>
    <x v="7"/>
    <s v="Aracajú"/>
    <x v="11"/>
    <n v="4600"/>
    <n v="5"/>
    <n v="23000"/>
    <n v="5750"/>
    <n v="0.25"/>
  </r>
  <r>
    <x v="3"/>
    <x v="1"/>
    <x v="40"/>
    <x v="1"/>
    <x v="7"/>
    <s v="Aracajú"/>
    <x v="11"/>
    <n v="4600"/>
    <n v="11"/>
    <n v="50600"/>
    <n v="12650"/>
    <n v="0.25"/>
  </r>
  <r>
    <x v="0"/>
    <x v="1"/>
    <x v="41"/>
    <x v="1"/>
    <x v="7"/>
    <s v="Aracajú"/>
    <x v="2"/>
    <n v="1200"/>
    <n v="6"/>
    <n v="7200"/>
    <n v="2160"/>
    <n v="0.3"/>
  </r>
  <r>
    <x v="0"/>
    <x v="0"/>
    <x v="42"/>
    <x v="1"/>
    <x v="7"/>
    <s v="Aracajú"/>
    <x v="10"/>
    <n v="3200"/>
    <n v="1"/>
    <n v="3200"/>
    <n v="640"/>
    <n v="0.2"/>
  </r>
  <r>
    <x v="0"/>
    <x v="0"/>
    <x v="43"/>
    <x v="1"/>
    <x v="7"/>
    <s v="Aracajú"/>
    <x v="9"/>
    <n v="5300"/>
    <n v="12"/>
    <n v="63600"/>
    <n v="19080"/>
    <n v="0.3"/>
  </r>
  <r>
    <x v="3"/>
    <x v="1"/>
    <x v="44"/>
    <x v="1"/>
    <x v="7"/>
    <s v="Aracajú"/>
    <x v="1"/>
    <n v="500"/>
    <n v="5"/>
    <n v="2500"/>
    <n v="625"/>
    <n v="0.25"/>
  </r>
  <r>
    <x v="4"/>
    <x v="1"/>
    <x v="45"/>
    <x v="1"/>
    <x v="7"/>
    <s v="Aracajú"/>
    <x v="3"/>
    <n v="5130"/>
    <n v="7"/>
    <n v="35910"/>
    <n v="14364"/>
    <n v="0.4"/>
  </r>
  <r>
    <x v="0"/>
    <x v="0"/>
    <x v="46"/>
    <x v="1"/>
    <x v="7"/>
    <s v="Aracajú"/>
    <x v="6"/>
    <n v="1500"/>
    <n v="5"/>
    <n v="7500"/>
    <n v="3000"/>
    <n v="0.4"/>
  </r>
  <r>
    <x v="3"/>
    <x v="1"/>
    <x v="47"/>
    <x v="1"/>
    <x v="7"/>
    <s v="Aracajú"/>
    <x v="9"/>
    <n v="5300"/>
    <n v="10"/>
    <n v="53000"/>
    <n v="15900"/>
    <n v="0.3"/>
  </r>
  <r>
    <x v="0"/>
    <x v="1"/>
    <x v="48"/>
    <x v="1"/>
    <x v="7"/>
    <s v="Aracajú"/>
    <x v="7"/>
    <n v="5340"/>
    <n v="8"/>
    <n v="42720"/>
    <n v="12816"/>
    <n v="0.3"/>
  </r>
  <r>
    <x v="2"/>
    <x v="1"/>
    <x v="49"/>
    <x v="1"/>
    <x v="4"/>
    <s v="Salvador"/>
    <x v="9"/>
    <n v="5300"/>
    <n v="6"/>
    <n v="31800"/>
    <n v="9540"/>
    <n v="0.3"/>
  </r>
  <r>
    <x v="3"/>
    <x v="0"/>
    <x v="50"/>
    <x v="1"/>
    <x v="8"/>
    <s v="Teresina"/>
    <x v="1"/>
    <n v="500"/>
    <n v="5"/>
    <n v="2500"/>
    <n v="625"/>
    <n v="0.25"/>
  </r>
  <r>
    <x v="0"/>
    <x v="1"/>
    <x v="51"/>
    <x v="1"/>
    <x v="8"/>
    <s v="Teresina"/>
    <x v="0"/>
    <n v="8902"/>
    <n v="11"/>
    <n v="97922"/>
    <n v="34272.699999999997"/>
    <n v="0.35"/>
  </r>
  <r>
    <x v="2"/>
    <x v="1"/>
    <x v="52"/>
    <x v="1"/>
    <x v="8"/>
    <s v="Teresina"/>
    <x v="7"/>
    <n v="5340"/>
    <n v="5"/>
    <n v="26700"/>
    <n v="8010"/>
    <n v="0.3"/>
  </r>
  <r>
    <x v="2"/>
    <x v="0"/>
    <x v="53"/>
    <x v="1"/>
    <x v="8"/>
    <s v="Teresina"/>
    <x v="4"/>
    <n v="300"/>
    <n v="3"/>
    <n v="900"/>
    <n v="135"/>
    <n v="0.15"/>
  </r>
  <r>
    <x v="0"/>
    <x v="0"/>
    <x v="54"/>
    <x v="1"/>
    <x v="8"/>
    <s v="Teresina"/>
    <x v="10"/>
    <n v="3200"/>
    <n v="3"/>
    <n v="9600"/>
    <n v="1920"/>
    <n v="0.2"/>
  </r>
  <r>
    <x v="4"/>
    <x v="1"/>
    <x v="55"/>
    <x v="1"/>
    <x v="8"/>
    <s v="Teresina"/>
    <x v="9"/>
    <n v="5300"/>
    <n v="1"/>
    <n v="5300"/>
    <n v="1590"/>
    <n v="0.3"/>
  </r>
  <r>
    <x v="3"/>
    <x v="0"/>
    <x v="56"/>
    <x v="1"/>
    <x v="8"/>
    <s v="Teresina"/>
    <x v="8"/>
    <n v="3400"/>
    <n v="1"/>
    <n v="3400"/>
    <n v="1190"/>
    <n v="0.35"/>
  </r>
  <r>
    <x v="0"/>
    <x v="1"/>
    <x v="57"/>
    <x v="1"/>
    <x v="8"/>
    <s v="Teresina"/>
    <x v="10"/>
    <n v="3200"/>
    <n v="7"/>
    <n v="22400"/>
    <n v="4480"/>
    <n v="0.2"/>
  </r>
  <r>
    <x v="0"/>
    <x v="1"/>
    <x v="58"/>
    <x v="1"/>
    <x v="8"/>
    <s v="Teresina"/>
    <x v="1"/>
    <n v="500"/>
    <n v="5"/>
    <n v="2500"/>
    <n v="625"/>
    <n v="0.25"/>
  </r>
  <r>
    <x v="0"/>
    <x v="1"/>
    <x v="59"/>
    <x v="1"/>
    <x v="8"/>
    <s v="Teresina"/>
    <x v="11"/>
    <n v="4600"/>
    <n v="12"/>
    <n v="55200"/>
    <n v="13800"/>
    <n v="0.25"/>
  </r>
  <r>
    <x v="2"/>
    <x v="1"/>
    <x v="60"/>
    <x v="1"/>
    <x v="8"/>
    <s v="Teresina"/>
    <x v="3"/>
    <n v="5130"/>
    <n v="7"/>
    <n v="35910"/>
    <n v="14364"/>
    <n v="0.4"/>
  </r>
  <r>
    <x v="0"/>
    <x v="1"/>
    <x v="61"/>
    <x v="1"/>
    <x v="8"/>
    <s v="Teresina"/>
    <x v="0"/>
    <n v="8902"/>
    <n v="10"/>
    <n v="89020"/>
    <n v="31156.999999999996"/>
    <n v="0.35"/>
  </r>
  <r>
    <x v="3"/>
    <x v="1"/>
    <x v="62"/>
    <x v="1"/>
    <x v="8"/>
    <s v="Teresina"/>
    <x v="0"/>
    <n v="8902"/>
    <n v="9"/>
    <n v="80118"/>
    <n v="28041.3"/>
    <n v="0.35"/>
  </r>
  <r>
    <x v="3"/>
    <x v="1"/>
    <x v="63"/>
    <x v="1"/>
    <x v="8"/>
    <s v="Teresina"/>
    <x v="0"/>
    <n v="8902"/>
    <n v="9"/>
    <n v="80118"/>
    <n v="28041.3"/>
    <n v="0.35"/>
  </r>
  <r>
    <x v="3"/>
    <x v="1"/>
    <x v="64"/>
    <x v="1"/>
    <x v="8"/>
    <s v="Teresina"/>
    <x v="1"/>
    <n v="500"/>
    <n v="6"/>
    <n v="3000"/>
    <n v="750"/>
    <n v="0.25"/>
  </r>
  <r>
    <x v="4"/>
    <x v="1"/>
    <x v="65"/>
    <x v="1"/>
    <x v="8"/>
    <s v="Teresina"/>
    <x v="0"/>
    <n v="8902"/>
    <n v="6"/>
    <n v="53412"/>
    <n v="18694.199999999997"/>
    <n v="0.35"/>
  </r>
  <r>
    <x v="0"/>
    <x v="1"/>
    <x v="66"/>
    <x v="1"/>
    <x v="8"/>
    <s v="Teresina"/>
    <x v="2"/>
    <n v="1200"/>
    <n v="8"/>
    <n v="9600"/>
    <n v="2880"/>
    <n v="0.3"/>
  </r>
  <r>
    <x v="0"/>
    <x v="1"/>
    <x v="67"/>
    <x v="1"/>
    <x v="8"/>
    <s v="Teresina"/>
    <x v="6"/>
    <n v="1500"/>
    <n v="5"/>
    <n v="7500"/>
    <n v="3000"/>
    <n v="0.4"/>
  </r>
  <r>
    <x v="2"/>
    <x v="1"/>
    <x v="68"/>
    <x v="1"/>
    <x v="8"/>
    <s v="Teresina"/>
    <x v="7"/>
    <n v="5340"/>
    <n v="9"/>
    <n v="48060"/>
    <n v="14418"/>
    <n v="0.3"/>
  </r>
  <r>
    <x v="2"/>
    <x v="1"/>
    <x v="69"/>
    <x v="1"/>
    <x v="8"/>
    <s v="Teresina"/>
    <x v="10"/>
    <n v="3200"/>
    <n v="2"/>
    <n v="6400"/>
    <n v="1280"/>
    <n v="0.2"/>
  </r>
  <r>
    <x v="0"/>
    <x v="0"/>
    <x v="70"/>
    <x v="1"/>
    <x v="8"/>
    <s v="Teresina"/>
    <x v="9"/>
    <n v="5300"/>
    <n v="2"/>
    <n v="10600"/>
    <n v="3180"/>
    <n v="0.3"/>
  </r>
  <r>
    <x v="2"/>
    <x v="1"/>
    <x v="71"/>
    <x v="1"/>
    <x v="8"/>
    <s v="Teresina"/>
    <x v="6"/>
    <n v="1500"/>
    <n v="11"/>
    <n v="16500"/>
    <n v="6600"/>
    <n v="0.4"/>
  </r>
  <r>
    <x v="1"/>
    <x v="1"/>
    <x v="72"/>
    <x v="1"/>
    <x v="8"/>
    <s v="Teresina"/>
    <x v="11"/>
    <n v="4600"/>
    <n v="9"/>
    <n v="41400"/>
    <n v="10350"/>
    <n v="0.25"/>
  </r>
  <r>
    <x v="3"/>
    <x v="1"/>
    <x v="73"/>
    <x v="1"/>
    <x v="8"/>
    <s v="Teresina"/>
    <x v="5"/>
    <n v="1700"/>
    <n v="6"/>
    <n v="10200"/>
    <n v="5100"/>
    <n v="0.5"/>
  </r>
  <r>
    <x v="3"/>
    <x v="0"/>
    <x v="74"/>
    <x v="1"/>
    <x v="9"/>
    <s v="São Luis"/>
    <x v="1"/>
    <n v="500"/>
    <n v="7"/>
    <n v="3500"/>
    <n v="875"/>
    <n v="0.25"/>
  </r>
  <r>
    <x v="0"/>
    <x v="1"/>
    <x v="75"/>
    <x v="1"/>
    <x v="9"/>
    <s v="São Luis"/>
    <x v="4"/>
    <n v="300"/>
    <n v="12"/>
    <n v="3600"/>
    <n v="540"/>
    <n v="0.15"/>
  </r>
  <r>
    <x v="0"/>
    <x v="1"/>
    <x v="76"/>
    <x v="1"/>
    <x v="9"/>
    <s v="São Luis"/>
    <x v="10"/>
    <n v="3200"/>
    <n v="15"/>
    <n v="48000"/>
    <n v="9600"/>
    <n v="0.2"/>
  </r>
  <r>
    <x v="3"/>
    <x v="0"/>
    <x v="77"/>
    <x v="1"/>
    <x v="9"/>
    <s v="São Luis"/>
    <x v="1"/>
    <n v="500"/>
    <n v="12"/>
    <n v="6000"/>
    <n v="1500"/>
    <n v="0.25"/>
  </r>
  <r>
    <x v="3"/>
    <x v="1"/>
    <x v="78"/>
    <x v="1"/>
    <x v="9"/>
    <s v="São Luis"/>
    <x v="2"/>
    <n v="1200"/>
    <n v="7"/>
    <n v="8400"/>
    <n v="2520"/>
    <n v="0.3"/>
  </r>
  <r>
    <x v="4"/>
    <x v="1"/>
    <x v="79"/>
    <x v="1"/>
    <x v="9"/>
    <s v="São Luis"/>
    <x v="5"/>
    <n v="1700"/>
    <n v="2"/>
    <n v="3400"/>
    <n v="1700"/>
    <n v="0.5"/>
  </r>
  <r>
    <x v="0"/>
    <x v="1"/>
    <x v="80"/>
    <x v="1"/>
    <x v="9"/>
    <s v="São Luis"/>
    <x v="8"/>
    <n v="3400"/>
    <n v="12"/>
    <n v="40800"/>
    <n v="14280"/>
    <n v="0.35"/>
  </r>
  <r>
    <x v="0"/>
    <x v="1"/>
    <x v="81"/>
    <x v="1"/>
    <x v="9"/>
    <s v="São Luis"/>
    <x v="10"/>
    <n v="3200"/>
    <n v="3"/>
    <n v="9600"/>
    <n v="1920"/>
    <n v="0.2"/>
  </r>
  <r>
    <x v="4"/>
    <x v="1"/>
    <x v="86"/>
    <x v="1"/>
    <x v="9"/>
    <s v="São Luis"/>
    <x v="8"/>
    <n v="3400"/>
    <n v="1"/>
    <n v="3400"/>
    <n v="1190"/>
    <n v="0.35"/>
  </r>
  <r>
    <x v="3"/>
    <x v="1"/>
    <x v="82"/>
    <x v="1"/>
    <x v="9"/>
    <s v="São Luis"/>
    <x v="5"/>
    <n v="1700"/>
    <n v="4"/>
    <n v="6800"/>
    <n v="3400"/>
    <n v="0.5"/>
  </r>
  <r>
    <x v="0"/>
    <x v="1"/>
    <x v="87"/>
    <x v="1"/>
    <x v="9"/>
    <s v="São Luis"/>
    <x v="11"/>
    <n v="4600"/>
    <n v="6"/>
    <n v="27600"/>
    <n v="6900"/>
    <n v="0.25"/>
  </r>
  <r>
    <x v="3"/>
    <x v="1"/>
    <x v="83"/>
    <x v="1"/>
    <x v="9"/>
    <s v="São Luis"/>
    <x v="5"/>
    <n v="1700"/>
    <n v="7"/>
    <n v="11900"/>
    <n v="5950"/>
    <n v="0.5"/>
  </r>
  <r>
    <x v="3"/>
    <x v="1"/>
    <x v="88"/>
    <x v="1"/>
    <x v="9"/>
    <s v="São Luis"/>
    <x v="12"/>
    <n v="4500"/>
    <n v="5"/>
    <n v="22500"/>
    <n v="5625"/>
    <n v="0.25"/>
  </r>
  <r>
    <x v="3"/>
    <x v="0"/>
    <x v="84"/>
    <x v="1"/>
    <x v="9"/>
    <s v="São Luis"/>
    <x v="2"/>
    <n v="1200"/>
    <n v="5"/>
    <n v="6000"/>
    <n v="1800"/>
    <n v="0.3"/>
  </r>
  <r>
    <x v="0"/>
    <x v="0"/>
    <x v="89"/>
    <x v="1"/>
    <x v="9"/>
    <s v="São Luis"/>
    <x v="0"/>
    <n v="8902"/>
    <n v="19"/>
    <n v="169138"/>
    <n v="59198.299999999996"/>
    <n v="0.35"/>
  </r>
  <r>
    <x v="3"/>
    <x v="0"/>
    <x v="85"/>
    <x v="1"/>
    <x v="9"/>
    <s v="São Luis"/>
    <x v="4"/>
    <n v="300"/>
    <n v="1"/>
    <n v="300"/>
    <n v="45"/>
    <n v="0.15"/>
  </r>
  <r>
    <x v="3"/>
    <x v="1"/>
    <x v="85"/>
    <x v="1"/>
    <x v="9"/>
    <s v="São Luis"/>
    <x v="4"/>
    <n v="300"/>
    <n v="7"/>
    <n v="2100"/>
    <n v="315"/>
    <n v="0.15"/>
  </r>
  <r>
    <x v="3"/>
    <x v="1"/>
    <x v="85"/>
    <x v="1"/>
    <x v="9"/>
    <s v="São Luis"/>
    <x v="2"/>
    <n v="1200"/>
    <n v="18"/>
    <n v="21600"/>
    <n v="6480"/>
    <n v="0.3"/>
  </r>
  <r>
    <x v="0"/>
    <x v="0"/>
    <x v="85"/>
    <x v="1"/>
    <x v="10"/>
    <s v="João Pessoa"/>
    <x v="10"/>
    <n v="3200"/>
    <n v="7"/>
    <n v="22400"/>
    <n v="4480"/>
    <n v="0.2"/>
  </r>
  <r>
    <x v="0"/>
    <x v="1"/>
    <x v="85"/>
    <x v="1"/>
    <x v="10"/>
    <s v="João Pessoa"/>
    <x v="8"/>
    <n v="3400"/>
    <n v="7"/>
    <n v="23800"/>
    <n v="8330"/>
    <n v="0.35"/>
  </r>
  <r>
    <x v="2"/>
    <x v="1"/>
    <x v="85"/>
    <x v="1"/>
    <x v="10"/>
    <s v="João Pessoa"/>
    <x v="3"/>
    <n v="5130"/>
    <n v="15"/>
    <n v="76950"/>
    <n v="30780"/>
    <n v="0.4"/>
  </r>
  <r>
    <x v="2"/>
    <x v="1"/>
    <x v="0"/>
    <x v="1"/>
    <x v="10"/>
    <s v="João Pessoa"/>
    <x v="0"/>
    <n v="8902"/>
    <n v="5"/>
    <n v="44510"/>
    <n v="15578.499999999998"/>
    <n v="0.35"/>
  </r>
  <r>
    <x v="1"/>
    <x v="1"/>
    <x v="1"/>
    <x v="1"/>
    <x v="10"/>
    <s v="João Pessoa"/>
    <x v="3"/>
    <n v="5130"/>
    <n v="4"/>
    <n v="20520"/>
    <n v="8208"/>
    <n v="0.4"/>
  </r>
  <r>
    <x v="3"/>
    <x v="0"/>
    <x v="2"/>
    <x v="1"/>
    <x v="10"/>
    <s v="João Pessoa"/>
    <x v="5"/>
    <n v="1700"/>
    <n v="5"/>
    <n v="8500"/>
    <n v="4250"/>
    <n v="0.5"/>
  </r>
  <r>
    <x v="3"/>
    <x v="1"/>
    <x v="3"/>
    <x v="1"/>
    <x v="10"/>
    <s v="João Pessoa"/>
    <x v="6"/>
    <n v="1500"/>
    <n v="3"/>
    <n v="4500"/>
    <n v="1800"/>
    <n v="0.4"/>
  </r>
  <r>
    <x v="1"/>
    <x v="1"/>
    <x v="4"/>
    <x v="1"/>
    <x v="10"/>
    <s v="João Pessoa"/>
    <x v="8"/>
    <n v="3400"/>
    <n v="4"/>
    <n v="13600"/>
    <n v="4760"/>
    <n v="0.35"/>
  </r>
  <r>
    <x v="0"/>
    <x v="0"/>
    <x v="5"/>
    <x v="1"/>
    <x v="10"/>
    <s v="João Pessoa"/>
    <x v="6"/>
    <n v="1500"/>
    <n v="11"/>
    <n v="16500"/>
    <n v="6600"/>
    <n v="0.4"/>
  </r>
  <r>
    <x v="3"/>
    <x v="0"/>
    <x v="6"/>
    <x v="1"/>
    <x v="10"/>
    <s v="João Pessoa"/>
    <x v="10"/>
    <n v="3200"/>
    <n v="7"/>
    <n v="22400"/>
    <n v="4480"/>
    <n v="0.2"/>
  </r>
  <r>
    <x v="0"/>
    <x v="1"/>
    <x v="7"/>
    <x v="1"/>
    <x v="10"/>
    <s v="João Pessoa"/>
    <x v="9"/>
    <n v="5300"/>
    <n v="12"/>
    <n v="63600"/>
    <n v="19080"/>
    <n v="0.3"/>
  </r>
  <r>
    <x v="2"/>
    <x v="0"/>
    <x v="8"/>
    <x v="1"/>
    <x v="10"/>
    <s v="João Pessoa"/>
    <x v="10"/>
    <n v="3200"/>
    <n v="10"/>
    <n v="32000"/>
    <n v="6400"/>
    <n v="0.2"/>
  </r>
  <r>
    <x v="3"/>
    <x v="0"/>
    <x v="9"/>
    <x v="1"/>
    <x v="10"/>
    <s v="João Pessoa"/>
    <x v="11"/>
    <n v="4600"/>
    <n v="11"/>
    <n v="50600"/>
    <n v="12650"/>
    <n v="0.25"/>
  </r>
  <r>
    <x v="0"/>
    <x v="1"/>
    <x v="10"/>
    <x v="1"/>
    <x v="10"/>
    <s v="João Pessoa"/>
    <x v="12"/>
    <n v="4500"/>
    <n v="6"/>
    <n v="27000"/>
    <n v="6750"/>
    <n v="0.25"/>
  </r>
  <r>
    <x v="3"/>
    <x v="0"/>
    <x v="11"/>
    <x v="1"/>
    <x v="10"/>
    <s v="João Pessoa"/>
    <x v="12"/>
    <n v="4500"/>
    <n v="10"/>
    <n v="45000"/>
    <n v="11250"/>
    <n v="0.25"/>
  </r>
  <r>
    <x v="1"/>
    <x v="1"/>
    <x v="12"/>
    <x v="1"/>
    <x v="10"/>
    <s v="João Pessoa"/>
    <x v="1"/>
    <n v="500"/>
    <n v="3"/>
    <n v="1500"/>
    <n v="375"/>
    <n v="0.25"/>
  </r>
  <r>
    <x v="3"/>
    <x v="1"/>
    <x v="13"/>
    <x v="1"/>
    <x v="10"/>
    <s v="João Pessoa"/>
    <x v="10"/>
    <n v="3200"/>
    <n v="7"/>
    <n v="22400"/>
    <n v="4480"/>
    <n v="0.2"/>
  </r>
  <r>
    <x v="1"/>
    <x v="1"/>
    <x v="14"/>
    <x v="1"/>
    <x v="10"/>
    <s v="João Pessoa"/>
    <x v="12"/>
    <n v="4500"/>
    <n v="8"/>
    <n v="36000"/>
    <n v="9000"/>
    <n v="0.25"/>
  </r>
  <r>
    <x v="0"/>
    <x v="1"/>
    <x v="15"/>
    <x v="1"/>
    <x v="9"/>
    <s v="São Luis"/>
    <x v="7"/>
    <n v="5340"/>
    <n v="9"/>
    <n v="48060"/>
    <n v="14418"/>
    <n v="0.3"/>
  </r>
  <r>
    <x v="3"/>
    <x v="1"/>
    <x v="16"/>
    <x v="1"/>
    <x v="9"/>
    <s v="São Luis"/>
    <x v="7"/>
    <n v="5340"/>
    <n v="11"/>
    <n v="58740"/>
    <n v="17622"/>
    <n v="0.3"/>
  </r>
  <r>
    <x v="2"/>
    <x v="0"/>
    <x v="17"/>
    <x v="1"/>
    <x v="9"/>
    <s v="São Luis"/>
    <x v="6"/>
    <n v="1500"/>
    <n v="7"/>
    <n v="10500"/>
    <n v="4200"/>
    <n v="0.4"/>
  </r>
  <r>
    <x v="1"/>
    <x v="1"/>
    <x v="18"/>
    <x v="1"/>
    <x v="9"/>
    <s v="São Luis"/>
    <x v="1"/>
    <n v="500"/>
    <n v="5"/>
    <n v="2500"/>
    <n v="625"/>
    <n v="0.25"/>
  </r>
  <r>
    <x v="4"/>
    <x v="1"/>
    <x v="19"/>
    <x v="1"/>
    <x v="9"/>
    <s v="São Luis"/>
    <x v="7"/>
    <n v="5340"/>
    <n v="5"/>
    <n v="26700"/>
    <n v="8010"/>
    <n v="0.3"/>
  </r>
  <r>
    <x v="3"/>
    <x v="1"/>
    <x v="20"/>
    <x v="1"/>
    <x v="9"/>
    <s v="São Luis"/>
    <x v="9"/>
    <n v="5300"/>
    <n v="8"/>
    <n v="42400"/>
    <n v="12720"/>
    <n v="0.3"/>
  </r>
  <r>
    <x v="2"/>
    <x v="0"/>
    <x v="21"/>
    <x v="1"/>
    <x v="9"/>
    <s v="São Luis"/>
    <x v="2"/>
    <n v="1200"/>
    <n v="7"/>
    <n v="8400"/>
    <n v="2520"/>
    <n v="0.3"/>
  </r>
  <r>
    <x v="0"/>
    <x v="1"/>
    <x v="22"/>
    <x v="1"/>
    <x v="9"/>
    <s v="São Luis"/>
    <x v="0"/>
    <n v="8902"/>
    <n v="6"/>
    <n v="53412"/>
    <n v="18694.199999999997"/>
    <n v="0.35"/>
  </r>
  <r>
    <x v="3"/>
    <x v="1"/>
    <x v="23"/>
    <x v="1"/>
    <x v="9"/>
    <s v="São Luis"/>
    <x v="9"/>
    <n v="5300"/>
    <n v="9"/>
    <n v="47700"/>
    <n v="14310"/>
    <n v="0.3"/>
  </r>
  <r>
    <x v="1"/>
    <x v="0"/>
    <x v="24"/>
    <x v="1"/>
    <x v="9"/>
    <s v="São Luis"/>
    <x v="8"/>
    <n v="3400"/>
    <n v="8"/>
    <n v="27200"/>
    <n v="9520"/>
    <n v="0.35"/>
  </r>
  <r>
    <x v="0"/>
    <x v="0"/>
    <x v="25"/>
    <x v="1"/>
    <x v="9"/>
    <s v="São Luis"/>
    <x v="7"/>
    <n v="5340"/>
    <n v="3"/>
    <n v="16020"/>
    <n v="4806"/>
    <n v="0.3"/>
  </r>
  <r>
    <x v="0"/>
    <x v="1"/>
    <x v="26"/>
    <x v="1"/>
    <x v="9"/>
    <s v="São Luis"/>
    <x v="5"/>
    <n v="1700"/>
    <n v="3"/>
    <n v="5100"/>
    <n v="2550"/>
    <n v="0.5"/>
  </r>
  <r>
    <x v="1"/>
    <x v="0"/>
    <x v="27"/>
    <x v="1"/>
    <x v="9"/>
    <s v="São Luis"/>
    <x v="4"/>
    <n v="300"/>
    <n v="1"/>
    <n v="300"/>
    <n v="45"/>
    <n v="0.15"/>
  </r>
  <r>
    <x v="4"/>
    <x v="1"/>
    <x v="28"/>
    <x v="1"/>
    <x v="9"/>
    <s v="São Luis"/>
    <x v="1"/>
    <n v="500"/>
    <n v="8"/>
    <n v="4000"/>
    <n v="1000"/>
    <n v="0.25"/>
  </r>
  <r>
    <x v="0"/>
    <x v="1"/>
    <x v="28"/>
    <x v="1"/>
    <x v="9"/>
    <s v="São Luis"/>
    <x v="11"/>
    <n v="4600"/>
    <n v="2"/>
    <n v="9200"/>
    <n v="2300"/>
    <n v="0.25"/>
  </r>
  <r>
    <x v="1"/>
    <x v="1"/>
    <x v="29"/>
    <x v="1"/>
    <x v="9"/>
    <s v="São Luis"/>
    <x v="2"/>
    <n v="1200"/>
    <n v="9"/>
    <n v="10800"/>
    <n v="3240"/>
    <n v="0.3"/>
  </r>
  <r>
    <x v="3"/>
    <x v="0"/>
    <x v="30"/>
    <x v="1"/>
    <x v="9"/>
    <s v="São Luis"/>
    <x v="7"/>
    <n v="5340"/>
    <n v="12"/>
    <n v="64080"/>
    <n v="19224"/>
    <n v="0.3"/>
  </r>
  <r>
    <x v="3"/>
    <x v="0"/>
    <x v="31"/>
    <x v="1"/>
    <x v="9"/>
    <s v="São Luis"/>
    <x v="7"/>
    <n v="5340"/>
    <n v="12"/>
    <n v="64080"/>
    <n v="19224"/>
    <n v="0.3"/>
  </r>
  <r>
    <x v="0"/>
    <x v="1"/>
    <x v="32"/>
    <x v="1"/>
    <x v="9"/>
    <s v="São Luis"/>
    <x v="3"/>
    <n v="5130"/>
    <n v="12"/>
    <n v="61560"/>
    <n v="24624"/>
    <n v="0.4"/>
  </r>
  <r>
    <x v="4"/>
    <x v="0"/>
    <x v="33"/>
    <x v="1"/>
    <x v="9"/>
    <s v="São Luis"/>
    <x v="11"/>
    <n v="4600"/>
    <n v="2"/>
    <n v="9200"/>
    <n v="2300"/>
    <n v="0.25"/>
  </r>
  <r>
    <x v="0"/>
    <x v="1"/>
    <x v="34"/>
    <x v="1"/>
    <x v="9"/>
    <s v="São Luis"/>
    <x v="11"/>
    <n v="4600"/>
    <n v="11"/>
    <n v="50600"/>
    <n v="12650"/>
    <n v="0.25"/>
  </r>
  <r>
    <x v="0"/>
    <x v="0"/>
    <x v="35"/>
    <x v="1"/>
    <x v="9"/>
    <s v="São Luis"/>
    <x v="6"/>
    <n v="1500"/>
    <n v="3"/>
    <n v="4500"/>
    <n v="1800"/>
    <n v="0.4"/>
  </r>
  <r>
    <x v="1"/>
    <x v="1"/>
    <x v="36"/>
    <x v="1"/>
    <x v="9"/>
    <s v="São Luis"/>
    <x v="2"/>
    <n v="1200"/>
    <n v="5"/>
    <n v="6000"/>
    <n v="1800"/>
    <n v="0.3"/>
  </r>
  <r>
    <x v="3"/>
    <x v="1"/>
    <x v="37"/>
    <x v="1"/>
    <x v="9"/>
    <s v="São Luis"/>
    <x v="9"/>
    <n v="5300"/>
    <n v="8"/>
    <n v="42400"/>
    <n v="12720"/>
    <n v="0.3"/>
  </r>
  <r>
    <x v="1"/>
    <x v="1"/>
    <x v="38"/>
    <x v="1"/>
    <x v="9"/>
    <s v="São Luis"/>
    <x v="4"/>
    <n v="300"/>
    <n v="7"/>
    <n v="2100"/>
    <n v="315"/>
    <n v="0.15"/>
  </r>
  <r>
    <x v="3"/>
    <x v="1"/>
    <x v="39"/>
    <x v="1"/>
    <x v="9"/>
    <s v="São Luis"/>
    <x v="1"/>
    <n v="500"/>
    <n v="11"/>
    <n v="5500"/>
    <n v="1375"/>
    <n v="0.25"/>
  </r>
  <r>
    <x v="0"/>
    <x v="1"/>
    <x v="40"/>
    <x v="1"/>
    <x v="9"/>
    <s v="São Luis"/>
    <x v="9"/>
    <n v="5300"/>
    <n v="12"/>
    <n v="63600"/>
    <n v="19080"/>
    <n v="0.3"/>
  </r>
  <r>
    <x v="0"/>
    <x v="0"/>
    <x v="41"/>
    <x v="1"/>
    <x v="9"/>
    <s v="São Luis"/>
    <x v="3"/>
    <n v="5130"/>
    <n v="3"/>
    <n v="15390"/>
    <n v="6156"/>
    <n v="0.4"/>
  </r>
  <r>
    <x v="0"/>
    <x v="1"/>
    <x v="42"/>
    <x v="1"/>
    <x v="9"/>
    <s v="São Luis"/>
    <x v="4"/>
    <n v="300"/>
    <n v="2"/>
    <n v="600"/>
    <n v="90"/>
    <n v="0.15"/>
  </r>
  <r>
    <x v="0"/>
    <x v="0"/>
    <x v="43"/>
    <x v="1"/>
    <x v="9"/>
    <s v="São Luis"/>
    <x v="12"/>
    <n v="4500"/>
    <n v="15"/>
    <n v="67500"/>
    <n v="16875"/>
    <n v="0.25"/>
  </r>
  <r>
    <x v="0"/>
    <x v="1"/>
    <x v="44"/>
    <x v="1"/>
    <x v="9"/>
    <s v="São Luis"/>
    <x v="4"/>
    <n v="300"/>
    <n v="5"/>
    <n v="1500"/>
    <n v="225"/>
    <n v="0.15"/>
  </r>
  <r>
    <x v="0"/>
    <x v="1"/>
    <x v="45"/>
    <x v="1"/>
    <x v="9"/>
    <s v="São Luis"/>
    <x v="1"/>
    <n v="500"/>
    <n v="5"/>
    <n v="2500"/>
    <n v="625"/>
    <n v="0.25"/>
  </r>
  <r>
    <x v="0"/>
    <x v="1"/>
    <x v="46"/>
    <x v="1"/>
    <x v="9"/>
    <s v="São Luis"/>
    <x v="11"/>
    <n v="4600"/>
    <n v="7"/>
    <n v="32200"/>
    <n v="8050"/>
    <n v="0.25"/>
  </r>
  <r>
    <x v="4"/>
    <x v="1"/>
    <x v="47"/>
    <x v="1"/>
    <x v="9"/>
    <s v="São Luis"/>
    <x v="6"/>
    <n v="1500"/>
    <n v="3"/>
    <n v="4500"/>
    <n v="1800"/>
    <n v="0.4"/>
  </r>
  <r>
    <x v="0"/>
    <x v="1"/>
    <x v="48"/>
    <x v="1"/>
    <x v="9"/>
    <s v="São Luis"/>
    <x v="3"/>
    <n v="5130"/>
    <n v="12"/>
    <n v="61560"/>
    <n v="24624"/>
    <n v="0.4"/>
  </r>
  <r>
    <x v="2"/>
    <x v="0"/>
    <x v="49"/>
    <x v="1"/>
    <x v="9"/>
    <s v="São Luis"/>
    <x v="12"/>
    <n v="4500"/>
    <n v="1"/>
    <n v="4500"/>
    <n v="1125"/>
    <n v="0.25"/>
  </r>
  <r>
    <x v="3"/>
    <x v="1"/>
    <x v="50"/>
    <x v="1"/>
    <x v="9"/>
    <s v="São Luis"/>
    <x v="10"/>
    <n v="3200"/>
    <n v="6"/>
    <n v="19200"/>
    <n v="3840"/>
    <n v="0.2"/>
  </r>
  <r>
    <x v="3"/>
    <x v="0"/>
    <x v="51"/>
    <x v="1"/>
    <x v="9"/>
    <s v="São Luis"/>
    <x v="10"/>
    <n v="3200"/>
    <n v="10"/>
    <n v="32000"/>
    <n v="6400"/>
    <n v="0.2"/>
  </r>
  <r>
    <x v="0"/>
    <x v="1"/>
    <x v="52"/>
    <x v="1"/>
    <x v="9"/>
    <s v="São Luis"/>
    <x v="6"/>
    <n v="1500"/>
    <n v="6"/>
    <n v="9000"/>
    <n v="3600"/>
    <n v="0.4"/>
  </r>
  <r>
    <x v="2"/>
    <x v="1"/>
    <x v="53"/>
    <x v="1"/>
    <x v="9"/>
    <s v="São Luis"/>
    <x v="0"/>
    <n v="8902"/>
    <n v="6"/>
    <n v="53412"/>
    <n v="18694.199999999997"/>
    <n v="0.35"/>
  </r>
  <r>
    <x v="0"/>
    <x v="0"/>
    <x v="54"/>
    <x v="1"/>
    <x v="9"/>
    <s v="São Luis"/>
    <x v="5"/>
    <n v="1700"/>
    <n v="2"/>
    <n v="3400"/>
    <n v="1700"/>
    <n v="0.5"/>
  </r>
  <r>
    <x v="0"/>
    <x v="1"/>
    <x v="55"/>
    <x v="1"/>
    <x v="9"/>
    <s v="São Luis"/>
    <x v="8"/>
    <n v="3400"/>
    <n v="1"/>
    <n v="3400"/>
    <n v="1190"/>
    <n v="0.35"/>
  </r>
  <r>
    <x v="2"/>
    <x v="1"/>
    <x v="56"/>
    <x v="1"/>
    <x v="9"/>
    <s v="São Luis"/>
    <x v="2"/>
    <n v="1200"/>
    <n v="2"/>
    <n v="2400"/>
    <n v="720"/>
    <n v="0.3"/>
  </r>
  <r>
    <x v="1"/>
    <x v="1"/>
    <x v="57"/>
    <x v="1"/>
    <x v="9"/>
    <s v="São Luis"/>
    <x v="12"/>
    <n v="4500"/>
    <n v="5"/>
    <n v="22500"/>
    <n v="5625"/>
    <n v="0.25"/>
  </r>
  <r>
    <x v="0"/>
    <x v="1"/>
    <x v="58"/>
    <x v="1"/>
    <x v="9"/>
    <s v="São Luis"/>
    <x v="2"/>
    <n v="1200"/>
    <n v="6"/>
    <n v="7200"/>
    <n v="2160"/>
    <n v="0.3"/>
  </r>
  <r>
    <x v="4"/>
    <x v="0"/>
    <x v="59"/>
    <x v="1"/>
    <x v="9"/>
    <s v="São Luis"/>
    <x v="3"/>
    <n v="5130"/>
    <n v="2"/>
    <n v="10260"/>
    <n v="4104"/>
    <n v="0.4"/>
  </r>
  <r>
    <x v="1"/>
    <x v="1"/>
    <x v="60"/>
    <x v="1"/>
    <x v="9"/>
    <s v="São Luis"/>
    <x v="2"/>
    <n v="1200"/>
    <n v="9"/>
    <n v="10800"/>
    <n v="3240"/>
    <n v="0.3"/>
  </r>
  <r>
    <x v="0"/>
    <x v="0"/>
    <x v="61"/>
    <x v="1"/>
    <x v="9"/>
    <s v="São Luis"/>
    <x v="4"/>
    <n v="300"/>
    <n v="2"/>
    <n v="600"/>
    <n v="90"/>
    <n v="0.15"/>
  </r>
  <r>
    <x v="0"/>
    <x v="1"/>
    <x v="62"/>
    <x v="1"/>
    <x v="9"/>
    <s v="São Luis"/>
    <x v="11"/>
    <n v="4600"/>
    <n v="8"/>
    <n v="36800"/>
    <n v="9200"/>
    <n v="0.25"/>
  </r>
  <r>
    <x v="3"/>
    <x v="1"/>
    <x v="63"/>
    <x v="1"/>
    <x v="9"/>
    <s v="São Luis"/>
    <x v="8"/>
    <n v="3400"/>
    <n v="8"/>
    <n v="27200"/>
    <n v="9520"/>
    <n v="0.35"/>
  </r>
  <r>
    <x v="0"/>
    <x v="0"/>
    <x v="64"/>
    <x v="1"/>
    <x v="9"/>
    <s v="São Luis"/>
    <x v="4"/>
    <n v="300"/>
    <n v="6"/>
    <n v="1800"/>
    <n v="270"/>
    <n v="0.15"/>
  </r>
  <r>
    <x v="3"/>
    <x v="0"/>
    <x v="65"/>
    <x v="1"/>
    <x v="9"/>
    <s v="São Luis"/>
    <x v="8"/>
    <n v="3400"/>
    <n v="8"/>
    <n v="27200"/>
    <n v="9520"/>
    <n v="0.35"/>
  </r>
  <r>
    <x v="0"/>
    <x v="1"/>
    <x v="66"/>
    <x v="1"/>
    <x v="9"/>
    <s v="São Luis"/>
    <x v="2"/>
    <n v="1200"/>
    <n v="6"/>
    <n v="7200"/>
    <n v="2160"/>
    <n v="0.3"/>
  </r>
  <r>
    <x v="3"/>
    <x v="1"/>
    <x v="67"/>
    <x v="1"/>
    <x v="9"/>
    <s v="São Luis"/>
    <x v="7"/>
    <n v="5340"/>
    <n v="1"/>
    <n v="5340"/>
    <n v="1602"/>
    <n v="0.3"/>
  </r>
  <r>
    <x v="3"/>
    <x v="1"/>
    <x v="68"/>
    <x v="1"/>
    <x v="9"/>
    <s v="São Luis"/>
    <x v="0"/>
    <n v="8902"/>
    <n v="7"/>
    <n v="62314"/>
    <n v="21809.899999999998"/>
    <n v="0.35"/>
  </r>
  <r>
    <x v="0"/>
    <x v="1"/>
    <x v="69"/>
    <x v="1"/>
    <x v="10"/>
    <s v="João Pessoa"/>
    <x v="7"/>
    <n v="5340"/>
    <n v="6"/>
    <n v="32040"/>
    <n v="9612"/>
    <n v="0.3"/>
  </r>
  <r>
    <x v="3"/>
    <x v="1"/>
    <x v="70"/>
    <x v="1"/>
    <x v="10"/>
    <s v="João Pessoa"/>
    <x v="1"/>
    <n v="500"/>
    <n v="9"/>
    <n v="4500"/>
    <n v="1125"/>
    <n v="0.25"/>
  </r>
  <r>
    <x v="0"/>
    <x v="1"/>
    <x v="71"/>
    <x v="1"/>
    <x v="10"/>
    <s v="João Pessoa"/>
    <x v="11"/>
    <n v="4600"/>
    <n v="3"/>
    <n v="13800"/>
    <n v="3450"/>
    <n v="0.25"/>
  </r>
  <r>
    <x v="0"/>
    <x v="0"/>
    <x v="72"/>
    <x v="1"/>
    <x v="10"/>
    <s v="João Pessoa"/>
    <x v="11"/>
    <n v="4600"/>
    <n v="8"/>
    <n v="36800"/>
    <n v="9200"/>
    <n v="0.25"/>
  </r>
  <r>
    <x v="0"/>
    <x v="1"/>
    <x v="73"/>
    <x v="1"/>
    <x v="10"/>
    <s v="João Pessoa"/>
    <x v="10"/>
    <n v="3200"/>
    <n v="16"/>
    <n v="51200"/>
    <n v="10240"/>
    <n v="0.2"/>
  </r>
  <r>
    <x v="3"/>
    <x v="1"/>
    <x v="74"/>
    <x v="1"/>
    <x v="10"/>
    <s v="João Pessoa"/>
    <x v="0"/>
    <n v="8902"/>
    <n v="15"/>
    <n v="133530"/>
    <n v="46735.5"/>
    <n v="0.35"/>
  </r>
  <r>
    <x v="0"/>
    <x v="0"/>
    <x v="75"/>
    <x v="1"/>
    <x v="10"/>
    <s v="João Pessoa"/>
    <x v="2"/>
    <n v="1200"/>
    <n v="5"/>
    <n v="6000"/>
    <n v="1800"/>
    <n v="0.3"/>
  </r>
  <r>
    <x v="3"/>
    <x v="1"/>
    <x v="76"/>
    <x v="1"/>
    <x v="10"/>
    <s v="João Pessoa"/>
    <x v="7"/>
    <n v="5340"/>
    <n v="5"/>
    <n v="26700"/>
    <n v="8010"/>
    <n v="0.3"/>
  </r>
  <r>
    <x v="0"/>
    <x v="1"/>
    <x v="77"/>
    <x v="1"/>
    <x v="10"/>
    <s v="João Pessoa"/>
    <x v="8"/>
    <n v="3400"/>
    <n v="5"/>
    <n v="17000"/>
    <n v="5950"/>
    <n v="0.35"/>
  </r>
  <r>
    <x v="0"/>
    <x v="1"/>
    <x v="78"/>
    <x v="1"/>
    <x v="10"/>
    <s v="João Pessoa"/>
    <x v="4"/>
    <n v="300"/>
    <n v="2"/>
    <n v="600"/>
    <n v="90"/>
    <n v="0.15"/>
  </r>
  <r>
    <x v="0"/>
    <x v="1"/>
    <x v="79"/>
    <x v="1"/>
    <x v="10"/>
    <s v="João Pessoa"/>
    <x v="1"/>
    <n v="500"/>
    <n v="5"/>
    <n v="2500"/>
    <n v="625"/>
    <n v="0.25"/>
  </r>
  <r>
    <x v="1"/>
    <x v="1"/>
    <x v="80"/>
    <x v="1"/>
    <x v="10"/>
    <s v="João Pessoa"/>
    <x v="9"/>
    <n v="5300"/>
    <n v="3"/>
    <n v="15900"/>
    <n v="4770"/>
    <n v="0.3"/>
  </r>
  <r>
    <x v="3"/>
    <x v="1"/>
    <x v="81"/>
    <x v="1"/>
    <x v="10"/>
    <s v="João Pessoa"/>
    <x v="10"/>
    <n v="3200"/>
    <n v="8"/>
    <n v="25600"/>
    <n v="5120"/>
    <n v="0.2"/>
  </r>
  <r>
    <x v="0"/>
    <x v="0"/>
    <x v="82"/>
    <x v="1"/>
    <x v="10"/>
    <s v="João Pessoa"/>
    <x v="10"/>
    <n v="3200"/>
    <n v="7"/>
    <n v="22400"/>
    <n v="4480"/>
    <n v="0.2"/>
  </r>
  <r>
    <x v="4"/>
    <x v="1"/>
    <x v="83"/>
    <x v="1"/>
    <x v="10"/>
    <s v="João Pessoa"/>
    <x v="11"/>
    <n v="4600"/>
    <n v="8"/>
    <n v="36800"/>
    <n v="9200"/>
    <n v="0.25"/>
  </r>
  <r>
    <x v="2"/>
    <x v="1"/>
    <x v="84"/>
    <x v="1"/>
    <x v="10"/>
    <s v="João Pessoa"/>
    <x v="3"/>
    <n v="5130"/>
    <n v="12"/>
    <n v="61560"/>
    <n v="24624"/>
    <n v="0.4"/>
  </r>
  <r>
    <x v="3"/>
    <x v="1"/>
    <x v="85"/>
    <x v="1"/>
    <x v="10"/>
    <s v="João Pessoa"/>
    <x v="2"/>
    <n v="1200"/>
    <n v="9"/>
    <n v="10800"/>
    <n v="3240"/>
    <n v="0.3"/>
  </r>
  <r>
    <x v="3"/>
    <x v="0"/>
    <x v="0"/>
    <x v="1"/>
    <x v="10"/>
    <s v="João Pessoa"/>
    <x v="5"/>
    <n v="1700"/>
    <n v="7"/>
    <n v="11900"/>
    <n v="5950"/>
    <n v="0.5"/>
  </r>
  <r>
    <x v="1"/>
    <x v="1"/>
    <x v="1"/>
    <x v="1"/>
    <x v="10"/>
    <s v="João Pessoa"/>
    <x v="6"/>
    <n v="1500"/>
    <n v="3"/>
    <n v="4500"/>
    <n v="1800"/>
    <n v="0.4"/>
  </r>
  <r>
    <x v="2"/>
    <x v="0"/>
    <x v="2"/>
    <x v="1"/>
    <x v="10"/>
    <s v="João Pessoa"/>
    <x v="5"/>
    <n v="1700"/>
    <n v="6"/>
    <n v="10200"/>
    <n v="5100"/>
    <n v="0.5"/>
  </r>
  <r>
    <x v="2"/>
    <x v="0"/>
    <x v="3"/>
    <x v="1"/>
    <x v="11"/>
    <s v="Maceio"/>
    <x v="12"/>
    <n v="4500"/>
    <n v="11"/>
    <n v="49500"/>
    <n v="12375"/>
    <n v="0.25"/>
  </r>
  <r>
    <x v="3"/>
    <x v="1"/>
    <x v="4"/>
    <x v="1"/>
    <x v="11"/>
    <s v="Maceio"/>
    <x v="11"/>
    <n v="4600"/>
    <n v="5"/>
    <n v="23000"/>
    <n v="5750"/>
    <n v="0.25"/>
  </r>
  <r>
    <x v="1"/>
    <x v="1"/>
    <x v="5"/>
    <x v="1"/>
    <x v="11"/>
    <s v="Maceio"/>
    <x v="7"/>
    <n v="5340"/>
    <n v="1"/>
    <n v="5340"/>
    <n v="1602"/>
    <n v="0.3"/>
  </r>
  <r>
    <x v="0"/>
    <x v="1"/>
    <x v="6"/>
    <x v="1"/>
    <x v="11"/>
    <s v="Maceio"/>
    <x v="6"/>
    <n v="1500"/>
    <n v="5"/>
    <n v="7500"/>
    <n v="3000"/>
    <n v="0.4"/>
  </r>
  <r>
    <x v="0"/>
    <x v="1"/>
    <x v="7"/>
    <x v="1"/>
    <x v="11"/>
    <s v="Maceio"/>
    <x v="11"/>
    <n v="4600"/>
    <n v="12"/>
    <n v="55200"/>
    <n v="13800"/>
    <n v="0.25"/>
  </r>
  <r>
    <x v="1"/>
    <x v="0"/>
    <x v="8"/>
    <x v="1"/>
    <x v="11"/>
    <s v="Maceio"/>
    <x v="0"/>
    <n v="8902"/>
    <n v="5"/>
    <n v="44510"/>
    <n v="15578.499999999998"/>
    <n v="0.35"/>
  </r>
  <r>
    <x v="0"/>
    <x v="1"/>
    <x v="9"/>
    <x v="1"/>
    <x v="11"/>
    <s v="Maceio"/>
    <x v="11"/>
    <n v="4600"/>
    <n v="10"/>
    <n v="46000"/>
    <n v="11500"/>
    <n v="0.25"/>
  </r>
  <r>
    <x v="0"/>
    <x v="1"/>
    <x v="10"/>
    <x v="1"/>
    <x v="11"/>
    <s v="Maceio"/>
    <x v="4"/>
    <n v="300"/>
    <n v="4"/>
    <n v="1200"/>
    <n v="180"/>
    <n v="0.15"/>
  </r>
  <r>
    <x v="0"/>
    <x v="0"/>
    <x v="11"/>
    <x v="1"/>
    <x v="11"/>
    <s v="Maceio"/>
    <x v="10"/>
    <n v="3200"/>
    <n v="1"/>
    <n v="3200"/>
    <n v="640"/>
    <n v="0.2"/>
  </r>
  <r>
    <x v="4"/>
    <x v="0"/>
    <x v="12"/>
    <x v="1"/>
    <x v="11"/>
    <s v="Maceio"/>
    <x v="3"/>
    <n v="5130"/>
    <n v="11"/>
    <n v="56430"/>
    <n v="22572"/>
    <n v="0.4"/>
  </r>
  <r>
    <x v="0"/>
    <x v="1"/>
    <x v="13"/>
    <x v="1"/>
    <x v="11"/>
    <s v="Maceio"/>
    <x v="11"/>
    <n v="4600"/>
    <n v="4"/>
    <n v="18400"/>
    <n v="4600"/>
    <n v="0.25"/>
  </r>
  <r>
    <x v="0"/>
    <x v="1"/>
    <x v="14"/>
    <x v="1"/>
    <x v="11"/>
    <s v="Maceio"/>
    <x v="6"/>
    <n v="1500"/>
    <n v="11"/>
    <n v="16500"/>
    <n v="6600"/>
    <n v="0.4"/>
  </r>
  <r>
    <x v="0"/>
    <x v="1"/>
    <x v="15"/>
    <x v="1"/>
    <x v="11"/>
    <s v="Maceio"/>
    <x v="9"/>
    <n v="5300"/>
    <n v="4"/>
    <n v="21200"/>
    <n v="6360"/>
    <n v="0.3"/>
  </r>
  <r>
    <x v="0"/>
    <x v="0"/>
    <x v="16"/>
    <x v="1"/>
    <x v="11"/>
    <s v="Maceio"/>
    <x v="0"/>
    <n v="8902"/>
    <n v="6"/>
    <n v="53412"/>
    <n v="18694.199999999997"/>
    <n v="0.35"/>
  </r>
  <r>
    <x v="0"/>
    <x v="0"/>
    <x v="17"/>
    <x v="1"/>
    <x v="11"/>
    <s v="Maceio"/>
    <x v="2"/>
    <n v="1200"/>
    <n v="1"/>
    <n v="1200"/>
    <n v="360"/>
    <n v="0.3"/>
  </r>
  <r>
    <x v="4"/>
    <x v="1"/>
    <x v="18"/>
    <x v="1"/>
    <x v="11"/>
    <s v="Maceio"/>
    <x v="3"/>
    <n v="5130"/>
    <n v="7"/>
    <n v="35910"/>
    <n v="14364"/>
    <n v="0.4"/>
  </r>
  <r>
    <x v="0"/>
    <x v="1"/>
    <x v="19"/>
    <x v="1"/>
    <x v="11"/>
    <s v="Maceio"/>
    <x v="6"/>
    <n v="1500"/>
    <n v="4"/>
    <n v="6000"/>
    <n v="2400"/>
    <n v="0.4"/>
  </r>
  <r>
    <x v="3"/>
    <x v="1"/>
    <x v="20"/>
    <x v="1"/>
    <x v="11"/>
    <s v="Maceio"/>
    <x v="3"/>
    <n v="5130"/>
    <n v="4"/>
    <n v="20520"/>
    <n v="8208"/>
    <n v="0.4"/>
  </r>
  <r>
    <x v="3"/>
    <x v="1"/>
    <x v="21"/>
    <x v="1"/>
    <x v="11"/>
    <s v="Maceio"/>
    <x v="12"/>
    <n v="4500"/>
    <n v="2"/>
    <n v="9000"/>
    <n v="2250"/>
    <n v="0.25"/>
  </r>
  <r>
    <x v="0"/>
    <x v="0"/>
    <x v="22"/>
    <x v="1"/>
    <x v="11"/>
    <s v="Maceio"/>
    <x v="9"/>
    <n v="5300"/>
    <n v="2"/>
    <n v="10600"/>
    <n v="3180"/>
    <n v="0.3"/>
  </r>
  <r>
    <x v="0"/>
    <x v="1"/>
    <x v="23"/>
    <x v="1"/>
    <x v="11"/>
    <s v="Maceio"/>
    <x v="4"/>
    <n v="300"/>
    <n v="2"/>
    <n v="600"/>
    <n v="90"/>
    <n v="0.15"/>
  </r>
  <r>
    <x v="4"/>
    <x v="0"/>
    <x v="24"/>
    <x v="1"/>
    <x v="11"/>
    <s v="Maceio"/>
    <x v="1"/>
    <n v="500"/>
    <n v="12"/>
    <n v="6000"/>
    <n v="1500"/>
    <n v="0.25"/>
  </r>
  <r>
    <x v="2"/>
    <x v="0"/>
    <x v="25"/>
    <x v="1"/>
    <x v="11"/>
    <s v="Maceio"/>
    <x v="4"/>
    <n v="300"/>
    <n v="1"/>
    <n v="300"/>
    <n v="45"/>
    <n v="0.15"/>
  </r>
  <r>
    <x v="3"/>
    <x v="1"/>
    <x v="26"/>
    <x v="1"/>
    <x v="11"/>
    <s v="Maceio"/>
    <x v="6"/>
    <n v="1500"/>
    <n v="1"/>
    <n v="1500"/>
    <n v="600"/>
    <n v="0.4"/>
  </r>
  <r>
    <x v="0"/>
    <x v="1"/>
    <x v="27"/>
    <x v="1"/>
    <x v="11"/>
    <s v="Maceio"/>
    <x v="6"/>
    <n v="1500"/>
    <n v="11"/>
    <n v="16500"/>
    <n v="6600"/>
    <n v="0.4"/>
  </r>
  <r>
    <x v="0"/>
    <x v="1"/>
    <x v="28"/>
    <x v="1"/>
    <x v="11"/>
    <s v="Maceio"/>
    <x v="2"/>
    <n v="1200"/>
    <n v="2"/>
    <n v="2400"/>
    <n v="720"/>
    <n v="0.3"/>
  </r>
  <r>
    <x v="3"/>
    <x v="1"/>
    <x v="28"/>
    <x v="1"/>
    <x v="11"/>
    <s v="Maceio"/>
    <x v="1"/>
    <n v="500"/>
    <n v="5"/>
    <n v="2500"/>
    <n v="625"/>
    <n v="0.25"/>
  </r>
  <r>
    <x v="1"/>
    <x v="0"/>
    <x v="29"/>
    <x v="1"/>
    <x v="11"/>
    <s v="Maceio"/>
    <x v="10"/>
    <n v="3200"/>
    <n v="12"/>
    <n v="38400"/>
    <n v="7680"/>
    <n v="0.2"/>
  </r>
  <r>
    <x v="4"/>
    <x v="1"/>
    <x v="30"/>
    <x v="1"/>
    <x v="11"/>
    <s v="Maceio"/>
    <x v="9"/>
    <n v="5300"/>
    <n v="4"/>
    <n v="21200"/>
    <n v="6360"/>
    <n v="0.3"/>
  </r>
  <r>
    <x v="4"/>
    <x v="1"/>
    <x v="31"/>
    <x v="1"/>
    <x v="11"/>
    <s v="Maceio"/>
    <x v="3"/>
    <n v="5130"/>
    <n v="8"/>
    <n v="41040"/>
    <n v="16416"/>
    <n v="0.4"/>
  </r>
  <r>
    <x v="0"/>
    <x v="1"/>
    <x v="32"/>
    <x v="1"/>
    <x v="11"/>
    <s v="Maceio"/>
    <x v="7"/>
    <n v="5340"/>
    <n v="2"/>
    <n v="10680"/>
    <n v="3204"/>
    <n v="0.3"/>
  </r>
  <r>
    <x v="1"/>
    <x v="1"/>
    <x v="33"/>
    <x v="1"/>
    <x v="11"/>
    <s v="Maceio"/>
    <x v="2"/>
    <n v="1200"/>
    <n v="5"/>
    <n v="6000"/>
    <n v="1800"/>
    <n v="0.3"/>
  </r>
  <r>
    <x v="3"/>
    <x v="1"/>
    <x v="34"/>
    <x v="1"/>
    <x v="11"/>
    <s v="Maceio"/>
    <x v="9"/>
    <n v="5300"/>
    <n v="10"/>
    <n v="53000"/>
    <n v="15900"/>
    <n v="0.3"/>
  </r>
  <r>
    <x v="0"/>
    <x v="1"/>
    <x v="35"/>
    <x v="1"/>
    <x v="11"/>
    <s v="Maceio"/>
    <x v="1"/>
    <n v="500"/>
    <n v="9"/>
    <n v="4500"/>
    <n v="1125"/>
    <n v="0.25"/>
  </r>
  <r>
    <x v="3"/>
    <x v="0"/>
    <x v="36"/>
    <x v="1"/>
    <x v="11"/>
    <s v="Maceio"/>
    <x v="7"/>
    <n v="5340"/>
    <n v="7"/>
    <n v="37380"/>
    <n v="11214"/>
    <n v="0.3"/>
  </r>
  <r>
    <x v="0"/>
    <x v="1"/>
    <x v="37"/>
    <x v="1"/>
    <x v="11"/>
    <s v="Maceio"/>
    <x v="0"/>
    <n v="8902"/>
    <n v="8"/>
    <n v="71216"/>
    <n v="24925.599999999999"/>
    <n v="0.35"/>
  </r>
  <r>
    <x v="0"/>
    <x v="1"/>
    <x v="38"/>
    <x v="1"/>
    <x v="11"/>
    <s v="Maceio"/>
    <x v="10"/>
    <n v="3200"/>
    <n v="7"/>
    <n v="22400"/>
    <n v="4480"/>
    <n v="0.2"/>
  </r>
  <r>
    <x v="3"/>
    <x v="1"/>
    <x v="39"/>
    <x v="1"/>
    <x v="11"/>
    <s v="Maceio"/>
    <x v="1"/>
    <n v="500"/>
    <n v="2"/>
    <n v="1000"/>
    <n v="250"/>
    <n v="0.25"/>
  </r>
  <r>
    <x v="0"/>
    <x v="1"/>
    <x v="40"/>
    <x v="1"/>
    <x v="11"/>
    <s v="Maceio"/>
    <x v="7"/>
    <n v="5340"/>
    <n v="2"/>
    <n v="10680"/>
    <n v="3204"/>
    <n v="0.3"/>
  </r>
  <r>
    <x v="3"/>
    <x v="1"/>
    <x v="41"/>
    <x v="1"/>
    <x v="11"/>
    <s v="Maceio"/>
    <x v="1"/>
    <n v="500"/>
    <n v="2"/>
    <n v="1000"/>
    <n v="250"/>
    <n v="0.25"/>
  </r>
  <r>
    <x v="0"/>
    <x v="0"/>
    <x v="42"/>
    <x v="1"/>
    <x v="11"/>
    <s v="Maceio"/>
    <x v="3"/>
    <n v="5130"/>
    <n v="1"/>
    <n v="5130"/>
    <n v="2052"/>
    <n v="0.4"/>
  </r>
  <r>
    <x v="3"/>
    <x v="1"/>
    <x v="43"/>
    <x v="1"/>
    <x v="11"/>
    <s v="Maceio"/>
    <x v="6"/>
    <n v="1500"/>
    <n v="10"/>
    <n v="15000"/>
    <n v="6000"/>
    <n v="0.4"/>
  </r>
  <r>
    <x v="0"/>
    <x v="1"/>
    <x v="44"/>
    <x v="1"/>
    <x v="11"/>
    <s v="Maceio"/>
    <x v="11"/>
    <n v="4600"/>
    <n v="3"/>
    <n v="13800"/>
    <n v="3450"/>
    <n v="0.25"/>
  </r>
  <r>
    <x v="2"/>
    <x v="0"/>
    <x v="45"/>
    <x v="1"/>
    <x v="11"/>
    <s v="Maceio"/>
    <x v="7"/>
    <n v="5340"/>
    <n v="5"/>
    <n v="26700"/>
    <n v="8010"/>
    <n v="0.3"/>
  </r>
  <r>
    <x v="1"/>
    <x v="1"/>
    <x v="46"/>
    <x v="1"/>
    <x v="11"/>
    <s v="Maceio"/>
    <x v="2"/>
    <n v="1200"/>
    <n v="4"/>
    <n v="4800"/>
    <n v="1440"/>
    <n v="0.3"/>
  </r>
  <r>
    <x v="2"/>
    <x v="1"/>
    <x v="47"/>
    <x v="1"/>
    <x v="11"/>
    <s v="Maceio"/>
    <x v="6"/>
    <n v="1500"/>
    <n v="3"/>
    <n v="4500"/>
    <n v="1800"/>
    <n v="0.4"/>
  </r>
  <r>
    <x v="1"/>
    <x v="1"/>
    <x v="48"/>
    <x v="1"/>
    <x v="11"/>
    <s v="Maceio"/>
    <x v="1"/>
    <n v="500"/>
    <n v="8"/>
    <n v="4000"/>
    <n v="1000"/>
    <n v="0.25"/>
  </r>
  <r>
    <x v="4"/>
    <x v="1"/>
    <x v="49"/>
    <x v="1"/>
    <x v="11"/>
    <s v="Maceio"/>
    <x v="6"/>
    <n v="1500"/>
    <n v="9"/>
    <n v="13500"/>
    <n v="5400"/>
    <n v="0.4"/>
  </r>
  <r>
    <x v="1"/>
    <x v="1"/>
    <x v="50"/>
    <x v="1"/>
    <x v="11"/>
    <s v="Maceio"/>
    <x v="4"/>
    <n v="300"/>
    <n v="11"/>
    <n v="3300"/>
    <n v="495"/>
    <n v="0.15"/>
  </r>
  <r>
    <x v="3"/>
    <x v="0"/>
    <x v="51"/>
    <x v="1"/>
    <x v="11"/>
    <s v="Maceio"/>
    <x v="0"/>
    <n v="8902"/>
    <n v="12"/>
    <n v="106824"/>
    <n v="37388.399999999994"/>
    <n v="0.35"/>
  </r>
  <r>
    <x v="3"/>
    <x v="1"/>
    <x v="52"/>
    <x v="1"/>
    <x v="11"/>
    <s v="Maceio"/>
    <x v="12"/>
    <n v="4500"/>
    <n v="10"/>
    <n v="45000"/>
    <n v="11250"/>
    <n v="0.25"/>
  </r>
  <r>
    <x v="2"/>
    <x v="1"/>
    <x v="53"/>
    <x v="1"/>
    <x v="11"/>
    <s v="Maceio"/>
    <x v="2"/>
    <n v="1200"/>
    <n v="1"/>
    <n v="1200"/>
    <n v="360"/>
    <n v="0.3"/>
  </r>
  <r>
    <x v="0"/>
    <x v="0"/>
    <x v="54"/>
    <x v="1"/>
    <x v="11"/>
    <s v="Maceio"/>
    <x v="1"/>
    <n v="500"/>
    <n v="5"/>
    <n v="2500"/>
    <n v="625"/>
    <n v="0.25"/>
  </r>
  <r>
    <x v="0"/>
    <x v="0"/>
    <x v="55"/>
    <x v="1"/>
    <x v="11"/>
    <s v="Maceio"/>
    <x v="11"/>
    <n v="4600"/>
    <n v="12"/>
    <n v="55200"/>
    <n v="13800"/>
    <n v="0.25"/>
  </r>
  <r>
    <x v="4"/>
    <x v="0"/>
    <x v="56"/>
    <x v="1"/>
    <x v="11"/>
    <s v="Maceio"/>
    <x v="11"/>
    <n v="4600"/>
    <n v="7"/>
    <n v="32200"/>
    <n v="8050"/>
    <n v="0.25"/>
  </r>
  <r>
    <x v="3"/>
    <x v="1"/>
    <x v="57"/>
    <x v="1"/>
    <x v="11"/>
    <s v="Maceio"/>
    <x v="0"/>
    <n v="8902"/>
    <n v="9"/>
    <n v="80118"/>
    <n v="28041.3"/>
    <n v="0.35"/>
  </r>
  <r>
    <x v="0"/>
    <x v="0"/>
    <x v="58"/>
    <x v="1"/>
    <x v="11"/>
    <s v="Maceio"/>
    <x v="4"/>
    <n v="300"/>
    <n v="5"/>
    <n v="1500"/>
    <n v="225"/>
    <n v="0.15"/>
  </r>
  <r>
    <x v="2"/>
    <x v="1"/>
    <x v="59"/>
    <x v="1"/>
    <x v="11"/>
    <s v="Maceio"/>
    <x v="10"/>
    <n v="3200"/>
    <n v="2"/>
    <n v="6400"/>
    <n v="1280"/>
    <n v="0.2"/>
  </r>
  <r>
    <x v="3"/>
    <x v="1"/>
    <x v="60"/>
    <x v="1"/>
    <x v="11"/>
    <s v="Maceio"/>
    <x v="12"/>
    <n v="4500"/>
    <n v="12"/>
    <n v="54000"/>
    <n v="13500"/>
    <n v="0.25"/>
  </r>
  <r>
    <x v="4"/>
    <x v="1"/>
    <x v="61"/>
    <x v="1"/>
    <x v="11"/>
    <s v="Maceio"/>
    <x v="5"/>
    <n v="1700"/>
    <n v="12"/>
    <n v="20400"/>
    <n v="10200"/>
    <n v="0.5"/>
  </r>
  <r>
    <x v="1"/>
    <x v="1"/>
    <x v="62"/>
    <x v="1"/>
    <x v="11"/>
    <s v="Maceio"/>
    <x v="10"/>
    <n v="3200"/>
    <n v="8"/>
    <n v="25600"/>
    <n v="5120"/>
    <n v="0.2"/>
  </r>
  <r>
    <x v="3"/>
    <x v="0"/>
    <x v="63"/>
    <x v="1"/>
    <x v="11"/>
    <s v="Maceio"/>
    <x v="4"/>
    <n v="300"/>
    <n v="7"/>
    <n v="2100"/>
    <n v="315"/>
    <n v="0.15"/>
  </r>
  <r>
    <x v="0"/>
    <x v="1"/>
    <x v="64"/>
    <x v="1"/>
    <x v="11"/>
    <s v="Maceio"/>
    <x v="8"/>
    <n v="3400"/>
    <n v="12"/>
    <n v="40800"/>
    <n v="14280"/>
    <n v="0.35"/>
  </r>
  <r>
    <x v="0"/>
    <x v="0"/>
    <x v="65"/>
    <x v="1"/>
    <x v="11"/>
    <s v="Maceio"/>
    <x v="11"/>
    <n v="4600"/>
    <n v="3"/>
    <n v="13800"/>
    <n v="3450"/>
    <n v="0.25"/>
  </r>
  <r>
    <x v="3"/>
    <x v="1"/>
    <x v="66"/>
    <x v="1"/>
    <x v="11"/>
    <s v="Maceio"/>
    <x v="8"/>
    <n v="3400"/>
    <n v="3"/>
    <n v="10200"/>
    <n v="3570"/>
    <n v="0.35"/>
  </r>
  <r>
    <x v="0"/>
    <x v="1"/>
    <x v="67"/>
    <x v="1"/>
    <x v="11"/>
    <s v="Maceio"/>
    <x v="5"/>
    <n v="1700"/>
    <n v="3"/>
    <n v="5100"/>
    <n v="2550"/>
    <n v="0.5"/>
  </r>
  <r>
    <x v="1"/>
    <x v="0"/>
    <x v="68"/>
    <x v="1"/>
    <x v="11"/>
    <s v="Maceio"/>
    <x v="10"/>
    <n v="3200"/>
    <n v="8"/>
    <n v="25600"/>
    <n v="5120"/>
    <n v="0.2"/>
  </r>
  <r>
    <x v="0"/>
    <x v="1"/>
    <x v="69"/>
    <x v="1"/>
    <x v="11"/>
    <s v="Maceio"/>
    <x v="0"/>
    <n v="8902"/>
    <n v="7"/>
    <n v="62314"/>
    <n v="21809.899999999998"/>
    <n v="0.35"/>
  </r>
  <r>
    <x v="0"/>
    <x v="1"/>
    <x v="70"/>
    <x v="1"/>
    <x v="11"/>
    <s v="Maceio"/>
    <x v="12"/>
    <n v="4500"/>
    <n v="10"/>
    <n v="45000"/>
    <n v="11250"/>
    <n v="0.25"/>
  </r>
  <r>
    <x v="0"/>
    <x v="1"/>
    <x v="71"/>
    <x v="1"/>
    <x v="11"/>
    <s v="Maceio"/>
    <x v="3"/>
    <n v="5130"/>
    <n v="6"/>
    <n v="30780"/>
    <n v="12312"/>
    <n v="0.4"/>
  </r>
  <r>
    <x v="1"/>
    <x v="1"/>
    <x v="72"/>
    <x v="1"/>
    <x v="11"/>
    <s v="Maceio"/>
    <x v="0"/>
    <n v="8902"/>
    <n v="1"/>
    <n v="8902"/>
    <n v="3115.7"/>
    <n v="0.35"/>
  </r>
  <r>
    <x v="1"/>
    <x v="0"/>
    <x v="73"/>
    <x v="1"/>
    <x v="11"/>
    <s v="Maceio"/>
    <x v="4"/>
    <n v="300"/>
    <n v="4"/>
    <n v="1200"/>
    <n v="180"/>
    <n v="0.15"/>
  </r>
  <r>
    <x v="3"/>
    <x v="1"/>
    <x v="74"/>
    <x v="1"/>
    <x v="12"/>
    <s v="Natal"/>
    <x v="6"/>
    <n v="1500"/>
    <n v="10"/>
    <n v="15000"/>
    <n v="6000"/>
    <n v="0.4"/>
  </r>
  <r>
    <x v="3"/>
    <x v="0"/>
    <x v="75"/>
    <x v="1"/>
    <x v="12"/>
    <s v="Natal"/>
    <x v="6"/>
    <n v="1500"/>
    <n v="10"/>
    <n v="15000"/>
    <n v="6000"/>
    <n v="0.4"/>
  </r>
  <r>
    <x v="0"/>
    <x v="1"/>
    <x v="76"/>
    <x v="1"/>
    <x v="12"/>
    <s v="Natal"/>
    <x v="2"/>
    <n v="1200"/>
    <n v="8"/>
    <n v="9600"/>
    <n v="2880"/>
    <n v="0.3"/>
  </r>
  <r>
    <x v="3"/>
    <x v="1"/>
    <x v="77"/>
    <x v="1"/>
    <x v="12"/>
    <s v="Natal"/>
    <x v="1"/>
    <n v="500"/>
    <n v="7"/>
    <n v="3500"/>
    <n v="875"/>
    <n v="0.25"/>
  </r>
  <r>
    <x v="0"/>
    <x v="1"/>
    <x v="78"/>
    <x v="1"/>
    <x v="12"/>
    <s v="Natal"/>
    <x v="6"/>
    <n v="1500"/>
    <n v="2"/>
    <n v="3000"/>
    <n v="1200"/>
    <n v="0.4"/>
  </r>
  <r>
    <x v="2"/>
    <x v="0"/>
    <x v="79"/>
    <x v="1"/>
    <x v="12"/>
    <s v="Natal"/>
    <x v="1"/>
    <n v="500"/>
    <n v="4"/>
    <n v="2000"/>
    <n v="500"/>
    <n v="0.25"/>
  </r>
  <r>
    <x v="0"/>
    <x v="1"/>
    <x v="80"/>
    <x v="1"/>
    <x v="12"/>
    <s v="Natal"/>
    <x v="1"/>
    <n v="500"/>
    <n v="5"/>
    <n v="2500"/>
    <n v="625"/>
    <n v="0.25"/>
  </r>
  <r>
    <x v="3"/>
    <x v="1"/>
    <x v="81"/>
    <x v="1"/>
    <x v="12"/>
    <s v="Natal"/>
    <x v="9"/>
    <n v="5300"/>
    <n v="11"/>
    <n v="58300"/>
    <n v="17490"/>
    <n v="0.3"/>
  </r>
  <r>
    <x v="3"/>
    <x v="0"/>
    <x v="82"/>
    <x v="1"/>
    <x v="12"/>
    <s v="Natal"/>
    <x v="9"/>
    <n v="5300"/>
    <n v="11"/>
    <n v="58300"/>
    <n v="17490"/>
    <n v="0.3"/>
  </r>
  <r>
    <x v="4"/>
    <x v="0"/>
    <x v="83"/>
    <x v="1"/>
    <x v="12"/>
    <s v="Natal"/>
    <x v="11"/>
    <n v="4600"/>
    <n v="1"/>
    <n v="4600"/>
    <n v="1150"/>
    <n v="0.25"/>
  </r>
  <r>
    <x v="3"/>
    <x v="1"/>
    <x v="84"/>
    <x v="1"/>
    <x v="12"/>
    <s v="Natal"/>
    <x v="0"/>
    <n v="8902"/>
    <n v="17"/>
    <n v="151334"/>
    <n v="52966.899999999994"/>
    <n v="0.35"/>
  </r>
  <r>
    <x v="0"/>
    <x v="1"/>
    <x v="85"/>
    <x v="1"/>
    <x v="12"/>
    <s v="Natal"/>
    <x v="11"/>
    <n v="4600"/>
    <n v="6"/>
    <n v="27600"/>
    <n v="6900"/>
    <n v="0.25"/>
  </r>
  <r>
    <x v="1"/>
    <x v="1"/>
    <x v="28"/>
    <x v="1"/>
    <x v="12"/>
    <s v="Natal"/>
    <x v="9"/>
    <n v="5300"/>
    <n v="9"/>
    <n v="47700"/>
    <n v="14310"/>
    <n v="0.3"/>
  </r>
  <r>
    <x v="3"/>
    <x v="1"/>
    <x v="29"/>
    <x v="1"/>
    <x v="12"/>
    <s v="Natal"/>
    <x v="2"/>
    <n v="1200"/>
    <n v="3"/>
    <n v="3600"/>
    <n v="1080"/>
    <n v="0.3"/>
  </r>
  <r>
    <x v="0"/>
    <x v="1"/>
    <x v="30"/>
    <x v="1"/>
    <x v="12"/>
    <s v="Natal"/>
    <x v="4"/>
    <n v="300"/>
    <n v="6"/>
    <n v="1800"/>
    <n v="270"/>
    <n v="0.15"/>
  </r>
  <r>
    <x v="0"/>
    <x v="0"/>
    <x v="31"/>
    <x v="1"/>
    <x v="12"/>
    <s v="Natal"/>
    <x v="12"/>
    <n v="4500"/>
    <n v="6"/>
    <n v="27000"/>
    <n v="6750"/>
    <n v="0.25"/>
  </r>
  <r>
    <x v="0"/>
    <x v="0"/>
    <x v="32"/>
    <x v="1"/>
    <x v="12"/>
    <s v="Natal"/>
    <x v="6"/>
    <n v="1500"/>
    <n v="5"/>
    <n v="7500"/>
    <n v="3000"/>
    <n v="0.4"/>
  </r>
  <r>
    <x v="0"/>
    <x v="0"/>
    <x v="33"/>
    <x v="1"/>
    <x v="12"/>
    <s v="Natal"/>
    <x v="12"/>
    <n v="4500"/>
    <n v="7"/>
    <n v="31500"/>
    <n v="7875"/>
    <n v="0.25"/>
  </r>
  <r>
    <x v="0"/>
    <x v="1"/>
    <x v="34"/>
    <x v="1"/>
    <x v="12"/>
    <s v="Natal"/>
    <x v="10"/>
    <n v="3200"/>
    <n v="7"/>
    <n v="22400"/>
    <n v="4480"/>
    <n v="0.2"/>
  </r>
  <r>
    <x v="0"/>
    <x v="1"/>
    <x v="35"/>
    <x v="1"/>
    <x v="12"/>
    <s v="Natal"/>
    <x v="6"/>
    <n v="1500"/>
    <n v="9"/>
    <n v="13500"/>
    <n v="5400"/>
    <n v="0.4"/>
  </r>
  <r>
    <x v="3"/>
    <x v="1"/>
    <x v="36"/>
    <x v="1"/>
    <x v="12"/>
    <s v="Natal"/>
    <x v="1"/>
    <n v="500"/>
    <n v="2"/>
    <n v="1000"/>
    <n v="250"/>
    <n v="0.25"/>
  </r>
  <r>
    <x v="0"/>
    <x v="0"/>
    <x v="37"/>
    <x v="1"/>
    <x v="12"/>
    <s v="Natal"/>
    <x v="1"/>
    <n v="500"/>
    <n v="9"/>
    <n v="4500"/>
    <n v="1125"/>
    <n v="0.25"/>
  </r>
  <r>
    <x v="0"/>
    <x v="1"/>
    <x v="38"/>
    <x v="1"/>
    <x v="12"/>
    <s v="Natal"/>
    <x v="9"/>
    <n v="5300"/>
    <n v="4"/>
    <n v="21200"/>
    <n v="6360"/>
    <n v="0.3"/>
  </r>
  <r>
    <x v="3"/>
    <x v="1"/>
    <x v="39"/>
    <x v="1"/>
    <x v="12"/>
    <s v="Natal"/>
    <x v="11"/>
    <n v="4600"/>
    <n v="5"/>
    <n v="23000"/>
    <n v="5750"/>
    <n v="0.25"/>
  </r>
  <r>
    <x v="3"/>
    <x v="1"/>
    <x v="40"/>
    <x v="1"/>
    <x v="12"/>
    <s v="Natal"/>
    <x v="11"/>
    <n v="4600"/>
    <n v="11"/>
    <n v="50600"/>
    <n v="12650"/>
    <n v="0.25"/>
  </r>
  <r>
    <x v="0"/>
    <x v="1"/>
    <x v="41"/>
    <x v="1"/>
    <x v="12"/>
    <s v="Natal"/>
    <x v="2"/>
    <n v="1200"/>
    <n v="6"/>
    <n v="7200"/>
    <n v="2160"/>
    <n v="0.3"/>
  </r>
  <r>
    <x v="0"/>
    <x v="0"/>
    <x v="42"/>
    <x v="1"/>
    <x v="12"/>
    <s v="Natal"/>
    <x v="10"/>
    <n v="3200"/>
    <n v="1"/>
    <n v="3200"/>
    <n v="640"/>
    <n v="0.2"/>
  </r>
  <r>
    <x v="0"/>
    <x v="0"/>
    <x v="43"/>
    <x v="1"/>
    <x v="12"/>
    <s v="Natal"/>
    <x v="9"/>
    <n v="5300"/>
    <n v="12"/>
    <n v="63600"/>
    <n v="19080"/>
    <n v="0.3"/>
  </r>
  <r>
    <x v="3"/>
    <x v="1"/>
    <x v="44"/>
    <x v="1"/>
    <x v="12"/>
    <s v="Natal"/>
    <x v="1"/>
    <n v="500"/>
    <n v="5"/>
    <n v="2500"/>
    <n v="625"/>
    <n v="0.25"/>
  </r>
  <r>
    <x v="4"/>
    <x v="1"/>
    <x v="45"/>
    <x v="1"/>
    <x v="12"/>
    <s v="Natal"/>
    <x v="3"/>
    <n v="5130"/>
    <n v="7"/>
    <n v="35910"/>
    <n v="14364"/>
    <n v="0.4"/>
  </r>
  <r>
    <x v="0"/>
    <x v="0"/>
    <x v="46"/>
    <x v="1"/>
    <x v="12"/>
    <s v="Natal"/>
    <x v="6"/>
    <n v="1500"/>
    <n v="5"/>
    <n v="7500"/>
    <n v="3000"/>
    <n v="0.4"/>
  </r>
  <r>
    <x v="3"/>
    <x v="1"/>
    <x v="47"/>
    <x v="1"/>
    <x v="12"/>
    <s v="Natal"/>
    <x v="9"/>
    <n v="5300"/>
    <n v="10"/>
    <n v="53000"/>
    <n v="15900"/>
    <n v="0.3"/>
  </r>
  <r>
    <x v="0"/>
    <x v="1"/>
    <x v="48"/>
    <x v="1"/>
    <x v="12"/>
    <s v="Natal"/>
    <x v="7"/>
    <n v="5340"/>
    <n v="8"/>
    <n v="42720"/>
    <n v="12816"/>
    <n v="0.3"/>
  </r>
  <r>
    <x v="2"/>
    <x v="1"/>
    <x v="49"/>
    <x v="1"/>
    <x v="12"/>
    <s v="Natal"/>
    <x v="9"/>
    <n v="5300"/>
    <n v="6"/>
    <n v="31800"/>
    <n v="9540"/>
    <n v="0.3"/>
  </r>
  <r>
    <x v="3"/>
    <x v="0"/>
    <x v="50"/>
    <x v="1"/>
    <x v="12"/>
    <s v="Natal"/>
    <x v="1"/>
    <n v="500"/>
    <n v="5"/>
    <n v="2500"/>
    <n v="625"/>
    <n v="0.25"/>
  </r>
  <r>
    <x v="0"/>
    <x v="1"/>
    <x v="51"/>
    <x v="1"/>
    <x v="12"/>
    <s v="Natal"/>
    <x v="0"/>
    <n v="8902"/>
    <n v="11"/>
    <n v="97922"/>
    <n v="34272.699999999997"/>
    <n v="0.35"/>
  </r>
  <r>
    <x v="2"/>
    <x v="1"/>
    <x v="52"/>
    <x v="1"/>
    <x v="12"/>
    <s v="Natal"/>
    <x v="7"/>
    <n v="5340"/>
    <n v="5"/>
    <n v="26700"/>
    <n v="8010"/>
    <n v="0.3"/>
  </r>
  <r>
    <x v="2"/>
    <x v="0"/>
    <x v="53"/>
    <x v="1"/>
    <x v="12"/>
    <s v="Natal"/>
    <x v="4"/>
    <n v="300"/>
    <n v="3"/>
    <n v="900"/>
    <n v="135"/>
    <n v="0.15"/>
  </r>
  <r>
    <x v="0"/>
    <x v="0"/>
    <x v="54"/>
    <x v="1"/>
    <x v="12"/>
    <s v="Natal"/>
    <x v="10"/>
    <n v="3200"/>
    <n v="3"/>
    <n v="9600"/>
    <n v="1920"/>
    <n v="0.2"/>
  </r>
  <r>
    <x v="4"/>
    <x v="1"/>
    <x v="55"/>
    <x v="1"/>
    <x v="12"/>
    <s v="Natal"/>
    <x v="9"/>
    <n v="5300"/>
    <n v="1"/>
    <n v="5300"/>
    <n v="1590"/>
    <n v="0.3"/>
  </r>
  <r>
    <x v="3"/>
    <x v="0"/>
    <x v="56"/>
    <x v="1"/>
    <x v="12"/>
    <s v="Natal"/>
    <x v="8"/>
    <n v="3400"/>
    <n v="1"/>
    <n v="3400"/>
    <n v="1190"/>
    <n v="0.35"/>
  </r>
  <r>
    <x v="0"/>
    <x v="1"/>
    <x v="57"/>
    <x v="1"/>
    <x v="12"/>
    <s v="Natal"/>
    <x v="10"/>
    <n v="3200"/>
    <n v="7"/>
    <n v="22400"/>
    <n v="4480"/>
    <n v="0.2"/>
  </r>
  <r>
    <x v="0"/>
    <x v="1"/>
    <x v="58"/>
    <x v="1"/>
    <x v="12"/>
    <s v="Natal"/>
    <x v="1"/>
    <n v="500"/>
    <n v="5"/>
    <n v="2500"/>
    <n v="625"/>
    <n v="0.25"/>
  </r>
  <r>
    <x v="0"/>
    <x v="1"/>
    <x v="59"/>
    <x v="1"/>
    <x v="12"/>
    <s v="Natal"/>
    <x v="11"/>
    <n v="4600"/>
    <n v="12"/>
    <n v="55200"/>
    <n v="13800"/>
    <n v="0.25"/>
  </r>
  <r>
    <x v="2"/>
    <x v="1"/>
    <x v="60"/>
    <x v="1"/>
    <x v="12"/>
    <s v="Natal"/>
    <x v="3"/>
    <n v="5130"/>
    <n v="7"/>
    <n v="35910"/>
    <n v="14364"/>
    <n v="0.4"/>
  </r>
  <r>
    <x v="0"/>
    <x v="1"/>
    <x v="61"/>
    <x v="1"/>
    <x v="12"/>
    <s v="Natal"/>
    <x v="0"/>
    <n v="8902"/>
    <n v="10"/>
    <n v="89020"/>
    <n v="31156.999999999996"/>
    <n v="0.35"/>
  </r>
  <r>
    <x v="3"/>
    <x v="1"/>
    <x v="62"/>
    <x v="1"/>
    <x v="12"/>
    <s v="Natal"/>
    <x v="0"/>
    <n v="8902"/>
    <n v="9"/>
    <n v="80118"/>
    <n v="28041.3"/>
    <n v="0.35"/>
  </r>
  <r>
    <x v="3"/>
    <x v="1"/>
    <x v="63"/>
    <x v="1"/>
    <x v="12"/>
    <s v="Natal"/>
    <x v="0"/>
    <n v="8902"/>
    <n v="9"/>
    <n v="80118"/>
    <n v="28041.3"/>
    <n v="0.35"/>
  </r>
  <r>
    <x v="3"/>
    <x v="1"/>
    <x v="64"/>
    <x v="1"/>
    <x v="12"/>
    <s v="Natal"/>
    <x v="1"/>
    <n v="500"/>
    <n v="6"/>
    <n v="3000"/>
    <n v="750"/>
    <n v="0.25"/>
  </r>
  <r>
    <x v="4"/>
    <x v="1"/>
    <x v="65"/>
    <x v="1"/>
    <x v="12"/>
    <s v="Natal"/>
    <x v="0"/>
    <n v="8902"/>
    <n v="6"/>
    <n v="53412"/>
    <n v="18694.199999999997"/>
    <n v="0.35"/>
  </r>
  <r>
    <x v="0"/>
    <x v="1"/>
    <x v="66"/>
    <x v="1"/>
    <x v="12"/>
    <s v="Natal"/>
    <x v="2"/>
    <n v="1200"/>
    <n v="8"/>
    <n v="9600"/>
    <n v="2880"/>
    <n v="0.3"/>
  </r>
  <r>
    <x v="0"/>
    <x v="1"/>
    <x v="67"/>
    <x v="1"/>
    <x v="12"/>
    <s v="Natal"/>
    <x v="6"/>
    <n v="1500"/>
    <n v="5"/>
    <n v="7500"/>
    <n v="3000"/>
    <n v="0.4"/>
  </r>
  <r>
    <x v="2"/>
    <x v="1"/>
    <x v="68"/>
    <x v="1"/>
    <x v="12"/>
    <s v="Natal"/>
    <x v="7"/>
    <n v="5340"/>
    <n v="9"/>
    <n v="48060"/>
    <n v="14418"/>
    <n v="0.3"/>
  </r>
  <r>
    <x v="2"/>
    <x v="1"/>
    <x v="69"/>
    <x v="1"/>
    <x v="12"/>
    <s v="Natal"/>
    <x v="10"/>
    <n v="3200"/>
    <n v="2"/>
    <n v="6400"/>
    <n v="1280"/>
    <n v="0.2"/>
  </r>
  <r>
    <x v="0"/>
    <x v="0"/>
    <x v="70"/>
    <x v="1"/>
    <x v="12"/>
    <s v="Natal"/>
    <x v="9"/>
    <n v="5300"/>
    <n v="2"/>
    <n v="10600"/>
    <n v="3180"/>
    <n v="0.3"/>
  </r>
  <r>
    <x v="2"/>
    <x v="1"/>
    <x v="71"/>
    <x v="1"/>
    <x v="12"/>
    <s v="Natal"/>
    <x v="6"/>
    <n v="1500"/>
    <n v="11"/>
    <n v="16500"/>
    <n v="6600"/>
    <n v="0.4"/>
  </r>
  <r>
    <x v="1"/>
    <x v="1"/>
    <x v="72"/>
    <x v="1"/>
    <x v="12"/>
    <s v="Natal"/>
    <x v="11"/>
    <n v="4600"/>
    <n v="9"/>
    <n v="41400"/>
    <n v="10350"/>
    <n v="0.25"/>
  </r>
  <r>
    <x v="3"/>
    <x v="1"/>
    <x v="73"/>
    <x v="1"/>
    <x v="12"/>
    <s v="Natal"/>
    <x v="5"/>
    <n v="1700"/>
    <n v="6"/>
    <n v="10200"/>
    <n v="5100"/>
    <n v="0.5"/>
  </r>
  <r>
    <x v="3"/>
    <x v="0"/>
    <x v="74"/>
    <x v="1"/>
    <x v="12"/>
    <s v="Natal"/>
    <x v="1"/>
    <n v="500"/>
    <n v="7"/>
    <n v="3500"/>
    <n v="875"/>
    <n v="0.25"/>
  </r>
  <r>
    <x v="0"/>
    <x v="1"/>
    <x v="75"/>
    <x v="1"/>
    <x v="12"/>
    <s v="Natal"/>
    <x v="4"/>
    <n v="300"/>
    <n v="12"/>
    <n v="3600"/>
    <n v="540"/>
    <n v="0.15"/>
  </r>
  <r>
    <x v="0"/>
    <x v="1"/>
    <x v="76"/>
    <x v="1"/>
    <x v="12"/>
    <s v="Natal"/>
    <x v="10"/>
    <n v="3200"/>
    <n v="15"/>
    <n v="48000"/>
    <n v="9600"/>
    <n v="0.2"/>
  </r>
  <r>
    <x v="3"/>
    <x v="0"/>
    <x v="77"/>
    <x v="1"/>
    <x v="12"/>
    <s v="Natal"/>
    <x v="1"/>
    <n v="500"/>
    <n v="12"/>
    <n v="6000"/>
    <n v="1500"/>
    <n v="0.25"/>
  </r>
  <r>
    <x v="3"/>
    <x v="1"/>
    <x v="78"/>
    <x v="1"/>
    <x v="12"/>
    <s v="Natal"/>
    <x v="2"/>
    <n v="1200"/>
    <n v="7"/>
    <n v="8400"/>
    <n v="2520"/>
    <n v="0.3"/>
  </r>
  <r>
    <x v="4"/>
    <x v="1"/>
    <x v="79"/>
    <x v="1"/>
    <x v="12"/>
    <s v="Natal"/>
    <x v="5"/>
    <n v="1700"/>
    <n v="2"/>
    <n v="3400"/>
    <n v="1700"/>
    <n v="0.5"/>
  </r>
  <r>
    <x v="0"/>
    <x v="1"/>
    <x v="80"/>
    <x v="1"/>
    <x v="12"/>
    <s v="Natal"/>
    <x v="8"/>
    <n v="3400"/>
    <n v="12"/>
    <n v="40800"/>
    <n v="14280"/>
    <n v="0.35"/>
  </r>
  <r>
    <x v="0"/>
    <x v="1"/>
    <x v="81"/>
    <x v="1"/>
    <x v="12"/>
    <s v="Natal"/>
    <x v="10"/>
    <n v="3200"/>
    <n v="3"/>
    <n v="9600"/>
    <n v="1920"/>
    <n v="0.2"/>
  </r>
  <r>
    <x v="4"/>
    <x v="1"/>
    <x v="86"/>
    <x v="1"/>
    <x v="12"/>
    <s v="Natal"/>
    <x v="8"/>
    <n v="3400"/>
    <n v="1"/>
    <n v="3400"/>
    <n v="1190"/>
    <n v="0.35"/>
  </r>
  <r>
    <x v="3"/>
    <x v="1"/>
    <x v="82"/>
    <x v="1"/>
    <x v="12"/>
    <s v="Natal"/>
    <x v="5"/>
    <n v="1700"/>
    <n v="4"/>
    <n v="6800"/>
    <n v="3400"/>
    <n v="0.5"/>
  </r>
  <r>
    <x v="0"/>
    <x v="1"/>
    <x v="87"/>
    <x v="1"/>
    <x v="12"/>
    <s v="Natal"/>
    <x v="11"/>
    <n v="4600"/>
    <n v="6"/>
    <n v="27600"/>
    <n v="6900"/>
    <n v="0.25"/>
  </r>
  <r>
    <x v="3"/>
    <x v="1"/>
    <x v="83"/>
    <x v="1"/>
    <x v="12"/>
    <s v="Natal"/>
    <x v="5"/>
    <n v="1700"/>
    <n v="7"/>
    <n v="11900"/>
    <n v="5950"/>
    <n v="0.5"/>
  </r>
  <r>
    <x v="3"/>
    <x v="1"/>
    <x v="88"/>
    <x v="1"/>
    <x v="12"/>
    <s v="Natal"/>
    <x v="12"/>
    <n v="4500"/>
    <n v="5"/>
    <n v="22500"/>
    <n v="5625"/>
    <n v="0.25"/>
  </r>
  <r>
    <x v="3"/>
    <x v="0"/>
    <x v="84"/>
    <x v="1"/>
    <x v="12"/>
    <s v="Natal"/>
    <x v="2"/>
    <n v="1200"/>
    <n v="5"/>
    <n v="6000"/>
    <n v="1800"/>
    <n v="0.3"/>
  </r>
  <r>
    <x v="0"/>
    <x v="0"/>
    <x v="89"/>
    <x v="1"/>
    <x v="12"/>
    <s v="Natal"/>
    <x v="0"/>
    <n v="8902"/>
    <n v="19"/>
    <n v="169138"/>
    <n v="59198.299999999996"/>
    <n v="0.35"/>
  </r>
  <r>
    <x v="3"/>
    <x v="0"/>
    <x v="85"/>
    <x v="1"/>
    <x v="12"/>
    <s v="Natal"/>
    <x v="4"/>
    <n v="300"/>
    <n v="1"/>
    <n v="300"/>
    <n v="45"/>
    <n v="0.15"/>
  </r>
  <r>
    <x v="3"/>
    <x v="1"/>
    <x v="85"/>
    <x v="1"/>
    <x v="12"/>
    <s v="Natal"/>
    <x v="4"/>
    <n v="300"/>
    <n v="7"/>
    <n v="2100"/>
    <n v="315"/>
    <n v="0.15"/>
  </r>
  <r>
    <x v="3"/>
    <x v="1"/>
    <x v="85"/>
    <x v="1"/>
    <x v="12"/>
    <s v="Natal"/>
    <x v="2"/>
    <n v="1200"/>
    <n v="18"/>
    <n v="21600"/>
    <n v="6480"/>
    <n v="0.3"/>
  </r>
  <r>
    <x v="0"/>
    <x v="0"/>
    <x v="85"/>
    <x v="1"/>
    <x v="12"/>
    <s v="Natal"/>
    <x v="10"/>
    <n v="3200"/>
    <n v="7"/>
    <n v="22400"/>
    <n v="4480"/>
    <n v="0.2"/>
  </r>
  <r>
    <x v="0"/>
    <x v="1"/>
    <x v="85"/>
    <x v="1"/>
    <x v="12"/>
    <s v="Natal"/>
    <x v="8"/>
    <n v="3400"/>
    <n v="7"/>
    <n v="23800"/>
    <n v="8330"/>
    <n v="0.35"/>
  </r>
  <r>
    <x v="2"/>
    <x v="1"/>
    <x v="85"/>
    <x v="1"/>
    <x v="12"/>
    <s v="Natal"/>
    <x v="3"/>
    <n v="5130"/>
    <n v="15"/>
    <n v="76950"/>
    <n v="30780"/>
    <n v="0.4"/>
  </r>
  <r>
    <x v="2"/>
    <x v="1"/>
    <x v="0"/>
    <x v="1"/>
    <x v="12"/>
    <s v="Natal"/>
    <x v="0"/>
    <n v="8902"/>
    <n v="5"/>
    <n v="44510"/>
    <n v="15578.499999999998"/>
    <n v="0.35"/>
  </r>
  <r>
    <x v="1"/>
    <x v="1"/>
    <x v="1"/>
    <x v="1"/>
    <x v="12"/>
    <s v="Natal"/>
    <x v="3"/>
    <n v="5130"/>
    <n v="4"/>
    <n v="20520"/>
    <n v="8208"/>
    <n v="0.4"/>
  </r>
  <r>
    <x v="3"/>
    <x v="0"/>
    <x v="2"/>
    <x v="1"/>
    <x v="12"/>
    <s v="Natal"/>
    <x v="5"/>
    <n v="1700"/>
    <n v="5"/>
    <n v="8500"/>
    <n v="4250"/>
    <n v="0.5"/>
  </r>
  <r>
    <x v="3"/>
    <x v="1"/>
    <x v="3"/>
    <x v="1"/>
    <x v="12"/>
    <s v="Natal"/>
    <x v="6"/>
    <n v="1500"/>
    <n v="3"/>
    <n v="4500"/>
    <n v="1800"/>
    <n v="0.4"/>
  </r>
  <r>
    <x v="0"/>
    <x v="1"/>
    <x v="0"/>
    <x v="2"/>
    <x v="13"/>
    <s v="Manaus"/>
    <x v="3"/>
    <n v="5130"/>
    <n v="6"/>
    <n v="30780"/>
    <n v="12312"/>
    <n v="0.4"/>
  </r>
  <r>
    <x v="0"/>
    <x v="0"/>
    <x v="90"/>
    <x v="2"/>
    <x v="13"/>
    <s v="Manaus"/>
    <x v="6"/>
    <n v="1500"/>
    <n v="6"/>
    <n v="9000"/>
    <n v="3600"/>
    <n v="0.4"/>
  </r>
  <r>
    <x v="0"/>
    <x v="0"/>
    <x v="91"/>
    <x v="2"/>
    <x v="13"/>
    <s v="Manaus"/>
    <x v="8"/>
    <n v="3400"/>
    <n v="8"/>
    <n v="27200"/>
    <n v="9520"/>
    <n v="0.35"/>
  </r>
  <r>
    <x v="1"/>
    <x v="1"/>
    <x v="92"/>
    <x v="2"/>
    <x v="13"/>
    <s v="Manaus"/>
    <x v="4"/>
    <n v="300"/>
    <n v="3"/>
    <n v="900"/>
    <n v="135"/>
    <n v="0.15"/>
  </r>
  <r>
    <x v="2"/>
    <x v="1"/>
    <x v="16"/>
    <x v="2"/>
    <x v="13"/>
    <s v="Manaus"/>
    <x v="5"/>
    <n v="1700"/>
    <n v="12"/>
    <n v="20400"/>
    <n v="10200"/>
    <n v="0.5"/>
  </r>
  <r>
    <x v="2"/>
    <x v="1"/>
    <x v="93"/>
    <x v="2"/>
    <x v="13"/>
    <s v="Manaus"/>
    <x v="5"/>
    <n v="1700"/>
    <n v="11"/>
    <n v="18700"/>
    <n v="9350"/>
    <n v="0.5"/>
  </r>
  <r>
    <x v="0"/>
    <x v="0"/>
    <x v="94"/>
    <x v="2"/>
    <x v="13"/>
    <s v="Manaus"/>
    <x v="9"/>
    <n v="5300"/>
    <n v="9"/>
    <n v="47700"/>
    <n v="14310"/>
    <n v="0.3"/>
  </r>
  <r>
    <x v="2"/>
    <x v="1"/>
    <x v="95"/>
    <x v="2"/>
    <x v="13"/>
    <s v="Manaus"/>
    <x v="6"/>
    <n v="1500"/>
    <n v="5"/>
    <n v="7500"/>
    <n v="3000"/>
    <n v="0.4"/>
  </r>
  <r>
    <x v="2"/>
    <x v="1"/>
    <x v="0"/>
    <x v="2"/>
    <x v="14"/>
    <s v="Belém"/>
    <x v="0"/>
    <n v="8902"/>
    <n v="5"/>
    <n v="44510"/>
    <n v="15578.499999999998"/>
    <n v="0.35"/>
  </r>
  <r>
    <x v="1"/>
    <x v="1"/>
    <x v="1"/>
    <x v="2"/>
    <x v="14"/>
    <s v="Belém"/>
    <x v="3"/>
    <n v="5130"/>
    <n v="4"/>
    <n v="20520"/>
    <n v="8208"/>
    <n v="0.4"/>
  </r>
  <r>
    <x v="3"/>
    <x v="0"/>
    <x v="2"/>
    <x v="2"/>
    <x v="14"/>
    <s v="Belém"/>
    <x v="5"/>
    <n v="1700"/>
    <n v="5"/>
    <n v="8500"/>
    <n v="4250"/>
    <n v="0.5"/>
  </r>
  <r>
    <x v="3"/>
    <x v="1"/>
    <x v="3"/>
    <x v="2"/>
    <x v="14"/>
    <s v="Belém"/>
    <x v="6"/>
    <n v="1500"/>
    <n v="3"/>
    <n v="4500"/>
    <n v="1800"/>
    <n v="0.4"/>
  </r>
  <r>
    <x v="1"/>
    <x v="1"/>
    <x v="4"/>
    <x v="2"/>
    <x v="14"/>
    <s v="Belém"/>
    <x v="8"/>
    <n v="3400"/>
    <n v="4"/>
    <n v="13600"/>
    <n v="4760"/>
    <n v="0.35"/>
  </r>
  <r>
    <x v="0"/>
    <x v="0"/>
    <x v="5"/>
    <x v="2"/>
    <x v="14"/>
    <s v="Belém"/>
    <x v="6"/>
    <n v="1500"/>
    <n v="11"/>
    <n v="16500"/>
    <n v="6600"/>
    <n v="0.4"/>
  </r>
  <r>
    <x v="3"/>
    <x v="0"/>
    <x v="6"/>
    <x v="2"/>
    <x v="14"/>
    <s v="Belém"/>
    <x v="10"/>
    <n v="3200"/>
    <n v="7"/>
    <n v="22400"/>
    <n v="4480"/>
    <n v="0.2"/>
  </r>
  <r>
    <x v="0"/>
    <x v="1"/>
    <x v="7"/>
    <x v="2"/>
    <x v="14"/>
    <s v="Belém"/>
    <x v="9"/>
    <n v="5300"/>
    <n v="12"/>
    <n v="63600"/>
    <n v="19080"/>
    <n v="0.3"/>
  </r>
  <r>
    <x v="2"/>
    <x v="0"/>
    <x v="8"/>
    <x v="2"/>
    <x v="14"/>
    <s v="Belém"/>
    <x v="10"/>
    <n v="3200"/>
    <n v="10"/>
    <n v="32000"/>
    <n v="6400"/>
    <n v="0.2"/>
  </r>
  <r>
    <x v="0"/>
    <x v="1"/>
    <x v="96"/>
    <x v="2"/>
    <x v="13"/>
    <s v="Manaus"/>
    <x v="5"/>
    <n v="1700"/>
    <n v="5"/>
    <n v="8500"/>
    <n v="4250"/>
    <n v="0.5"/>
  </r>
  <r>
    <x v="3"/>
    <x v="0"/>
    <x v="9"/>
    <x v="2"/>
    <x v="14"/>
    <s v="Belém"/>
    <x v="11"/>
    <n v="4600"/>
    <n v="11"/>
    <n v="50600"/>
    <n v="12650"/>
    <n v="0.25"/>
  </r>
  <r>
    <x v="0"/>
    <x v="1"/>
    <x v="10"/>
    <x v="2"/>
    <x v="14"/>
    <s v="Belém"/>
    <x v="12"/>
    <n v="4500"/>
    <n v="6"/>
    <n v="27000"/>
    <n v="6750"/>
    <n v="0.25"/>
  </r>
  <r>
    <x v="3"/>
    <x v="0"/>
    <x v="11"/>
    <x v="2"/>
    <x v="14"/>
    <s v="Belém"/>
    <x v="12"/>
    <n v="4500"/>
    <n v="10"/>
    <n v="45000"/>
    <n v="11250"/>
    <n v="0.25"/>
  </r>
  <r>
    <x v="1"/>
    <x v="1"/>
    <x v="12"/>
    <x v="2"/>
    <x v="14"/>
    <s v="Belém"/>
    <x v="1"/>
    <n v="500"/>
    <n v="3"/>
    <n v="1500"/>
    <n v="375"/>
    <n v="0.25"/>
  </r>
  <r>
    <x v="3"/>
    <x v="1"/>
    <x v="13"/>
    <x v="2"/>
    <x v="14"/>
    <s v="Belém"/>
    <x v="10"/>
    <n v="3200"/>
    <n v="7"/>
    <n v="22400"/>
    <n v="4480"/>
    <n v="0.2"/>
  </r>
  <r>
    <x v="1"/>
    <x v="1"/>
    <x v="14"/>
    <x v="2"/>
    <x v="14"/>
    <s v="Belém"/>
    <x v="12"/>
    <n v="4500"/>
    <n v="8"/>
    <n v="36000"/>
    <n v="9000"/>
    <n v="0.25"/>
  </r>
  <r>
    <x v="0"/>
    <x v="1"/>
    <x v="15"/>
    <x v="2"/>
    <x v="14"/>
    <s v="Belém"/>
    <x v="7"/>
    <n v="5340"/>
    <n v="9"/>
    <n v="48060"/>
    <n v="14418"/>
    <n v="0.3"/>
  </r>
  <r>
    <x v="3"/>
    <x v="1"/>
    <x v="16"/>
    <x v="2"/>
    <x v="14"/>
    <s v="Belém"/>
    <x v="7"/>
    <n v="5340"/>
    <n v="11"/>
    <n v="58740"/>
    <n v="17622"/>
    <n v="0.3"/>
  </r>
  <r>
    <x v="2"/>
    <x v="0"/>
    <x v="17"/>
    <x v="2"/>
    <x v="14"/>
    <s v="Belém"/>
    <x v="6"/>
    <n v="1500"/>
    <n v="7"/>
    <n v="10500"/>
    <n v="4200"/>
    <n v="0.4"/>
  </r>
  <r>
    <x v="1"/>
    <x v="1"/>
    <x v="18"/>
    <x v="2"/>
    <x v="14"/>
    <s v="Belém"/>
    <x v="1"/>
    <n v="500"/>
    <n v="5"/>
    <n v="2500"/>
    <n v="625"/>
    <n v="0.25"/>
  </r>
  <r>
    <x v="4"/>
    <x v="1"/>
    <x v="19"/>
    <x v="2"/>
    <x v="14"/>
    <s v="Belém"/>
    <x v="7"/>
    <n v="5340"/>
    <n v="5"/>
    <n v="26700"/>
    <n v="8010"/>
    <n v="0.3"/>
  </r>
  <r>
    <x v="3"/>
    <x v="1"/>
    <x v="20"/>
    <x v="2"/>
    <x v="14"/>
    <s v="Belém"/>
    <x v="9"/>
    <n v="5300"/>
    <n v="8"/>
    <n v="42400"/>
    <n v="12720"/>
    <n v="0.3"/>
  </r>
  <r>
    <x v="0"/>
    <x v="1"/>
    <x v="97"/>
    <x v="2"/>
    <x v="13"/>
    <s v="Manaus"/>
    <x v="11"/>
    <n v="4600"/>
    <n v="6"/>
    <n v="27600"/>
    <n v="6900"/>
    <n v="0.25"/>
  </r>
  <r>
    <x v="2"/>
    <x v="0"/>
    <x v="21"/>
    <x v="2"/>
    <x v="14"/>
    <s v="Belém"/>
    <x v="2"/>
    <n v="1200"/>
    <n v="7"/>
    <n v="8400"/>
    <n v="2520"/>
    <n v="0.3"/>
  </r>
  <r>
    <x v="0"/>
    <x v="1"/>
    <x v="22"/>
    <x v="2"/>
    <x v="14"/>
    <s v="Belém"/>
    <x v="0"/>
    <n v="8902"/>
    <n v="6"/>
    <n v="53412"/>
    <n v="18694.199999999997"/>
    <n v="0.35"/>
  </r>
  <r>
    <x v="3"/>
    <x v="1"/>
    <x v="23"/>
    <x v="2"/>
    <x v="14"/>
    <s v="Belém"/>
    <x v="9"/>
    <n v="5300"/>
    <n v="9"/>
    <n v="47700"/>
    <n v="14310"/>
    <n v="0.3"/>
  </r>
  <r>
    <x v="1"/>
    <x v="0"/>
    <x v="24"/>
    <x v="2"/>
    <x v="14"/>
    <s v="Belém"/>
    <x v="8"/>
    <n v="3400"/>
    <n v="8"/>
    <n v="27200"/>
    <n v="9520"/>
    <n v="0.35"/>
  </r>
  <r>
    <x v="0"/>
    <x v="0"/>
    <x v="25"/>
    <x v="2"/>
    <x v="14"/>
    <s v="Belém"/>
    <x v="7"/>
    <n v="5340"/>
    <n v="3"/>
    <n v="16020"/>
    <n v="4806"/>
    <n v="0.3"/>
  </r>
  <r>
    <x v="0"/>
    <x v="1"/>
    <x v="26"/>
    <x v="2"/>
    <x v="14"/>
    <s v="Belém"/>
    <x v="5"/>
    <n v="1700"/>
    <n v="3"/>
    <n v="5100"/>
    <n v="2550"/>
    <n v="0.5"/>
  </r>
  <r>
    <x v="1"/>
    <x v="0"/>
    <x v="27"/>
    <x v="2"/>
    <x v="14"/>
    <s v="Belém"/>
    <x v="4"/>
    <n v="300"/>
    <n v="1"/>
    <n v="300"/>
    <n v="45"/>
    <n v="0.15"/>
  </r>
  <r>
    <x v="4"/>
    <x v="1"/>
    <x v="28"/>
    <x v="2"/>
    <x v="14"/>
    <s v="Belém"/>
    <x v="1"/>
    <n v="500"/>
    <n v="8"/>
    <n v="4000"/>
    <n v="1000"/>
    <n v="0.25"/>
  </r>
  <r>
    <x v="0"/>
    <x v="1"/>
    <x v="28"/>
    <x v="2"/>
    <x v="14"/>
    <s v="Belém"/>
    <x v="11"/>
    <n v="4600"/>
    <n v="2"/>
    <n v="9200"/>
    <n v="2300"/>
    <n v="0.25"/>
  </r>
  <r>
    <x v="1"/>
    <x v="1"/>
    <x v="29"/>
    <x v="2"/>
    <x v="14"/>
    <s v="Belém"/>
    <x v="2"/>
    <n v="1200"/>
    <n v="9"/>
    <n v="10800"/>
    <n v="3240"/>
    <n v="0.3"/>
  </r>
  <r>
    <x v="3"/>
    <x v="0"/>
    <x v="30"/>
    <x v="2"/>
    <x v="14"/>
    <s v="Belém"/>
    <x v="7"/>
    <n v="5340"/>
    <n v="12"/>
    <n v="64080"/>
    <n v="19224"/>
    <n v="0.3"/>
  </r>
  <r>
    <x v="3"/>
    <x v="0"/>
    <x v="31"/>
    <x v="2"/>
    <x v="14"/>
    <s v="Belém"/>
    <x v="7"/>
    <n v="5340"/>
    <n v="12"/>
    <n v="64080"/>
    <n v="19224"/>
    <n v="0.3"/>
  </r>
  <r>
    <x v="4"/>
    <x v="0"/>
    <x v="98"/>
    <x v="2"/>
    <x v="13"/>
    <s v="Manaus"/>
    <x v="11"/>
    <n v="4600"/>
    <n v="3"/>
    <n v="13800"/>
    <n v="3450"/>
    <n v="0.25"/>
  </r>
  <r>
    <x v="0"/>
    <x v="1"/>
    <x v="32"/>
    <x v="2"/>
    <x v="14"/>
    <s v="Belém"/>
    <x v="3"/>
    <n v="5130"/>
    <n v="12"/>
    <n v="61560"/>
    <n v="24624"/>
    <n v="0.4"/>
  </r>
  <r>
    <x v="4"/>
    <x v="0"/>
    <x v="33"/>
    <x v="2"/>
    <x v="14"/>
    <s v="Belém"/>
    <x v="11"/>
    <n v="4600"/>
    <n v="2"/>
    <n v="9200"/>
    <n v="2300"/>
    <n v="0.25"/>
  </r>
  <r>
    <x v="0"/>
    <x v="1"/>
    <x v="34"/>
    <x v="2"/>
    <x v="14"/>
    <s v="Belém"/>
    <x v="11"/>
    <n v="4600"/>
    <n v="11"/>
    <n v="50600"/>
    <n v="12650"/>
    <n v="0.25"/>
  </r>
  <r>
    <x v="0"/>
    <x v="0"/>
    <x v="35"/>
    <x v="2"/>
    <x v="14"/>
    <s v="Belém"/>
    <x v="6"/>
    <n v="1500"/>
    <n v="3"/>
    <n v="4500"/>
    <n v="1800"/>
    <n v="0.4"/>
  </r>
  <r>
    <x v="1"/>
    <x v="1"/>
    <x v="36"/>
    <x v="2"/>
    <x v="14"/>
    <s v="Belém"/>
    <x v="2"/>
    <n v="1200"/>
    <n v="5"/>
    <n v="6000"/>
    <n v="1800"/>
    <n v="0.3"/>
  </r>
  <r>
    <x v="3"/>
    <x v="1"/>
    <x v="37"/>
    <x v="2"/>
    <x v="14"/>
    <s v="Belém"/>
    <x v="9"/>
    <n v="5300"/>
    <n v="8"/>
    <n v="42400"/>
    <n v="12720"/>
    <n v="0.3"/>
  </r>
  <r>
    <x v="1"/>
    <x v="1"/>
    <x v="38"/>
    <x v="2"/>
    <x v="14"/>
    <s v="Belém"/>
    <x v="4"/>
    <n v="300"/>
    <n v="7"/>
    <n v="2100"/>
    <n v="315"/>
    <n v="0.15"/>
  </r>
  <r>
    <x v="3"/>
    <x v="1"/>
    <x v="39"/>
    <x v="2"/>
    <x v="14"/>
    <s v="Belém"/>
    <x v="1"/>
    <n v="500"/>
    <n v="11"/>
    <n v="5500"/>
    <n v="1375"/>
    <n v="0.25"/>
  </r>
  <r>
    <x v="0"/>
    <x v="1"/>
    <x v="40"/>
    <x v="2"/>
    <x v="14"/>
    <s v="Belém"/>
    <x v="9"/>
    <n v="5300"/>
    <n v="12"/>
    <n v="63600"/>
    <n v="19080"/>
    <n v="0.3"/>
  </r>
  <r>
    <x v="0"/>
    <x v="0"/>
    <x v="41"/>
    <x v="2"/>
    <x v="14"/>
    <s v="Belém"/>
    <x v="3"/>
    <n v="5130"/>
    <n v="3"/>
    <n v="15390"/>
    <n v="6156"/>
    <n v="0.4"/>
  </r>
  <r>
    <x v="0"/>
    <x v="1"/>
    <x v="42"/>
    <x v="2"/>
    <x v="14"/>
    <s v="Belém"/>
    <x v="4"/>
    <n v="300"/>
    <n v="2"/>
    <n v="600"/>
    <n v="90"/>
    <n v="0.15"/>
  </r>
  <r>
    <x v="0"/>
    <x v="0"/>
    <x v="43"/>
    <x v="2"/>
    <x v="14"/>
    <s v="Belém"/>
    <x v="12"/>
    <n v="4500"/>
    <n v="15"/>
    <n v="67500"/>
    <n v="16875"/>
    <n v="0.25"/>
  </r>
  <r>
    <x v="0"/>
    <x v="1"/>
    <x v="44"/>
    <x v="2"/>
    <x v="14"/>
    <s v="Belém"/>
    <x v="4"/>
    <n v="300"/>
    <n v="5"/>
    <n v="1500"/>
    <n v="225"/>
    <n v="0.15"/>
  </r>
  <r>
    <x v="0"/>
    <x v="1"/>
    <x v="45"/>
    <x v="2"/>
    <x v="14"/>
    <s v="Belém"/>
    <x v="1"/>
    <n v="500"/>
    <n v="5"/>
    <n v="2500"/>
    <n v="625"/>
    <n v="0.25"/>
  </r>
  <r>
    <x v="3"/>
    <x v="1"/>
    <x v="46"/>
    <x v="2"/>
    <x v="13"/>
    <s v="Manaus"/>
    <x v="12"/>
    <n v="4500"/>
    <n v="4"/>
    <n v="18000"/>
    <n v="4500"/>
    <n v="0.25"/>
  </r>
  <r>
    <x v="0"/>
    <x v="1"/>
    <x v="46"/>
    <x v="2"/>
    <x v="14"/>
    <s v="Belém"/>
    <x v="11"/>
    <n v="4600"/>
    <n v="7"/>
    <n v="32200"/>
    <n v="8050"/>
    <n v="0.25"/>
  </r>
  <r>
    <x v="4"/>
    <x v="1"/>
    <x v="99"/>
    <x v="2"/>
    <x v="13"/>
    <s v="Manaus"/>
    <x v="11"/>
    <n v="4600"/>
    <n v="3"/>
    <n v="13800"/>
    <n v="3450"/>
    <n v="0.25"/>
  </r>
  <r>
    <x v="3"/>
    <x v="1"/>
    <x v="100"/>
    <x v="2"/>
    <x v="13"/>
    <s v="Manaus"/>
    <x v="10"/>
    <n v="3200"/>
    <n v="4"/>
    <n v="12800"/>
    <n v="2560"/>
    <n v="0.2"/>
  </r>
  <r>
    <x v="4"/>
    <x v="1"/>
    <x v="101"/>
    <x v="2"/>
    <x v="13"/>
    <s v="Manaus"/>
    <x v="9"/>
    <n v="5300"/>
    <n v="5"/>
    <n v="26500"/>
    <n v="7950"/>
    <n v="0.3"/>
  </r>
  <r>
    <x v="3"/>
    <x v="0"/>
    <x v="102"/>
    <x v="2"/>
    <x v="13"/>
    <s v="Manaus"/>
    <x v="2"/>
    <n v="1200"/>
    <n v="7"/>
    <n v="8400"/>
    <n v="2520"/>
    <n v="0.3"/>
  </r>
  <r>
    <x v="0"/>
    <x v="0"/>
    <x v="103"/>
    <x v="2"/>
    <x v="13"/>
    <s v="Manaus"/>
    <x v="7"/>
    <n v="5340"/>
    <n v="10"/>
    <n v="53400"/>
    <n v="16020"/>
    <n v="0.3"/>
  </r>
  <r>
    <x v="2"/>
    <x v="0"/>
    <x v="104"/>
    <x v="2"/>
    <x v="13"/>
    <s v="Manaus"/>
    <x v="3"/>
    <n v="5130"/>
    <n v="8"/>
    <n v="41040"/>
    <n v="16416"/>
    <n v="0.4"/>
  </r>
  <r>
    <x v="0"/>
    <x v="1"/>
    <x v="76"/>
    <x v="2"/>
    <x v="13"/>
    <s v="Manaus"/>
    <x v="11"/>
    <n v="4600"/>
    <n v="5"/>
    <n v="23000"/>
    <n v="5750"/>
    <n v="0.25"/>
  </r>
  <r>
    <x v="4"/>
    <x v="1"/>
    <x v="105"/>
    <x v="2"/>
    <x v="13"/>
    <s v="Manaus"/>
    <x v="10"/>
    <n v="3200"/>
    <n v="3"/>
    <n v="9600"/>
    <n v="1920"/>
    <n v="0.2"/>
  </r>
  <r>
    <x v="0"/>
    <x v="1"/>
    <x v="0"/>
    <x v="2"/>
    <x v="15"/>
    <s v="Palmas"/>
    <x v="3"/>
    <n v="5130"/>
    <n v="10"/>
    <n v="30780"/>
    <n v="12312"/>
    <n v="0.4"/>
  </r>
  <r>
    <x v="0"/>
    <x v="0"/>
    <x v="90"/>
    <x v="2"/>
    <x v="15"/>
    <s v="Palmas"/>
    <x v="6"/>
    <n v="1500"/>
    <n v="16"/>
    <n v="9000"/>
    <n v="3600"/>
    <n v="0.4"/>
  </r>
  <r>
    <x v="0"/>
    <x v="0"/>
    <x v="91"/>
    <x v="2"/>
    <x v="15"/>
    <s v="Palmas"/>
    <x v="8"/>
    <n v="3400"/>
    <n v="18"/>
    <n v="27200"/>
    <n v="9520"/>
    <n v="0.35"/>
  </r>
  <r>
    <x v="1"/>
    <x v="1"/>
    <x v="92"/>
    <x v="2"/>
    <x v="15"/>
    <s v="Palmas"/>
    <x v="4"/>
    <n v="300"/>
    <n v="13"/>
    <n v="900"/>
    <n v="135"/>
    <n v="0.15"/>
  </r>
  <r>
    <x v="2"/>
    <x v="1"/>
    <x v="16"/>
    <x v="2"/>
    <x v="15"/>
    <s v="Palmas"/>
    <x v="5"/>
    <n v="1700"/>
    <n v="20"/>
    <n v="20400"/>
    <n v="10200"/>
    <n v="0.5"/>
  </r>
  <r>
    <x v="2"/>
    <x v="1"/>
    <x v="93"/>
    <x v="2"/>
    <x v="15"/>
    <s v="Palmas"/>
    <x v="5"/>
    <n v="1700"/>
    <n v="21"/>
    <n v="18700"/>
    <n v="9350"/>
    <n v="0.5"/>
  </r>
  <r>
    <x v="0"/>
    <x v="0"/>
    <x v="94"/>
    <x v="2"/>
    <x v="15"/>
    <s v="Palmas"/>
    <x v="9"/>
    <n v="5300"/>
    <n v="19"/>
    <n v="47700"/>
    <n v="14310"/>
    <n v="0.3"/>
  </r>
  <r>
    <x v="2"/>
    <x v="1"/>
    <x v="95"/>
    <x v="2"/>
    <x v="15"/>
    <s v="Palmas"/>
    <x v="6"/>
    <n v="1500"/>
    <n v="14"/>
    <n v="7500"/>
    <n v="3000"/>
    <n v="0.4"/>
  </r>
  <r>
    <x v="0"/>
    <x v="1"/>
    <x v="96"/>
    <x v="2"/>
    <x v="15"/>
    <s v="Palmas"/>
    <x v="5"/>
    <n v="1700"/>
    <n v="5"/>
    <n v="8500"/>
    <n v="4250"/>
    <n v="0.5"/>
  </r>
  <r>
    <x v="0"/>
    <x v="1"/>
    <x v="97"/>
    <x v="2"/>
    <x v="15"/>
    <s v="Palmas"/>
    <x v="11"/>
    <n v="4600"/>
    <n v="6"/>
    <n v="27600"/>
    <n v="6900"/>
    <n v="0.25"/>
  </r>
  <r>
    <x v="4"/>
    <x v="0"/>
    <x v="98"/>
    <x v="2"/>
    <x v="15"/>
    <s v="Palmas"/>
    <x v="11"/>
    <n v="4600"/>
    <n v="3"/>
    <n v="13800"/>
    <n v="3450"/>
    <n v="0.25"/>
  </r>
  <r>
    <x v="3"/>
    <x v="1"/>
    <x v="46"/>
    <x v="2"/>
    <x v="15"/>
    <s v="Palmas"/>
    <x v="12"/>
    <n v="4500"/>
    <n v="4"/>
    <n v="18000"/>
    <n v="4500"/>
    <n v="0.25"/>
  </r>
  <r>
    <x v="4"/>
    <x v="1"/>
    <x v="99"/>
    <x v="2"/>
    <x v="15"/>
    <s v="Palmas"/>
    <x v="11"/>
    <n v="4600"/>
    <n v="3"/>
    <n v="13800"/>
    <n v="3450"/>
    <n v="0.25"/>
  </r>
  <r>
    <x v="3"/>
    <x v="1"/>
    <x v="100"/>
    <x v="2"/>
    <x v="15"/>
    <s v="Palmas"/>
    <x v="10"/>
    <n v="3200"/>
    <n v="4"/>
    <n v="12800"/>
    <n v="2560"/>
    <n v="0.2"/>
  </r>
  <r>
    <x v="4"/>
    <x v="1"/>
    <x v="101"/>
    <x v="2"/>
    <x v="15"/>
    <s v="Palmas"/>
    <x v="9"/>
    <n v="5300"/>
    <n v="15"/>
    <n v="26500"/>
    <n v="7950"/>
    <n v="0.3"/>
  </r>
  <r>
    <x v="3"/>
    <x v="0"/>
    <x v="102"/>
    <x v="2"/>
    <x v="15"/>
    <s v="Palmas"/>
    <x v="2"/>
    <n v="1200"/>
    <n v="20"/>
    <n v="8400"/>
    <n v="2520"/>
    <n v="0.3"/>
  </r>
  <r>
    <x v="0"/>
    <x v="0"/>
    <x v="103"/>
    <x v="2"/>
    <x v="15"/>
    <s v="Palmas"/>
    <x v="7"/>
    <n v="5340"/>
    <n v="10"/>
    <n v="53400"/>
    <n v="16020"/>
    <n v="0.3"/>
  </r>
  <r>
    <x v="2"/>
    <x v="0"/>
    <x v="104"/>
    <x v="2"/>
    <x v="16"/>
    <s v="Rio Branco"/>
    <x v="3"/>
    <n v="5130"/>
    <n v="8"/>
    <n v="41040"/>
    <n v="16416"/>
    <n v="0.4"/>
  </r>
  <r>
    <x v="0"/>
    <x v="1"/>
    <x v="76"/>
    <x v="2"/>
    <x v="16"/>
    <s v="Rio Branco"/>
    <x v="11"/>
    <n v="4600"/>
    <n v="15"/>
    <n v="23000"/>
    <n v="5750"/>
    <n v="0.25"/>
  </r>
  <r>
    <x v="4"/>
    <x v="1"/>
    <x v="105"/>
    <x v="2"/>
    <x v="16"/>
    <s v="Rio Branco"/>
    <x v="10"/>
    <n v="3200"/>
    <n v="3"/>
    <n v="9600"/>
    <n v="1920"/>
    <n v="0.2"/>
  </r>
  <r>
    <x v="0"/>
    <x v="1"/>
    <x v="0"/>
    <x v="2"/>
    <x v="16"/>
    <s v="Rio Branco"/>
    <x v="3"/>
    <n v="5130"/>
    <n v="6"/>
    <n v="30780"/>
    <n v="12312"/>
    <n v="0.4"/>
  </r>
  <r>
    <x v="0"/>
    <x v="0"/>
    <x v="90"/>
    <x v="2"/>
    <x v="16"/>
    <s v="Rio Branco"/>
    <x v="6"/>
    <n v="1500"/>
    <n v="6"/>
    <n v="9000"/>
    <n v="3600"/>
    <n v="0.4"/>
  </r>
  <r>
    <x v="0"/>
    <x v="0"/>
    <x v="91"/>
    <x v="2"/>
    <x v="16"/>
    <s v="Rio Branco"/>
    <x v="8"/>
    <n v="3400"/>
    <n v="8"/>
    <n v="27200"/>
    <n v="9520"/>
    <n v="0.35"/>
  </r>
  <r>
    <x v="1"/>
    <x v="1"/>
    <x v="92"/>
    <x v="2"/>
    <x v="16"/>
    <s v="Rio Branco"/>
    <x v="4"/>
    <n v="300"/>
    <n v="3"/>
    <n v="900"/>
    <n v="135"/>
    <n v="0.15"/>
  </r>
  <r>
    <x v="2"/>
    <x v="1"/>
    <x v="16"/>
    <x v="2"/>
    <x v="16"/>
    <s v="Rio Branco"/>
    <x v="5"/>
    <n v="1700"/>
    <n v="12"/>
    <n v="20400"/>
    <n v="10200"/>
    <n v="0.5"/>
  </r>
  <r>
    <x v="2"/>
    <x v="1"/>
    <x v="93"/>
    <x v="2"/>
    <x v="16"/>
    <s v="Rio Branco"/>
    <x v="5"/>
    <n v="1700"/>
    <n v="11"/>
    <n v="18700"/>
    <n v="9350"/>
    <n v="0.5"/>
  </r>
  <r>
    <x v="0"/>
    <x v="0"/>
    <x v="94"/>
    <x v="2"/>
    <x v="16"/>
    <s v="Rio Branco"/>
    <x v="9"/>
    <n v="5300"/>
    <n v="9"/>
    <n v="47700"/>
    <n v="14310"/>
    <n v="0.3"/>
  </r>
  <r>
    <x v="2"/>
    <x v="1"/>
    <x v="95"/>
    <x v="2"/>
    <x v="16"/>
    <s v="Rio Branco"/>
    <x v="6"/>
    <n v="1500"/>
    <n v="5"/>
    <n v="7500"/>
    <n v="3000"/>
    <n v="0.4"/>
  </r>
  <r>
    <x v="0"/>
    <x v="1"/>
    <x v="96"/>
    <x v="2"/>
    <x v="16"/>
    <s v="Rio Branco"/>
    <x v="5"/>
    <n v="1700"/>
    <n v="5"/>
    <n v="8500"/>
    <n v="4250"/>
    <n v="0.5"/>
  </r>
  <r>
    <x v="0"/>
    <x v="1"/>
    <x v="97"/>
    <x v="2"/>
    <x v="16"/>
    <s v="Rio Branco"/>
    <x v="11"/>
    <n v="4600"/>
    <n v="6"/>
    <n v="27600"/>
    <n v="6900"/>
    <n v="0.25"/>
  </r>
  <r>
    <x v="4"/>
    <x v="0"/>
    <x v="98"/>
    <x v="2"/>
    <x v="16"/>
    <s v="Rio Branco"/>
    <x v="11"/>
    <n v="4600"/>
    <n v="3"/>
    <n v="13800"/>
    <n v="3450"/>
    <n v="0.25"/>
  </r>
  <r>
    <x v="3"/>
    <x v="1"/>
    <x v="46"/>
    <x v="2"/>
    <x v="16"/>
    <s v="Rio Branco"/>
    <x v="12"/>
    <n v="4500"/>
    <n v="4"/>
    <n v="18000"/>
    <n v="4500"/>
    <n v="0.25"/>
  </r>
  <r>
    <x v="4"/>
    <x v="1"/>
    <x v="99"/>
    <x v="2"/>
    <x v="16"/>
    <s v="Rio Branco"/>
    <x v="11"/>
    <n v="4600"/>
    <n v="3"/>
    <n v="13800"/>
    <n v="3450"/>
    <n v="0.25"/>
  </r>
  <r>
    <x v="3"/>
    <x v="1"/>
    <x v="100"/>
    <x v="2"/>
    <x v="16"/>
    <s v="Rio Branco"/>
    <x v="10"/>
    <n v="3200"/>
    <n v="4"/>
    <n v="12800"/>
    <n v="2560"/>
    <n v="0.2"/>
  </r>
  <r>
    <x v="4"/>
    <x v="1"/>
    <x v="101"/>
    <x v="2"/>
    <x v="16"/>
    <s v="Rio Branco"/>
    <x v="9"/>
    <n v="5300"/>
    <n v="5"/>
    <n v="26500"/>
    <n v="7950"/>
    <n v="0.3"/>
  </r>
  <r>
    <x v="3"/>
    <x v="0"/>
    <x v="102"/>
    <x v="2"/>
    <x v="17"/>
    <s v="Boa Vista"/>
    <x v="2"/>
    <n v="1200"/>
    <n v="7"/>
    <n v="8400"/>
    <n v="2520"/>
    <n v="0.3"/>
  </r>
  <r>
    <x v="0"/>
    <x v="0"/>
    <x v="103"/>
    <x v="2"/>
    <x v="17"/>
    <s v="Boa Vista"/>
    <x v="7"/>
    <n v="5340"/>
    <n v="10"/>
    <n v="53400"/>
    <n v="16020"/>
    <n v="0.3"/>
  </r>
  <r>
    <x v="2"/>
    <x v="0"/>
    <x v="104"/>
    <x v="2"/>
    <x v="17"/>
    <s v="Boa Vista"/>
    <x v="3"/>
    <n v="5130"/>
    <n v="8"/>
    <n v="41040"/>
    <n v="16416"/>
    <n v="0.4"/>
  </r>
  <r>
    <x v="0"/>
    <x v="1"/>
    <x v="76"/>
    <x v="2"/>
    <x v="17"/>
    <s v="Boa Vista"/>
    <x v="11"/>
    <n v="4600"/>
    <n v="5"/>
    <n v="23000"/>
    <n v="5750"/>
    <n v="0.25"/>
  </r>
  <r>
    <x v="4"/>
    <x v="1"/>
    <x v="105"/>
    <x v="2"/>
    <x v="17"/>
    <s v="Boa Vista"/>
    <x v="10"/>
    <n v="3200"/>
    <n v="3"/>
    <n v="9600"/>
    <n v="1920"/>
    <n v="0.2"/>
  </r>
  <r>
    <x v="0"/>
    <x v="1"/>
    <x v="0"/>
    <x v="2"/>
    <x v="17"/>
    <s v="Boa Vista"/>
    <x v="3"/>
    <n v="5130"/>
    <n v="10"/>
    <n v="30780"/>
    <n v="12312"/>
    <n v="0.4"/>
  </r>
  <r>
    <x v="0"/>
    <x v="0"/>
    <x v="90"/>
    <x v="2"/>
    <x v="17"/>
    <s v="Boa Vista"/>
    <x v="6"/>
    <n v="1500"/>
    <n v="16"/>
    <n v="9000"/>
    <n v="3600"/>
    <n v="0.4"/>
  </r>
  <r>
    <x v="0"/>
    <x v="0"/>
    <x v="91"/>
    <x v="2"/>
    <x v="17"/>
    <s v="Boa Vista"/>
    <x v="8"/>
    <n v="3400"/>
    <n v="18"/>
    <n v="27200"/>
    <n v="9520"/>
    <n v="0.35"/>
  </r>
  <r>
    <x v="1"/>
    <x v="1"/>
    <x v="92"/>
    <x v="2"/>
    <x v="17"/>
    <s v="Boa Vista"/>
    <x v="4"/>
    <n v="300"/>
    <n v="13"/>
    <n v="900"/>
    <n v="135"/>
    <n v="0.15"/>
  </r>
  <r>
    <x v="2"/>
    <x v="1"/>
    <x v="16"/>
    <x v="2"/>
    <x v="18"/>
    <s v="Macapá"/>
    <x v="5"/>
    <n v="1700"/>
    <n v="20"/>
    <n v="20400"/>
    <n v="10200"/>
    <n v="0.5"/>
  </r>
  <r>
    <x v="2"/>
    <x v="1"/>
    <x v="93"/>
    <x v="2"/>
    <x v="18"/>
    <s v="Macapá"/>
    <x v="5"/>
    <n v="1700"/>
    <n v="21"/>
    <n v="18700"/>
    <n v="9350"/>
    <n v="0.5"/>
  </r>
  <r>
    <x v="0"/>
    <x v="0"/>
    <x v="94"/>
    <x v="2"/>
    <x v="18"/>
    <s v="Macapá"/>
    <x v="9"/>
    <n v="5300"/>
    <n v="19"/>
    <n v="47700"/>
    <n v="14310"/>
    <n v="0.3"/>
  </r>
  <r>
    <x v="2"/>
    <x v="1"/>
    <x v="95"/>
    <x v="2"/>
    <x v="18"/>
    <s v="Macapá"/>
    <x v="6"/>
    <n v="1500"/>
    <n v="14"/>
    <n v="7500"/>
    <n v="3000"/>
    <n v="0.4"/>
  </r>
  <r>
    <x v="0"/>
    <x v="1"/>
    <x v="96"/>
    <x v="2"/>
    <x v="18"/>
    <s v="Macapá"/>
    <x v="5"/>
    <n v="1700"/>
    <n v="5"/>
    <n v="8500"/>
    <n v="4250"/>
    <n v="0.5"/>
  </r>
  <r>
    <x v="0"/>
    <x v="1"/>
    <x v="97"/>
    <x v="2"/>
    <x v="18"/>
    <s v="Macapá"/>
    <x v="11"/>
    <n v="4600"/>
    <n v="6"/>
    <n v="27600"/>
    <n v="6900"/>
    <n v="0.25"/>
  </r>
  <r>
    <x v="4"/>
    <x v="0"/>
    <x v="98"/>
    <x v="2"/>
    <x v="18"/>
    <s v="Macapá"/>
    <x v="11"/>
    <n v="4600"/>
    <n v="3"/>
    <n v="13800"/>
    <n v="3450"/>
    <n v="0.25"/>
  </r>
  <r>
    <x v="3"/>
    <x v="1"/>
    <x v="46"/>
    <x v="2"/>
    <x v="18"/>
    <s v="Macapá"/>
    <x v="12"/>
    <n v="4500"/>
    <n v="4"/>
    <n v="18000"/>
    <n v="4500"/>
    <n v="0.25"/>
  </r>
  <r>
    <x v="4"/>
    <x v="1"/>
    <x v="99"/>
    <x v="2"/>
    <x v="18"/>
    <s v="Macapá"/>
    <x v="11"/>
    <n v="4600"/>
    <n v="3"/>
    <n v="13800"/>
    <n v="3450"/>
    <n v="0.25"/>
  </r>
  <r>
    <x v="3"/>
    <x v="1"/>
    <x v="100"/>
    <x v="2"/>
    <x v="19"/>
    <s v="Porto Velho"/>
    <x v="10"/>
    <n v="3200"/>
    <n v="4"/>
    <n v="12800"/>
    <n v="2560"/>
    <n v="0.2"/>
  </r>
  <r>
    <x v="4"/>
    <x v="1"/>
    <x v="101"/>
    <x v="2"/>
    <x v="19"/>
    <s v="Porto Velho"/>
    <x v="9"/>
    <n v="5300"/>
    <n v="15"/>
    <n v="26500"/>
    <n v="7950"/>
    <n v="0.3"/>
  </r>
  <r>
    <x v="3"/>
    <x v="0"/>
    <x v="102"/>
    <x v="2"/>
    <x v="19"/>
    <s v="Porto Velho"/>
    <x v="2"/>
    <n v="1200"/>
    <n v="20"/>
    <n v="8400"/>
    <n v="2520"/>
    <n v="0.3"/>
  </r>
  <r>
    <x v="0"/>
    <x v="0"/>
    <x v="103"/>
    <x v="2"/>
    <x v="19"/>
    <s v="Porto Velho"/>
    <x v="7"/>
    <n v="5340"/>
    <n v="10"/>
    <n v="53400"/>
    <n v="16020"/>
    <n v="0.3"/>
  </r>
  <r>
    <x v="2"/>
    <x v="0"/>
    <x v="104"/>
    <x v="2"/>
    <x v="19"/>
    <s v="Porto Velho"/>
    <x v="3"/>
    <n v="5130"/>
    <n v="8"/>
    <n v="41040"/>
    <n v="16416"/>
    <n v="0.4"/>
  </r>
  <r>
    <x v="0"/>
    <x v="1"/>
    <x v="76"/>
    <x v="2"/>
    <x v="19"/>
    <s v="Porto Velho"/>
    <x v="11"/>
    <n v="4600"/>
    <n v="15"/>
    <n v="23000"/>
    <n v="5750"/>
    <n v="0.25"/>
  </r>
  <r>
    <x v="4"/>
    <x v="1"/>
    <x v="105"/>
    <x v="2"/>
    <x v="19"/>
    <s v="Porto Velho"/>
    <x v="10"/>
    <n v="3200"/>
    <n v="3"/>
    <n v="9600"/>
    <n v="1920"/>
    <n v="0.2"/>
  </r>
  <r>
    <x v="1"/>
    <x v="0"/>
    <x v="0"/>
    <x v="3"/>
    <x v="20"/>
    <s v="Belo Horizonte"/>
    <x v="4"/>
    <n v="300"/>
    <n v="7"/>
    <n v="2100"/>
    <n v="315"/>
    <n v="0.15"/>
  </r>
  <r>
    <x v="1"/>
    <x v="0"/>
    <x v="1"/>
    <x v="3"/>
    <x v="20"/>
    <s v="Belo Horizonte"/>
    <x v="6"/>
    <n v="1500"/>
    <n v="10"/>
    <n v="15000"/>
    <n v="6000"/>
    <n v="0.4"/>
  </r>
  <r>
    <x v="4"/>
    <x v="0"/>
    <x v="2"/>
    <x v="3"/>
    <x v="21"/>
    <s v="Vitória"/>
    <x v="4"/>
    <n v="300"/>
    <n v="11"/>
    <n v="3300"/>
    <n v="495"/>
    <n v="0.15"/>
  </r>
  <r>
    <x v="0"/>
    <x v="1"/>
    <x v="3"/>
    <x v="3"/>
    <x v="20"/>
    <s v="Belo Horizonte"/>
    <x v="3"/>
    <n v="5130"/>
    <n v="9"/>
    <n v="46170"/>
    <n v="18468"/>
    <n v="0.4"/>
  </r>
  <r>
    <x v="3"/>
    <x v="1"/>
    <x v="4"/>
    <x v="3"/>
    <x v="20"/>
    <s v="Belo Horizonte"/>
    <x v="3"/>
    <n v="5130"/>
    <n v="4"/>
    <n v="20520"/>
    <n v="8208"/>
    <n v="0.4"/>
  </r>
  <r>
    <x v="3"/>
    <x v="0"/>
    <x v="5"/>
    <x v="3"/>
    <x v="20"/>
    <s v="Belo Horizonte"/>
    <x v="5"/>
    <n v="1700"/>
    <n v="8"/>
    <n v="13600"/>
    <n v="6800"/>
    <n v="0.5"/>
  </r>
  <r>
    <x v="3"/>
    <x v="1"/>
    <x v="6"/>
    <x v="3"/>
    <x v="20"/>
    <s v="Belo Horizonte"/>
    <x v="12"/>
    <n v="4500"/>
    <n v="9"/>
    <n v="40500"/>
    <n v="10125"/>
    <n v="0.25"/>
  </r>
  <r>
    <x v="0"/>
    <x v="0"/>
    <x v="7"/>
    <x v="3"/>
    <x v="20"/>
    <s v="Belo Horizonte"/>
    <x v="10"/>
    <n v="3200"/>
    <n v="9"/>
    <n v="28800"/>
    <n v="5760"/>
    <n v="0.2"/>
  </r>
  <r>
    <x v="0"/>
    <x v="0"/>
    <x v="8"/>
    <x v="3"/>
    <x v="20"/>
    <s v="Belo Horizonte"/>
    <x v="10"/>
    <n v="3200"/>
    <n v="2"/>
    <n v="6400"/>
    <n v="1280"/>
    <n v="0.2"/>
  </r>
  <r>
    <x v="0"/>
    <x v="0"/>
    <x v="9"/>
    <x v="3"/>
    <x v="20"/>
    <s v="Belo Horizonte"/>
    <x v="0"/>
    <n v="8902"/>
    <n v="6"/>
    <n v="53412"/>
    <n v="18694.199999999997"/>
    <n v="0.35"/>
  </r>
  <r>
    <x v="0"/>
    <x v="1"/>
    <x v="10"/>
    <x v="3"/>
    <x v="20"/>
    <s v="Belo Horizonte"/>
    <x v="8"/>
    <n v="3400"/>
    <n v="11"/>
    <n v="37400"/>
    <n v="13090"/>
    <n v="0.35"/>
  </r>
  <r>
    <x v="0"/>
    <x v="1"/>
    <x v="11"/>
    <x v="3"/>
    <x v="20"/>
    <s v="Belo Horizonte"/>
    <x v="0"/>
    <n v="8902"/>
    <n v="6"/>
    <n v="53412"/>
    <n v="18694.199999999997"/>
    <n v="0.35"/>
  </r>
  <r>
    <x v="0"/>
    <x v="0"/>
    <x v="12"/>
    <x v="3"/>
    <x v="20"/>
    <s v="Belo Horizonte"/>
    <x v="10"/>
    <n v="3200"/>
    <n v="9"/>
    <n v="28800"/>
    <n v="5760"/>
    <n v="0.2"/>
  </r>
  <r>
    <x v="2"/>
    <x v="1"/>
    <x v="13"/>
    <x v="3"/>
    <x v="20"/>
    <s v="Belo Horizonte"/>
    <x v="10"/>
    <n v="3200"/>
    <n v="12"/>
    <n v="38400"/>
    <n v="7680"/>
    <n v="0.2"/>
  </r>
  <r>
    <x v="3"/>
    <x v="0"/>
    <x v="14"/>
    <x v="3"/>
    <x v="20"/>
    <s v="Belo Horizonte"/>
    <x v="12"/>
    <n v="4500"/>
    <n v="1"/>
    <n v="4500"/>
    <n v="1125"/>
    <n v="0.25"/>
  </r>
  <r>
    <x v="0"/>
    <x v="1"/>
    <x v="15"/>
    <x v="3"/>
    <x v="20"/>
    <s v="Belo Horizonte"/>
    <x v="2"/>
    <n v="1200"/>
    <n v="10"/>
    <n v="12000"/>
    <n v="3600"/>
    <n v="0.3"/>
  </r>
  <r>
    <x v="3"/>
    <x v="0"/>
    <x v="16"/>
    <x v="3"/>
    <x v="20"/>
    <s v="Belo Horizonte"/>
    <x v="3"/>
    <n v="5130"/>
    <n v="5"/>
    <n v="25650"/>
    <n v="10260"/>
    <n v="0.4"/>
  </r>
  <r>
    <x v="0"/>
    <x v="1"/>
    <x v="17"/>
    <x v="3"/>
    <x v="20"/>
    <s v="Belo Horizonte"/>
    <x v="4"/>
    <n v="300"/>
    <n v="4"/>
    <n v="1200"/>
    <n v="180"/>
    <n v="0.15"/>
  </r>
  <r>
    <x v="0"/>
    <x v="1"/>
    <x v="18"/>
    <x v="3"/>
    <x v="20"/>
    <s v="Belo Horizonte"/>
    <x v="7"/>
    <n v="5340"/>
    <n v="9"/>
    <n v="48060"/>
    <n v="14418"/>
    <n v="0.3"/>
  </r>
  <r>
    <x v="3"/>
    <x v="0"/>
    <x v="19"/>
    <x v="3"/>
    <x v="20"/>
    <s v="Belo Horizonte"/>
    <x v="12"/>
    <n v="4500"/>
    <n v="2"/>
    <n v="9000"/>
    <n v="2250"/>
    <n v="0.25"/>
  </r>
  <r>
    <x v="1"/>
    <x v="1"/>
    <x v="20"/>
    <x v="3"/>
    <x v="20"/>
    <s v="Belo Horizonte"/>
    <x v="4"/>
    <n v="300"/>
    <n v="11"/>
    <n v="3300"/>
    <n v="495"/>
    <n v="0.15"/>
  </r>
  <r>
    <x v="2"/>
    <x v="0"/>
    <x v="21"/>
    <x v="3"/>
    <x v="20"/>
    <s v="Belo Horizonte"/>
    <x v="2"/>
    <n v="1200"/>
    <n v="9"/>
    <n v="10800"/>
    <n v="3240"/>
    <n v="0.3"/>
  </r>
  <r>
    <x v="4"/>
    <x v="1"/>
    <x v="22"/>
    <x v="3"/>
    <x v="20"/>
    <s v="Belo Horizonte"/>
    <x v="4"/>
    <n v="300"/>
    <n v="9"/>
    <n v="2700"/>
    <n v="405"/>
    <n v="0.15"/>
  </r>
  <r>
    <x v="0"/>
    <x v="1"/>
    <x v="23"/>
    <x v="3"/>
    <x v="20"/>
    <s v="Belo Horizonte"/>
    <x v="0"/>
    <n v="8902"/>
    <n v="10"/>
    <n v="89020"/>
    <n v="31156.999999999996"/>
    <n v="0.35"/>
  </r>
  <r>
    <x v="0"/>
    <x v="1"/>
    <x v="24"/>
    <x v="3"/>
    <x v="20"/>
    <s v="Belo Horizonte"/>
    <x v="4"/>
    <n v="300"/>
    <n v="12"/>
    <n v="3600"/>
    <n v="540"/>
    <n v="0.15"/>
  </r>
  <r>
    <x v="0"/>
    <x v="1"/>
    <x v="25"/>
    <x v="3"/>
    <x v="20"/>
    <s v="Belo Horizonte"/>
    <x v="12"/>
    <n v="4500"/>
    <n v="1"/>
    <n v="4500"/>
    <n v="1125"/>
    <n v="0.25"/>
  </r>
  <r>
    <x v="0"/>
    <x v="1"/>
    <x v="26"/>
    <x v="3"/>
    <x v="20"/>
    <s v="Belo Horizonte"/>
    <x v="1"/>
    <n v="500"/>
    <n v="4"/>
    <n v="2000"/>
    <n v="500"/>
    <n v="0.25"/>
  </r>
  <r>
    <x v="1"/>
    <x v="0"/>
    <x v="27"/>
    <x v="3"/>
    <x v="20"/>
    <s v="Belo Horizonte"/>
    <x v="8"/>
    <n v="3400"/>
    <n v="5"/>
    <n v="17000"/>
    <n v="5950"/>
    <n v="0.35"/>
  </r>
  <r>
    <x v="3"/>
    <x v="1"/>
    <x v="28"/>
    <x v="3"/>
    <x v="20"/>
    <s v="Belo Horizonte"/>
    <x v="5"/>
    <n v="1700"/>
    <n v="7"/>
    <n v="11900"/>
    <n v="5950"/>
    <n v="0.5"/>
  </r>
  <r>
    <x v="3"/>
    <x v="0"/>
    <x v="28"/>
    <x v="3"/>
    <x v="21"/>
    <s v="Vitória"/>
    <x v="2"/>
    <n v="1200"/>
    <n v="11"/>
    <n v="13200"/>
    <n v="3960"/>
    <n v="0.3"/>
  </r>
  <r>
    <x v="2"/>
    <x v="0"/>
    <x v="29"/>
    <x v="3"/>
    <x v="20"/>
    <s v="Belo Horizonte"/>
    <x v="1"/>
    <n v="500"/>
    <n v="12"/>
    <n v="6000"/>
    <n v="1500"/>
    <n v="0.25"/>
  </r>
  <r>
    <x v="0"/>
    <x v="0"/>
    <x v="30"/>
    <x v="3"/>
    <x v="21"/>
    <s v="Vitória"/>
    <x v="0"/>
    <n v="8902"/>
    <n v="10"/>
    <n v="89020"/>
    <n v="31156.999999999996"/>
    <n v="0.35"/>
  </r>
  <r>
    <x v="0"/>
    <x v="1"/>
    <x v="31"/>
    <x v="3"/>
    <x v="21"/>
    <s v="Vitória"/>
    <x v="0"/>
    <n v="8902"/>
    <n v="6"/>
    <n v="53412"/>
    <n v="18694.199999999997"/>
    <n v="0.35"/>
  </r>
  <r>
    <x v="3"/>
    <x v="1"/>
    <x v="32"/>
    <x v="3"/>
    <x v="20"/>
    <s v="Belo Horizonte"/>
    <x v="8"/>
    <n v="3400"/>
    <n v="10"/>
    <n v="34000"/>
    <n v="11900"/>
    <n v="0.35"/>
  </r>
  <r>
    <x v="3"/>
    <x v="1"/>
    <x v="33"/>
    <x v="3"/>
    <x v="20"/>
    <s v="Belo Horizonte"/>
    <x v="2"/>
    <n v="1200"/>
    <n v="8"/>
    <n v="9600"/>
    <n v="2880"/>
    <n v="0.3"/>
  </r>
  <r>
    <x v="0"/>
    <x v="1"/>
    <x v="34"/>
    <x v="3"/>
    <x v="20"/>
    <s v="Belo Horizonte"/>
    <x v="11"/>
    <n v="4600"/>
    <n v="1"/>
    <n v="4600"/>
    <n v="1150"/>
    <n v="0.25"/>
  </r>
  <r>
    <x v="0"/>
    <x v="1"/>
    <x v="35"/>
    <x v="3"/>
    <x v="20"/>
    <s v="Belo Horizonte"/>
    <x v="11"/>
    <n v="4600"/>
    <n v="4"/>
    <n v="18400"/>
    <n v="4600"/>
    <n v="0.25"/>
  </r>
  <r>
    <x v="3"/>
    <x v="1"/>
    <x v="36"/>
    <x v="3"/>
    <x v="20"/>
    <s v="Belo Horizonte"/>
    <x v="3"/>
    <n v="5130"/>
    <n v="4"/>
    <n v="20520"/>
    <n v="8208"/>
    <n v="0.4"/>
  </r>
  <r>
    <x v="3"/>
    <x v="0"/>
    <x v="37"/>
    <x v="3"/>
    <x v="20"/>
    <s v="Belo Horizonte"/>
    <x v="4"/>
    <n v="300"/>
    <n v="1"/>
    <n v="300"/>
    <n v="45"/>
    <n v="0.15"/>
  </r>
  <r>
    <x v="0"/>
    <x v="0"/>
    <x v="38"/>
    <x v="3"/>
    <x v="20"/>
    <s v="Belo Horizonte"/>
    <x v="11"/>
    <n v="4600"/>
    <n v="5"/>
    <n v="23000"/>
    <n v="5750"/>
    <n v="0.25"/>
  </r>
  <r>
    <x v="2"/>
    <x v="1"/>
    <x v="39"/>
    <x v="3"/>
    <x v="20"/>
    <s v="Belo Horizonte"/>
    <x v="1"/>
    <n v="500"/>
    <n v="8"/>
    <n v="4000"/>
    <n v="1000"/>
    <n v="0.25"/>
  </r>
  <r>
    <x v="0"/>
    <x v="1"/>
    <x v="40"/>
    <x v="3"/>
    <x v="20"/>
    <s v="Belo Horizonte"/>
    <x v="6"/>
    <n v="1500"/>
    <n v="3"/>
    <n v="4500"/>
    <n v="1800"/>
    <n v="0.4"/>
  </r>
  <r>
    <x v="0"/>
    <x v="1"/>
    <x v="41"/>
    <x v="3"/>
    <x v="20"/>
    <s v="Belo Horizonte"/>
    <x v="6"/>
    <n v="1500"/>
    <n v="1"/>
    <n v="1500"/>
    <n v="600"/>
    <n v="0.4"/>
  </r>
  <r>
    <x v="0"/>
    <x v="1"/>
    <x v="42"/>
    <x v="3"/>
    <x v="20"/>
    <s v="Belo Horizonte"/>
    <x v="1"/>
    <n v="500"/>
    <n v="11"/>
    <n v="5500"/>
    <n v="1375"/>
    <n v="0.25"/>
  </r>
  <r>
    <x v="0"/>
    <x v="1"/>
    <x v="43"/>
    <x v="3"/>
    <x v="20"/>
    <s v="Belo Horizonte"/>
    <x v="5"/>
    <n v="1700"/>
    <n v="12"/>
    <n v="20400"/>
    <n v="10200"/>
    <n v="0.5"/>
  </r>
  <r>
    <x v="2"/>
    <x v="0"/>
    <x v="44"/>
    <x v="3"/>
    <x v="20"/>
    <s v="Belo Horizonte"/>
    <x v="2"/>
    <n v="1200"/>
    <n v="4"/>
    <n v="4800"/>
    <n v="1440"/>
    <n v="0.3"/>
  </r>
  <r>
    <x v="0"/>
    <x v="1"/>
    <x v="45"/>
    <x v="3"/>
    <x v="20"/>
    <s v="Belo Horizonte"/>
    <x v="8"/>
    <n v="3400"/>
    <n v="1"/>
    <n v="3400"/>
    <n v="1190"/>
    <n v="0.35"/>
  </r>
  <r>
    <x v="1"/>
    <x v="1"/>
    <x v="46"/>
    <x v="3"/>
    <x v="20"/>
    <s v="Belo Horizonte"/>
    <x v="10"/>
    <n v="3200"/>
    <n v="10"/>
    <n v="32000"/>
    <n v="6400"/>
    <n v="0.2"/>
  </r>
  <r>
    <x v="3"/>
    <x v="1"/>
    <x v="47"/>
    <x v="3"/>
    <x v="20"/>
    <s v="Belo Horizonte"/>
    <x v="4"/>
    <n v="300"/>
    <n v="7"/>
    <n v="2100"/>
    <n v="315"/>
    <n v="0.15"/>
  </r>
  <r>
    <x v="3"/>
    <x v="1"/>
    <x v="48"/>
    <x v="3"/>
    <x v="20"/>
    <s v="Belo Horizonte"/>
    <x v="2"/>
    <n v="1200"/>
    <n v="5"/>
    <n v="6000"/>
    <n v="1800"/>
    <n v="0.3"/>
  </r>
  <r>
    <x v="4"/>
    <x v="1"/>
    <x v="49"/>
    <x v="3"/>
    <x v="20"/>
    <s v="Belo Horizonte"/>
    <x v="12"/>
    <n v="4500"/>
    <n v="3"/>
    <n v="13500"/>
    <n v="3375"/>
    <n v="0.25"/>
  </r>
  <r>
    <x v="1"/>
    <x v="0"/>
    <x v="50"/>
    <x v="3"/>
    <x v="20"/>
    <s v="Belo Horizonte"/>
    <x v="7"/>
    <n v="5340"/>
    <n v="5"/>
    <n v="26700"/>
    <n v="8010"/>
    <n v="0.3"/>
  </r>
  <r>
    <x v="2"/>
    <x v="0"/>
    <x v="51"/>
    <x v="3"/>
    <x v="20"/>
    <s v="Belo Horizonte"/>
    <x v="4"/>
    <n v="300"/>
    <n v="8"/>
    <n v="2400"/>
    <n v="360"/>
    <n v="0.15"/>
  </r>
  <r>
    <x v="3"/>
    <x v="1"/>
    <x v="52"/>
    <x v="3"/>
    <x v="20"/>
    <s v="Belo Horizonte"/>
    <x v="10"/>
    <n v="3200"/>
    <n v="6"/>
    <n v="19200"/>
    <n v="3840"/>
    <n v="0.2"/>
  </r>
  <r>
    <x v="3"/>
    <x v="0"/>
    <x v="53"/>
    <x v="3"/>
    <x v="20"/>
    <s v="Belo Horizonte"/>
    <x v="9"/>
    <n v="5300"/>
    <n v="8"/>
    <n v="42400"/>
    <n v="12720"/>
    <n v="0.3"/>
  </r>
  <r>
    <x v="0"/>
    <x v="1"/>
    <x v="54"/>
    <x v="3"/>
    <x v="20"/>
    <s v="Belo Horizonte"/>
    <x v="3"/>
    <n v="5130"/>
    <n v="4"/>
    <n v="20520"/>
    <n v="8208"/>
    <n v="0.4"/>
  </r>
  <r>
    <x v="1"/>
    <x v="1"/>
    <x v="55"/>
    <x v="3"/>
    <x v="20"/>
    <s v="Belo Horizonte"/>
    <x v="6"/>
    <n v="1500"/>
    <n v="7"/>
    <n v="10500"/>
    <n v="4200"/>
    <n v="0.4"/>
  </r>
  <r>
    <x v="0"/>
    <x v="1"/>
    <x v="56"/>
    <x v="3"/>
    <x v="20"/>
    <s v="Belo Horizonte"/>
    <x v="0"/>
    <n v="8902"/>
    <n v="2"/>
    <n v="17804"/>
    <n v="6231.4"/>
    <n v="0.35"/>
  </r>
  <r>
    <x v="1"/>
    <x v="1"/>
    <x v="57"/>
    <x v="3"/>
    <x v="20"/>
    <s v="Belo Horizonte"/>
    <x v="3"/>
    <n v="5130"/>
    <n v="9"/>
    <n v="46170"/>
    <n v="18468"/>
    <n v="0.4"/>
  </r>
  <r>
    <x v="1"/>
    <x v="0"/>
    <x v="58"/>
    <x v="3"/>
    <x v="20"/>
    <s v="Belo Horizonte"/>
    <x v="9"/>
    <n v="5300"/>
    <n v="1"/>
    <n v="5300"/>
    <n v="1590"/>
    <n v="0.3"/>
  </r>
  <r>
    <x v="0"/>
    <x v="1"/>
    <x v="59"/>
    <x v="3"/>
    <x v="20"/>
    <s v="Belo Horizonte"/>
    <x v="1"/>
    <n v="500"/>
    <n v="3"/>
    <n v="1500"/>
    <n v="375"/>
    <n v="0.25"/>
  </r>
  <r>
    <x v="0"/>
    <x v="0"/>
    <x v="60"/>
    <x v="3"/>
    <x v="20"/>
    <s v="Belo Horizonte"/>
    <x v="11"/>
    <n v="4600"/>
    <n v="11"/>
    <n v="50600"/>
    <n v="12650"/>
    <n v="0.25"/>
  </r>
  <r>
    <x v="0"/>
    <x v="1"/>
    <x v="61"/>
    <x v="3"/>
    <x v="20"/>
    <s v="Belo Horizonte"/>
    <x v="12"/>
    <n v="4500"/>
    <n v="10"/>
    <n v="45000"/>
    <n v="11250"/>
    <n v="0.25"/>
  </r>
  <r>
    <x v="0"/>
    <x v="1"/>
    <x v="62"/>
    <x v="3"/>
    <x v="20"/>
    <s v="Belo Horizonte"/>
    <x v="6"/>
    <n v="1500"/>
    <n v="2"/>
    <n v="3000"/>
    <n v="1200"/>
    <n v="0.4"/>
  </r>
  <r>
    <x v="1"/>
    <x v="1"/>
    <x v="63"/>
    <x v="3"/>
    <x v="20"/>
    <s v="Belo Horizonte"/>
    <x v="3"/>
    <n v="5130"/>
    <n v="7"/>
    <n v="35910"/>
    <n v="14364"/>
    <n v="0.4"/>
  </r>
  <r>
    <x v="3"/>
    <x v="0"/>
    <x v="64"/>
    <x v="3"/>
    <x v="20"/>
    <s v="Belo Horizonte"/>
    <x v="9"/>
    <n v="5300"/>
    <n v="9"/>
    <n v="47700"/>
    <n v="14310"/>
    <n v="0.3"/>
  </r>
  <r>
    <x v="0"/>
    <x v="1"/>
    <x v="65"/>
    <x v="3"/>
    <x v="20"/>
    <s v="Belo Horizonte"/>
    <x v="0"/>
    <n v="8902"/>
    <n v="3"/>
    <n v="26706"/>
    <n v="9347.0999999999985"/>
    <n v="0.35"/>
  </r>
  <r>
    <x v="0"/>
    <x v="1"/>
    <x v="66"/>
    <x v="3"/>
    <x v="20"/>
    <s v="Belo Horizonte"/>
    <x v="11"/>
    <n v="4600"/>
    <n v="1"/>
    <n v="4600"/>
    <n v="1150"/>
    <n v="0.25"/>
  </r>
  <r>
    <x v="0"/>
    <x v="1"/>
    <x v="67"/>
    <x v="3"/>
    <x v="20"/>
    <s v="Belo Horizonte"/>
    <x v="7"/>
    <n v="5340"/>
    <n v="6"/>
    <n v="32040"/>
    <n v="9612"/>
    <n v="0.3"/>
  </r>
  <r>
    <x v="0"/>
    <x v="0"/>
    <x v="68"/>
    <x v="3"/>
    <x v="20"/>
    <s v="Belo Horizonte"/>
    <x v="3"/>
    <n v="5130"/>
    <n v="4"/>
    <n v="20520"/>
    <n v="8208"/>
    <n v="0.4"/>
  </r>
  <r>
    <x v="0"/>
    <x v="1"/>
    <x v="69"/>
    <x v="3"/>
    <x v="20"/>
    <s v="Belo Horizonte"/>
    <x v="3"/>
    <n v="5130"/>
    <n v="12"/>
    <n v="61560"/>
    <n v="24624"/>
    <n v="0.4"/>
  </r>
  <r>
    <x v="2"/>
    <x v="1"/>
    <x v="70"/>
    <x v="3"/>
    <x v="20"/>
    <s v="Belo Horizonte"/>
    <x v="4"/>
    <n v="300"/>
    <n v="9"/>
    <n v="2700"/>
    <n v="405"/>
    <n v="0.15"/>
  </r>
  <r>
    <x v="1"/>
    <x v="1"/>
    <x v="71"/>
    <x v="3"/>
    <x v="20"/>
    <s v="Belo Horizonte"/>
    <x v="9"/>
    <n v="5300"/>
    <n v="11"/>
    <n v="58300"/>
    <n v="17490"/>
    <n v="0.3"/>
  </r>
  <r>
    <x v="0"/>
    <x v="0"/>
    <x v="72"/>
    <x v="3"/>
    <x v="20"/>
    <s v="Belo Horizonte"/>
    <x v="4"/>
    <n v="300"/>
    <n v="2"/>
    <n v="600"/>
    <n v="90"/>
    <n v="0.15"/>
  </r>
  <r>
    <x v="3"/>
    <x v="1"/>
    <x v="73"/>
    <x v="3"/>
    <x v="20"/>
    <s v="Belo Horizonte"/>
    <x v="10"/>
    <n v="3200"/>
    <n v="10"/>
    <n v="32000"/>
    <n v="6400"/>
    <n v="0.2"/>
  </r>
  <r>
    <x v="0"/>
    <x v="1"/>
    <x v="74"/>
    <x v="3"/>
    <x v="20"/>
    <s v="Belo Horizonte"/>
    <x v="7"/>
    <n v="5340"/>
    <n v="3"/>
    <n v="16020"/>
    <n v="4806"/>
    <n v="0.3"/>
  </r>
  <r>
    <x v="2"/>
    <x v="1"/>
    <x v="75"/>
    <x v="3"/>
    <x v="20"/>
    <s v="Belo Horizonte"/>
    <x v="10"/>
    <n v="3200"/>
    <n v="20"/>
    <n v="64000"/>
    <n v="12800"/>
    <n v="0.2"/>
  </r>
  <r>
    <x v="0"/>
    <x v="0"/>
    <x v="76"/>
    <x v="3"/>
    <x v="20"/>
    <s v="Belo Horizonte"/>
    <x v="11"/>
    <n v="4600"/>
    <n v="10"/>
    <n v="46000"/>
    <n v="11500"/>
    <n v="0.25"/>
  </r>
  <r>
    <x v="4"/>
    <x v="0"/>
    <x v="77"/>
    <x v="3"/>
    <x v="20"/>
    <s v="Belo Horizonte"/>
    <x v="9"/>
    <n v="5300"/>
    <n v="12"/>
    <n v="63600"/>
    <n v="19080"/>
    <n v="0.3"/>
  </r>
  <r>
    <x v="0"/>
    <x v="1"/>
    <x v="78"/>
    <x v="3"/>
    <x v="20"/>
    <s v="Belo Horizonte"/>
    <x v="2"/>
    <n v="1200"/>
    <n v="8"/>
    <n v="9600"/>
    <n v="2880"/>
    <n v="0.3"/>
  </r>
  <r>
    <x v="3"/>
    <x v="0"/>
    <x v="79"/>
    <x v="3"/>
    <x v="20"/>
    <s v="Belo Horizonte"/>
    <x v="9"/>
    <n v="5300"/>
    <n v="11"/>
    <n v="58300"/>
    <n v="17490"/>
    <n v="0.3"/>
  </r>
  <r>
    <x v="0"/>
    <x v="1"/>
    <x v="80"/>
    <x v="3"/>
    <x v="20"/>
    <s v="Belo Horizonte"/>
    <x v="9"/>
    <n v="5300"/>
    <n v="9"/>
    <n v="47700"/>
    <n v="14310"/>
    <n v="0.3"/>
  </r>
  <r>
    <x v="4"/>
    <x v="1"/>
    <x v="81"/>
    <x v="3"/>
    <x v="20"/>
    <s v="Belo Horizonte"/>
    <x v="4"/>
    <n v="300"/>
    <n v="5"/>
    <n v="1500"/>
    <n v="225"/>
    <n v="0.15"/>
  </r>
  <r>
    <x v="4"/>
    <x v="0"/>
    <x v="82"/>
    <x v="3"/>
    <x v="20"/>
    <s v="Belo Horizonte"/>
    <x v="0"/>
    <n v="8902"/>
    <n v="8"/>
    <n v="71216"/>
    <n v="24925.599999999999"/>
    <n v="0.35"/>
  </r>
  <r>
    <x v="1"/>
    <x v="1"/>
    <x v="83"/>
    <x v="3"/>
    <x v="20"/>
    <s v="Belo Horizonte"/>
    <x v="8"/>
    <n v="3400"/>
    <n v="6"/>
    <n v="20400"/>
    <n v="7140"/>
    <n v="0.35"/>
  </r>
  <r>
    <x v="2"/>
    <x v="1"/>
    <x v="84"/>
    <x v="3"/>
    <x v="20"/>
    <s v="Belo Horizonte"/>
    <x v="6"/>
    <n v="1500"/>
    <n v="11"/>
    <n v="16500"/>
    <n v="6600"/>
    <n v="0.4"/>
  </r>
  <r>
    <x v="0"/>
    <x v="1"/>
    <x v="85"/>
    <x v="3"/>
    <x v="20"/>
    <s v="Belo Horizonte"/>
    <x v="8"/>
    <n v="3400"/>
    <n v="7"/>
    <n v="23800"/>
    <n v="8330"/>
    <n v="0.35"/>
  </r>
  <r>
    <x v="0"/>
    <x v="1"/>
    <x v="0"/>
    <x v="3"/>
    <x v="22"/>
    <s v="Rio de Janeiro"/>
    <x v="2"/>
    <n v="1200"/>
    <n v="2"/>
    <n v="2400"/>
    <n v="720"/>
    <n v="0.3"/>
  </r>
  <r>
    <x v="2"/>
    <x v="1"/>
    <x v="0"/>
    <x v="3"/>
    <x v="22"/>
    <s v="Rio de Janeiro"/>
    <x v="10"/>
    <n v="3200"/>
    <n v="6"/>
    <n v="19200"/>
    <n v="3840"/>
    <n v="0.2"/>
  </r>
  <r>
    <x v="3"/>
    <x v="1"/>
    <x v="0"/>
    <x v="3"/>
    <x v="22"/>
    <s v="Rio de Janeiro"/>
    <x v="8"/>
    <n v="3400"/>
    <n v="6"/>
    <n v="20400"/>
    <n v="7140"/>
    <n v="0.35"/>
  </r>
  <r>
    <x v="1"/>
    <x v="0"/>
    <x v="1"/>
    <x v="3"/>
    <x v="22"/>
    <s v="Rio de Janeiro"/>
    <x v="3"/>
    <n v="5130"/>
    <n v="4"/>
    <n v="20520"/>
    <n v="8208"/>
    <n v="0.4"/>
  </r>
  <r>
    <x v="2"/>
    <x v="1"/>
    <x v="1"/>
    <x v="3"/>
    <x v="22"/>
    <s v="Rio de Janeiro"/>
    <x v="8"/>
    <n v="3400"/>
    <n v="8"/>
    <n v="27200"/>
    <n v="9520"/>
    <n v="0.35"/>
  </r>
  <r>
    <x v="2"/>
    <x v="1"/>
    <x v="1"/>
    <x v="3"/>
    <x v="22"/>
    <s v="Rio de Janeiro"/>
    <x v="8"/>
    <n v="3400"/>
    <n v="8"/>
    <n v="27200"/>
    <n v="9520"/>
    <n v="0.35"/>
  </r>
  <r>
    <x v="2"/>
    <x v="0"/>
    <x v="2"/>
    <x v="3"/>
    <x v="22"/>
    <s v="Rio de Janeiro"/>
    <x v="2"/>
    <n v="1200"/>
    <n v="12"/>
    <n v="14400"/>
    <n v="4320"/>
    <n v="0.3"/>
  </r>
  <r>
    <x v="0"/>
    <x v="0"/>
    <x v="2"/>
    <x v="3"/>
    <x v="22"/>
    <s v="Rio de Janeiro"/>
    <x v="9"/>
    <n v="5300"/>
    <n v="4"/>
    <n v="21200"/>
    <n v="6360"/>
    <n v="0.3"/>
  </r>
  <r>
    <x v="3"/>
    <x v="1"/>
    <x v="2"/>
    <x v="3"/>
    <x v="22"/>
    <s v="Rio de Janeiro"/>
    <x v="9"/>
    <n v="5300"/>
    <n v="9"/>
    <n v="47700"/>
    <n v="14310"/>
    <n v="0.3"/>
  </r>
  <r>
    <x v="2"/>
    <x v="0"/>
    <x v="3"/>
    <x v="3"/>
    <x v="22"/>
    <s v="Rio de Janeiro"/>
    <x v="5"/>
    <n v="1700"/>
    <n v="6"/>
    <n v="10200"/>
    <n v="5100"/>
    <n v="0.5"/>
  </r>
  <r>
    <x v="0"/>
    <x v="0"/>
    <x v="3"/>
    <x v="3"/>
    <x v="22"/>
    <s v="Rio de Janeiro"/>
    <x v="12"/>
    <n v="4500"/>
    <n v="6"/>
    <n v="27000"/>
    <n v="6750"/>
    <n v="0.25"/>
  </r>
  <r>
    <x v="3"/>
    <x v="0"/>
    <x v="3"/>
    <x v="3"/>
    <x v="22"/>
    <s v="Rio de Janeiro"/>
    <x v="10"/>
    <n v="3200"/>
    <n v="11"/>
    <n v="35200"/>
    <n v="7040"/>
    <n v="0.2"/>
  </r>
  <r>
    <x v="2"/>
    <x v="0"/>
    <x v="4"/>
    <x v="3"/>
    <x v="22"/>
    <s v="Rio de Janeiro"/>
    <x v="1"/>
    <n v="500"/>
    <n v="6"/>
    <n v="3000"/>
    <n v="750"/>
    <n v="0.25"/>
  </r>
  <r>
    <x v="3"/>
    <x v="1"/>
    <x v="4"/>
    <x v="3"/>
    <x v="22"/>
    <s v="Rio de Janeiro"/>
    <x v="3"/>
    <n v="5130"/>
    <n v="4"/>
    <n v="20520"/>
    <n v="8208"/>
    <n v="0.4"/>
  </r>
  <r>
    <x v="2"/>
    <x v="1"/>
    <x v="4"/>
    <x v="3"/>
    <x v="22"/>
    <s v="Rio de Janeiro"/>
    <x v="7"/>
    <n v="5340"/>
    <n v="12"/>
    <n v="64080"/>
    <n v="19224"/>
    <n v="0.3"/>
  </r>
  <r>
    <x v="0"/>
    <x v="1"/>
    <x v="5"/>
    <x v="3"/>
    <x v="22"/>
    <s v="Rio de Janeiro"/>
    <x v="11"/>
    <n v="4600"/>
    <n v="2"/>
    <n v="9200"/>
    <n v="2300"/>
    <n v="0.25"/>
  </r>
  <r>
    <x v="1"/>
    <x v="1"/>
    <x v="5"/>
    <x v="3"/>
    <x v="22"/>
    <s v="Rio de Janeiro"/>
    <x v="8"/>
    <n v="3400"/>
    <n v="10"/>
    <n v="34000"/>
    <n v="11900"/>
    <n v="0.35"/>
  </r>
  <r>
    <x v="4"/>
    <x v="1"/>
    <x v="5"/>
    <x v="3"/>
    <x v="22"/>
    <s v="Rio de Janeiro"/>
    <x v="10"/>
    <n v="3200"/>
    <n v="12"/>
    <n v="38400"/>
    <n v="7680"/>
    <n v="0.2"/>
  </r>
  <r>
    <x v="3"/>
    <x v="1"/>
    <x v="6"/>
    <x v="3"/>
    <x v="22"/>
    <s v="Rio de Janeiro"/>
    <x v="1"/>
    <n v="500"/>
    <n v="9"/>
    <n v="4500"/>
    <n v="1125"/>
    <n v="0.25"/>
  </r>
  <r>
    <x v="4"/>
    <x v="1"/>
    <x v="6"/>
    <x v="3"/>
    <x v="22"/>
    <s v="Rio de Janeiro"/>
    <x v="12"/>
    <n v="4500"/>
    <n v="4"/>
    <n v="18000"/>
    <n v="4500"/>
    <n v="0.25"/>
  </r>
  <r>
    <x v="3"/>
    <x v="1"/>
    <x v="6"/>
    <x v="3"/>
    <x v="22"/>
    <s v="Rio de Janeiro"/>
    <x v="9"/>
    <n v="5300"/>
    <n v="9"/>
    <n v="47700"/>
    <n v="14310"/>
    <n v="0.3"/>
  </r>
  <r>
    <x v="0"/>
    <x v="1"/>
    <x v="7"/>
    <x v="3"/>
    <x v="22"/>
    <s v="Rio de Janeiro"/>
    <x v="1"/>
    <n v="500"/>
    <n v="4"/>
    <n v="2000"/>
    <n v="500"/>
    <n v="0.25"/>
  </r>
  <r>
    <x v="2"/>
    <x v="1"/>
    <x v="7"/>
    <x v="3"/>
    <x v="22"/>
    <s v="Rio de Janeiro"/>
    <x v="5"/>
    <n v="1700"/>
    <n v="6"/>
    <n v="10200"/>
    <n v="5100"/>
    <n v="0.5"/>
  </r>
  <r>
    <x v="0"/>
    <x v="1"/>
    <x v="7"/>
    <x v="3"/>
    <x v="22"/>
    <s v="Rio de Janeiro"/>
    <x v="6"/>
    <n v="1500"/>
    <n v="8"/>
    <n v="12000"/>
    <n v="4800"/>
    <n v="0.4"/>
  </r>
  <r>
    <x v="0"/>
    <x v="1"/>
    <x v="8"/>
    <x v="3"/>
    <x v="22"/>
    <s v="Rio de Janeiro"/>
    <x v="5"/>
    <n v="1700"/>
    <n v="5"/>
    <n v="8500"/>
    <n v="4250"/>
    <n v="0.5"/>
  </r>
  <r>
    <x v="3"/>
    <x v="0"/>
    <x v="8"/>
    <x v="3"/>
    <x v="21"/>
    <s v="Vitória"/>
    <x v="5"/>
    <n v="1700"/>
    <n v="8"/>
    <n v="13600"/>
    <n v="6800"/>
    <n v="0.5"/>
  </r>
  <r>
    <x v="3"/>
    <x v="1"/>
    <x v="8"/>
    <x v="3"/>
    <x v="22"/>
    <s v="Rio de Janeiro"/>
    <x v="9"/>
    <n v="5300"/>
    <n v="9"/>
    <n v="47700"/>
    <n v="14310"/>
    <n v="0.3"/>
  </r>
  <r>
    <x v="2"/>
    <x v="0"/>
    <x v="9"/>
    <x v="3"/>
    <x v="22"/>
    <s v="Rio de Janeiro"/>
    <x v="4"/>
    <n v="300"/>
    <n v="11"/>
    <n v="3300"/>
    <n v="495"/>
    <n v="0.15"/>
  </r>
  <r>
    <x v="4"/>
    <x v="1"/>
    <x v="9"/>
    <x v="3"/>
    <x v="22"/>
    <s v="Rio de Janeiro"/>
    <x v="6"/>
    <n v="1500"/>
    <n v="12"/>
    <n v="18000"/>
    <n v="7200"/>
    <n v="0.4"/>
  </r>
  <r>
    <x v="3"/>
    <x v="1"/>
    <x v="9"/>
    <x v="3"/>
    <x v="22"/>
    <s v="Rio de Janeiro"/>
    <x v="7"/>
    <n v="5340"/>
    <n v="7"/>
    <n v="37380"/>
    <n v="11214"/>
    <n v="0.3"/>
  </r>
  <r>
    <x v="0"/>
    <x v="0"/>
    <x v="10"/>
    <x v="3"/>
    <x v="22"/>
    <s v="Rio de Janeiro"/>
    <x v="2"/>
    <n v="1200"/>
    <n v="5"/>
    <n v="6000"/>
    <n v="1800"/>
    <n v="0.3"/>
  </r>
  <r>
    <x v="3"/>
    <x v="1"/>
    <x v="10"/>
    <x v="3"/>
    <x v="22"/>
    <s v="Rio de Janeiro"/>
    <x v="3"/>
    <n v="5130"/>
    <n v="5"/>
    <n v="25650"/>
    <n v="10260"/>
    <n v="0.4"/>
  </r>
  <r>
    <x v="0"/>
    <x v="0"/>
    <x v="10"/>
    <x v="3"/>
    <x v="22"/>
    <s v="Rio de Janeiro"/>
    <x v="0"/>
    <n v="8902"/>
    <n v="10"/>
    <n v="89020"/>
    <n v="31156.999999999996"/>
    <n v="0.35"/>
  </r>
  <r>
    <x v="2"/>
    <x v="0"/>
    <x v="11"/>
    <x v="3"/>
    <x v="22"/>
    <s v="Rio de Janeiro"/>
    <x v="1"/>
    <n v="500"/>
    <n v="7"/>
    <n v="3500"/>
    <n v="875"/>
    <n v="0.25"/>
  </r>
  <r>
    <x v="2"/>
    <x v="0"/>
    <x v="11"/>
    <x v="3"/>
    <x v="22"/>
    <s v="Rio de Janeiro"/>
    <x v="9"/>
    <n v="5300"/>
    <n v="3"/>
    <n v="15900"/>
    <n v="4770"/>
    <n v="0.3"/>
  </r>
  <r>
    <x v="2"/>
    <x v="0"/>
    <x v="11"/>
    <x v="3"/>
    <x v="22"/>
    <s v="Rio de Janeiro"/>
    <x v="9"/>
    <n v="5300"/>
    <n v="7"/>
    <n v="37100"/>
    <n v="11130"/>
    <n v="0.3"/>
  </r>
  <r>
    <x v="1"/>
    <x v="0"/>
    <x v="12"/>
    <x v="3"/>
    <x v="22"/>
    <s v="Rio de Janeiro"/>
    <x v="1"/>
    <n v="500"/>
    <n v="7"/>
    <n v="3500"/>
    <n v="875"/>
    <n v="0.25"/>
  </r>
  <r>
    <x v="4"/>
    <x v="1"/>
    <x v="12"/>
    <x v="3"/>
    <x v="22"/>
    <s v="Rio de Janeiro"/>
    <x v="2"/>
    <n v="1200"/>
    <n v="4"/>
    <n v="4800"/>
    <n v="1440"/>
    <n v="0.3"/>
  </r>
  <r>
    <x v="0"/>
    <x v="1"/>
    <x v="12"/>
    <x v="3"/>
    <x v="22"/>
    <s v="Rio de Janeiro"/>
    <x v="10"/>
    <n v="3200"/>
    <n v="11"/>
    <n v="35200"/>
    <n v="7040"/>
    <n v="0.2"/>
  </r>
  <r>
    <x v="0"/>
    <x v="1"/>
    <x v="13"/>
    <x v="3"/>
    <x v="22"/>
    <s v="Rio de Janeiro"/>
    <x v="2"/>
    <n v="1200"/>
    <n v="2"/>
    <n v="2400"/>
    <n v="720"/>
    <n v="0.3"/>
  </r>
  <r>
    <x v="1"/>
    <x v="1"/>
    <x v="13"/>
    <x v="3"/>
    <x v="22"/>
    <s v="Rio de Janeiro"/>
    <x v="8"/>
    <n v="3400"/>
    <n v="8"/>
    <n v="27200"/>
    <n v="9520"/>
    <n v="0.35"/>
  </r>
  <r>
    <x v="1"/>
    <x v="1"/>
    <x v="13"/>
    <x v="3"/>
    <x v="22"/>
    <s v="Rio de Janeiro"/>
    <x v="9"/>
    <n v="5300"/>
    <n v="11"/>
    <n v="58300"/>
    <n v="17490"/>
    <n v="0.3"/>
  </r>
  <r>
    <x v="2"/>
    <x v="0"/>
    <x v="14"/>
    <x v="3"/>
    <x v="22"/>
    <s v="Rio de Janeiro"/>
    <x v="5"/>
    <n v="1700"/>
    <n v="1"/>
    <n v="1700"/>
    <n v="850"/>
    <n v="0.5"/>
  </r>
  <r>
    <x v="3"/>
    <x v="1"/>
    <x v="14"/>
    <x v="3"/>
    <x v="22"/>
    <s v="Rio de Janeiro"/>
    <x v="8"/>
    <n v="3400"/>
    <n v="1"/>
    <n v="3400"/>
    <n v="1190"/>
    <n v="0.35"/>
  </r>
  <r>
    <x v="0"/>
    <x v="1"/>
    <x v="14"/>
    <x v="3"/>
    <x v="21"/>
    <s v="Vitória"/>
    <x v="0"/>
    <n v="8902"/>
    <n v="2"/>
    <n v="17804"/>
    <n v="6231.4"/>
    <n v="0.35"/>
  </r>
  <r>
    <x v="0"/>
    <x v="1"/>
    <x v="15"/>
    <x v="3"/>
    <x v="22"/>
    <s v="Rio de Janeiro"/>
    <x v="5"/>
    <n v="1700"/>
    <n v="5"/>
    <n v="8500"/>
    <n v="4250"/>
    <n v="0.5"/>
  </r>
  <r>
    <x v="0"/>
    <x v="0"/>
    <x v="15"/>
    <x v="3"/>
    <x v="22"/>
    <s v="Rio de Janeiro"/>
    <x v="3"/>
    <n v="5130"/>
    <n v="2"/>
    <n v="10260"/>
    <n v="4104"/>
    <n v="0.4"/>
  </r>
  <r>
    <x v="3"/>
    <x v="0"/>
    <x v="15"/>
    <x v="3"/>
    <x v="22"/>
    <s v="Rio de Janeiro"/>
    <x v="3"/>
    <n v="5130"/>
    <n v="6"/>
    <n v="30780"/>
    <n v="12312"/>
    <n v="0.4"/>
  </r>
  <r>
    <x v="1"/>
    <x v="0"/>
    <x v="16"/>
    <x v="3"/>
    <x v="22"/>
    <s v="Rio de Janeiro"/>
    <x v="5"/>
    <n v="1700"/>
    <n v="4"/>
    <n v="6800"/>
    <n v="3400"/>
    <n v="0.5"/>
  </r>
  <r>
    <x v="0"/>
    <x v="0"/>
    <x v="16"/>
    <x v="3"/>
    <x v="22"/>
    <s v="Rio de Janeiro"/>
    <x v="12"/>
    <n v="4500"/>
    <n v="3"/>
    <n v="13500"/>
    <n v="3375"/>
    <n v="0.25"/>
  </r>
  <r>
    <x v="0"/>
    <x v="0"/>
    <x v="16"/>
    <x v="3"/>
    <x v="22"/>
    <s v="Rio de Janeiro"/>
    <x v="9"/>
    <n v="5300"/>
    <n v="12"/>
    <n v="63600"/>
    <n v="19080"/>
    <n v="0.3"/>
  </r>
  <r>
    <x v="0"/>
    <x v="0"/>
    <x v="17"/>
    <x v="3"/>
    <x v="22"/>
    <s v="Rio de Janeiro"/>
    <x v="4"/>
    <n v="300"/>
    <n v="4"/>
    <n v="1200"/>
    <n v="180"/>
    <n v="0.15"/>
  </r>
  <r>
    <x v="2"/>
    <x v="0"/>
    <x v="17"/>
    <x v="3"/>
    <x v="22"/>
    <s v="Rio de Janeiro"/>
    <x v="12"/>
    <n v="4500"/>
    <n v="4"/>
    <n v="18000"/>
    <n v="4500"/>
    <n v="0.25"/>
  </r>
  <r>
    <x v="1"/>
    <x v="1"/>
    <x v="17"/>
    <x v="3"/>
    <x v="22"/>
    <s v="Rio de Janeiro"/>
    <x v="8"/>
    <n v="3400"/>
    <n v="9"/>
    <n v="30600"/>
    <n v="10710"/>
    <n v="0.35"/>
  </r>
  <r>
    <x v="2"/>
    <x v="0"/>
    <x v="18"/>
    <x v="3"/>
    <x v="22"/>
    <s v="Rio de Janeiro"/>
    <x v="4"/>
    <n v="300"/>
    <n v="3"/>
    <n v="900"/>
    <n v="135"/>
    <n v="0.15"/>
  </r>
  <r>
    <x v="3"/>
    <x v="1"/>
    <x v="18"/>
    <x v="3"/>
    <x v="22"/>
    <s v="Rio de Janeiro"/>
    <x v="0"/>
    <n v="8902"/>
    <n v="3"/>
    <n v="26706"/>
    <n v="9347.0999999999985"/>
    <n v="0.35"/>
  </r>
  <r>
    <x v="0"/>
    <x v="0"/>
    <x v="18"/>
    <x v="3"/>
    <x v="22"/>
    <s v="Rio de Janeiro"/>
    <x v="7"/>
    <n v="5340"/>
    <n v="11"/>
    <n v="58740"/>
    <n v="17622"/>
    <n v="0.3"/>
  </r>
  <r>
    <x v="2"/>
    <x v="0"/>
    <x v="19"/>
    <x v="3"/>
    <x v="22"/>
    <s v="Rio de Janeiro"/>
    <x v="3"/>
    <n v="5130"/>
    <n v="9"/>
    <n v="46170"/>
    <n v="18468"/>
    <n v="0.4"/>
  </r>
  <r>
    <x v="0"/>
    <x v="1"/>
    <x v="19"/>
    <x v="3"/>
    <x v="22"/>
    <s v="Rio de Janeiro"/>
    <x v="7"/>
    <n v="5340"/>
    <n v="9"/>
    <n v="48060"/>
    <n v="14418"/>
    <n v="0.3"/>
  </r>
  <r>
    <x v="1"/>
    <x v="1"/>
    <x v="19"/>
    <x v="3"/>
    <x v="21"/>
    <s v="Vitória"/>
    <x v="7"/>
    <n v="5340"/>
    <n v="12"/>
    <n v="64080"/>
    <n v="19224"/>
    <n v="0.3"/>
  </r>
  <r>
    <x v="0"/>
    <x v="1"/>
    <x v="20"/>
    <x v="3"/>
    <x v="22"/>
    <s v="Rio de Janeiro"/>
    <x v="4"/>
    <n v="300"/>
    <n v="12"/>
    <n v="3600"/>
    <n v="540"/>
    <n v="0.15"/>
  </r>
  <r>
    <x v="0"/>
    <x v="1"/>
    <x v="20"/>
    <x v="3"/>
    <x v="22"/>
    <s v="Rio de Janeiro"/>
    <x v="12"/>
    <n v="4500"/>
    <n v="3"/>
    <n v="13500"/>
    <n v="3375"/>
    <n v="0.25"/>
  </r>
  <r>
    <x v="0"/>
    <x v="0"/>
    <x v="20"/>
    <x v="3"/>
    <x v="22"/>
    <s v="Rio de Janeiro"/>
    <x v="5"/>
    <n v="1700"/>
    <n v="12"/>
    <n v="20400"/>
    <n v="10200"/>
    <n v="0.5"/>
  </r>
  <r>
    <x v="0"/>
    <x v="1"/>
    <x v="21"/>
    <x v="3"/>
    <x v="22"/>
    <s v="Rio de Janeiro"/>
    <x v="1"/>
    <n v="500"/>
    <n v="4"/>
    <n v="2000"/>
    <n v="500"/>
    <n v="0.25"/>
  </r>
  <r>
    <x v="4"/>
    <x v="1"/>
    <x v="21"/>
    <x v="3"/>
    <x v="22"/>
    <s v="Rio de Janeiro"/>
    <x v="12"/>
    <n v="4500"/>
    <n v="5"/>
    <n v="22500"/>
    <n v="5625"/>
    <n v="0.25"/>
  </r>
  <r>
    <x v="0"/>
    <x v="1"/>
    <x v="21"/>
    <x v="3"/>
    <x v="22"/>
    <s v="Rio de Janeiro"/>
    <x v="7"/>
    <n v="5340"/>
    <n v="11"/>
    <n v="58740"/>
    <n v="17622"/>
    <n v="0.3"/>
  </r>
  <r>
    <x v="0"/>
    <x v="0"/>
    <x v="22"/>
    <x v="3"/>
    <x v="22"/>
    <s v="Rio de Janeiro"/>
    <x v="5"/>
    <n v="1700"/>
    <n v="5"/>
    <n v="8500"/>
    <n v="4250"/>
    <n v="0.5"/>
  </r>
  <r>
    <x v="2"/>
    <x v="1"/>
    <x v="22"/>
    <x v="3"/>
    <x v="22"/>
    <s v="Rio de Janeiro"/>
    <x v="10"/>
    <n v="3200"/>
    <n v="8"/>
    <n v="25600"/>
    <n v="5120"/>
    <n v="0.2"/>
  </r>
  <r>
    <x v="1"/>
    <x v="1"/>
    <x v="22"/>
    <x v="3"/>
    <x v="22"/>
    <s v="Rio de Janeiro"/>
    <x v="7"/>
    <n v="5340"/>
    <n v="12"/>
    <n v="64080"/>
    <n v="19224"/>
    <n v="0.3"/>
  </r>
  <r>
    <x v="3"/>
    <x v="1"/>
    <x v="23"/>
    <x v="3"/>
    <x v="22"/>
    <s v="Rio de Janeiro"/>
    <x v="2"/>
    <n v="1200"/>
    <n v="8"/>
    <n v="9600"/>
    <n v="2880"/>
    <n v="0.3"/>
  </r>
  <r>
    <x v="1"/>
    <x v="1"/>
    <x v="23"/>
    <x v="3"/>
    <x v="22"/>
    <s v="Rio de Janeiro"/>
    <x v="8"/>
    <n v="3400"/>
    <n v="10"/>
    <n v="34000"/>
    <n v="11900"/>
    <n v="0.35"/>
  </r>
  <r>
    <x v="1"/>
    <x v="1"/>
    <x v="23"/>
    <x v="3"/>
    <x v="22"/>
    <s v="Rio de Janeiro"/>
    <x v="12"/>
    <n v="4500"/>
    <n v="12"/>
    <n v="54000"/>
    <n v="13500"/>
    <n v="0.25"/>
  </r>
  <r>
    <x v="2"/>
    <x v="0"/>
    <x v="24"/>
    <x v="3"/>
    <x v="22"/>
    <s v="Rio de Janeiro"/>
    <x v="12"/>
    <n v="4500"/>
    <n v="5"/>
    <n v="22500"/>
    <n v="5625"/>
    <n v="0.25"/>
  </r>
  <r>
    <x v="0"/>
    <x v="1"/>
    <x v="24"/>
    <x v="3"/>
    <x v="22"/>
    <s v="Rio de Janeiro"/>
    <x v="9"/>
    <n v="5300"/>
    <n v="5"/>
    <n v="26500"/>
    <n v="7950"/>
    <n v="0.3"/>
  </r>
  <r>
    <x v="1"/>
    <x v="1"/>
    <x v="24"/>
    <x v="3"/>
    <x v="22"/>
    <s v="Rio de Janeiro"/>
    <x v="9"/>
    <n v="5300"/>
    <n v="10"/>
    <n v="53000"/>
    <n v="15900"/>
    <n v="0.3"/>
  </r>
  <r>
    <x v="1"/>
    <x v="1"/>
    <x v="25"/>
    <x v="3"/>
    <x v="22"/>
    <s v="Rio de Janeiro"/>
    <x v="9"/>
    <n v="5300"/>
    <n v="7"/>
    <n v="37100"/>
    <n v="11130"/>
    <n v="0.3"/>
  </r>
  <r>
    <x v="2"/>
    <x v="0"/>
    <x v="25"/>
    <x v="3"/>
    <x v="22"/>
    <s v="Rio de Janeiro"/>
    <x v="0"/>
    <n v="8902"/>
    <n v="7"/>
    <n v="62314"/>
    <n v="21809.899999999998"/>
    <n v="0.35"/>
  </r>
  <r>
    <x v="3"/>
    <x v="0"/>
    <x v="25"/>
    <x v="3"/>
    <x v="22"/>
    <s v="Rio de Janeiro"/>
    <x v="0"/>
    <n v="8902"/>
    <n v="9"/>
    <n v="80118"/>
    <n v="28041.3"/>
    <n v="0.35"/>
  </r>
  <r>
    <x v="3"/>
    <x v="0"/>
    <x v="26"/>
    <x v="3"/>
    <x v="22"/>
    <s v="Rio de Janeiro"/>
    <x v="6"/>
    <n v="1500"/>
    <n v="1"/>
    <n v="1500"/>
    <n v="600"/>
    <n v="0.4"/>
  </r>
  <r>
    <x v="0"/>
    <x v="1"/>
    <x v="26"/>
    <x v="3"/>
    <x v="22"/>
    <s v="Rio de Janeiro"/>
    <x v="9"/>
    <n v="5300"/>
    <n v="2"/>
    <n v="10600"/>
    <n v="3180"/>
    <n v="0.3"/>
  </r>
  <r>
    <x v="0"/>
    <x v="1"/>
    <x v="26"/>
    <x v="3"/>
    <x v="21"/>
    <s v="Vitória"/>
    <x v="0"/>
    <n v="8902"/>
    <n v="10"/>
    <n v="89020"/>
    <n v="31156.999999999996"/>
    <n v="0.35"/>
  </r>
  <r>
    <x v="0"/>
    <x v="0"/>
    <x v="27"/>
    <x v="3"/>
    <x v="22"/>
    <s v="Rio de Janeiro"/>
    <x v="6"/>
    <n v="1500"/>
    <n v="3"/>
    <n v="4500"/>
    <n v="1800"/>
    <n v="0.4"/>
  </r>
  <r>
    <x v="0"/>
    <x v="0"/>
    <x v="27"/>
    <x v="3"/>
    <x v="22"/>
    <s v="Rio de Janeiro"/>
    <x v="11"/>
    <n v="4600"/>
    <n v="4"/>
    <n v="18400"/>
    <n v="4600"/>
    <n v="0.25"/>
  </r>
  <r>
    <x v="4"/>
    <x v="1"/>
    <x v="27"/>
    <x v="3"/>
    <x v="22"/>
    <s v="Rio de Janeiro"/>
    <x v="10"/>
    <n v="3200"/>
    <n v="9"/>
    <n v="28800"/>
    <n v="5760"/>
    <n v="0.2"/>
  </r>
  <r>
    <x v="0"/>
    <x v="1"/>
    <x v="28"/>
    <x v="3"/>
    <x v="22"/>
    <s v="Rio de Janeiro"/>
    <x v="2"/>
    <n v="1200"/>
    <n v="1"/>
    <n v="1200"/>
    <n v="360"/>
    <n v="0.3"/>
  </r>
  <r>
    <x v="3"/>
    <x v="0"/>
    <x v="28"/>
    <x v="3"/>
    <x v="22"/>
    <s v="Rio de Janeiro"/>
    <x v="6"/>
    <n v="1500"/>
    <n v="1"/>
    <n v="1500"/>
    <n v="600"/>
    <n v="0.4"/>
  </r>
  <r>
    <x v="0"/>
    <x v="1"/>
    <x v="28"/>
    <x v="3"/>
    <x v="22"/>
    <s v="Rio de Janeiro"/>
    <x v="12"/>
    <n v="4500"/>
    <n v="3"/>
    <n v="13500"/>
    <n v="3375"/>
    <n v="0.25"/>
  </r>
  <r>
    <x v="3"/>
    <x v="1"/>
    <x v="28"/>
    <x v="3"/>
    <x v="22"/>
    <s v="Rio de Janeiro"/>
    <x v="10"/>
    <n v="3200"/>
    <n v="5"/>
    <n v="16000"/>
    <n v="3200"/>
    <n v="0.2"/>
  </r>
  <r>
    <x v="3"/>
    <x v="1"/>
    <x v="28"/>
    <x v="3"/>
    <x v="22"/>
    <s v="Rio de Janeiro"/>
    <x v="0"/>
    <n v="8902"/>
    <n v="3"/>
    <n v="26706"/>
    <n v="9347.0999999999985"/>
    <n v="0.35"/>
  </r>
  <r>
    <x v="0"/>
    <x v="1"/>
    <x v="28"/>
    <x v="3"/>
    <x v="22"/>
    <s v="Rio de Janeiro"/>
    <x v="3"/>
    <n v="5130"/>
    <n v="6"/>
    <n v="30780"/>
    <n v="12312"/>
    <n v="0.4"/>
  </r>
  <r>
    <x v="3"/>
    <x v="1"/>
    <x v="29"/>
    <x v="3"/>
    <x v="22"/>
    <s v="Rio de Janeiro"/>
    <x v="0"/>
    <n v="8902"/>
    <n v="3"/>
    <n v="26706"/>
    <n v="9347.0999999999985"/>
    <n v="0.35"/>
  </r>
  <r>
    <x v="4"/>
    <x v="1"/>
    <x v="29"/>
    <x v="3"/>
    <x v="22"/>
    <s v="Rio de Janeiro"/>
    <x v="10"/>
    <n v="3200"/>
    <n v="9"/>
    <n v="28800"/>
    <n v="5760"/>
    <n v="0.2"/>
  </r>
  <r>
    <x v="3"/>
    <x v="1"/>
    <x v="29"/>
    <x v="3"/>
    <x v="22"/>
    <s v="Rio de Janeiro"/>
    <x v="12"/>
    <n v="4500"/>
    <n v="9"/>
    <n v="40500"/>
    <n v="10125"/>
    <n v="0.25"/>
  </r>
  <r>
    <x v="0"/>
    <x v="1"/>
    <x v="30"/>
    <x v="3"/>
    <x v="22"/>
    <s v="Rio de Janeiro"/>
    <x v="12"/>
    <n v="4500"/>
    <n v="3"/>
    <n v="13500"/>
    <n v="3375"/>
    <n v="0.25"/>
  </r>
  <r>
    <x v="0"/>
    <x v="1"/>
    <x v="30"/>
    <x v="3"/>
    <x v="22"/>
    <s v="Rio de Janeiro"/>
    <x v="9"/>
    <n v="5300"/>
    <n v="5"/>
    <n v="26500"/>
    <n v="7950"/>
    <n v="0.3"/>
  </r>
  <r>
    <x v="2"/>
    <x v="0"/>
    <x v="30"/>
    <x v="3"/>
    <x v="22"/>
    <s v="Rio de Janeiro"/>
    <x v="10"/>
    <n v="3200"/>
    <n v="9"/>
    <n v="28800"/>
    <n v="5760"/>
    <n v="0.2"/>
  </r>
  <r>
    <x v="0"/>
    <x v="0"/>
    <x v="31"/>
    <x v="3"/>
    <x v="22"/>
    <s v="Rio de Janeiro"/>
    <x v="2"/>
    <n v="1200"/>
    <n v="1"/>
    <n v="1200"/>
    <n v="360"/>
    <n v="0.3"/>
  </r>
  <r>
    <x v="3"/>
    <x v="1"/>
    <x v="31"/>
    <x v="3"/>
    <x v="22"/>
    <s v="Rio de Janeiro"/>
    <x v="1"/>
    <n v="500"/>
    <n v="3"/>
    <n v="1500"/>
    <n v="375"/>
    <n v="0.25"/>
  </r>
  <r>
    <x v="0"/>
    <x v="1"/>
    <x v="31"/>
    <x v="3"/>
    <x v="21"/>
    <s v="Vitória"/>
    <x v="12"/>
    <n v="4500"/>
    <n v="1"/>
    <n v="4500"/>
    <n v="1125"/>
    <n v="0.25"/>
  </r>
  <r>
    <x v="0"/>
    <x v="1"/>
    <x v="32"/>
    <x v="3"/>
    <x v="22"/>
    <s v="Rio de Janeiro"/>
    <x v="10"/>
    <n v="3200"/>
    <n v="2"/>
    <n v="6400"/>
    <n v="1280"/>
    <n v="0.2"/>
  </r>
  <r>
    <x v="0"/>
    <x v="1"/>
    <x v="32"/>
    <x v="3"/>
    <x v="22"/>
    <s v="Rio de Janeiro"/>
    <x v="6"/>
    <n v="1500"/>
    <n v="8"/>
    <n v="12000"/>
    <n v="4800"/>
    <n v="0.4"/>
  </r>
  <r>
    <x v="3"/>
    <x v="0"/>
    <x v="32"/>
    <x v="3"/>
    <x v="22"/>
    <s v="Rio de Janeiro"/>
    <x v="0"/>
    <n v="8902"/>
    <n v="5"/>
    <n v="44510"/>
    <n v="15578.499999999998"/>
    <n v="0.35"/>
  </r>
  <r>
    <x v="0"/>
    <x v="1"/>
    <x v="33"/>
    <x v="3"/>
    <x v="22"/>
    <s v="Rio de Janeiro"/>
    <x v="6"/>
    <n v="1500"/>
    <n v="1"/>
    <n v="1500"/>
    <n v="600"/>
    <n v="0.4"/>
  </r>
  <r>
    <x v="0"/>
    <x v="1"/>
    <x v="33"/>
    <x v="3"/>
    <x v="22"/>
    <s v="Rio de Janeiro"/>
    <x v="9"/>
    <n v="5300"/>
    <n v="5"/>
    <n v="26500"/>
    <n v="7950"/>
    <n v="0.3"/>
  </r>
  <r>
    <x v="0"/>
    <x v="1"/>
    <x v="33"/>
    <x v="3"/>
    <x v="22"/>
    <s v="Rio de Janeiro"/>
    <x v="7"/>
    <n v="5340"/>
    <n v="11"/>
    <n v="58740"/>
    <n v="17622"/>
    <n v="0.3"/>
  </r>
  <r>
    <x v="0"/>
    <x v="1"/>
    <x v="34"/>
    <x v="3"/>
    <x v="22"/>
    <s v="Rio de Janeiro"/>
    <x v="9"/>
    <n v="5300"/>
    <n v="1"/>
    <n v="5300"/>
    <n v="1590"/>
    <n v="0.3"/>
  </r>
  <r>
    <x v="2"/>
    <x v="1"/>
    <x v="34"/>
    <x v="3"/>
    <x v="22"/>
    <s v="Rio de Janeiro"/>
    <x v="12"/>
    <n v="4500"/>
    <n v="5"/>
    <n v="22500"/>
    <n v="5625"/>
    <n v="0.25"/>
  </r>
  <r>
    <x v="0"/>
    <x v="0"/>
    <x v="34"/>
    <x v="3"/>
    <x v="22"/>
    <s v="Rio de Janeiro"/>
    <x v="0"/>
    <n v="8902"/>
    <n v="3"/>
    <n v="26706"/>
    <n v="9347.0999999999985"/>
    <n v="0.35"/>
  </r>
  <r>
    <x v="2"/>
    <x v="1"/>
    <x v="35"/>
    <x v="3"/>
    <x v="22"/>
    <s v="Rio de Janeiro"/>
    <x v="10"/>
    <n v="3200"/>
    <n v="9"/>
    <n v="28800"/>
    <n v="5760"/>
    <n v="0.2"/>
  </r>
  <r>
    <x v="0"/>
    <x v="1"/>
    <x v="35"/>
    <x v="3"/>
    <x v="22"/>
    <s v="Rio de Janeiro"/>
    <x v="7"/>
    <n v="5340"/>
    <n v="8"/>
    <n v="42720"/>
    <n v="12816"/>
    <n v="0.3"/>
  </r>
  <r>
    <x v="3"/>
    <x v="1"/>
    <x v="35"/>
    <x v="3"/>
    <x v="22"/>
    <s v="Rio de Janeiro"/>
    <x v="0"/>
    <n v="8902"/>
    <n v="9"/>
    <n v="80118"/>
    <n v="28041.3"/>
    <n v="0.35"/>
  </r>
  <r>
    <x v="0"/>
    <x v="1"/>
    <x v="36"/>
    <x v="3"/>
    <x v="22"/>
    <s v="Rio de Janeiro"/>
    <x v="11"/>
    <n v="4600"/>
    <n v="1"/>
    <n v="4600"/>
    <n v="1150"/>
    <n v="0.25"/>
  </r>
  <r>
    <x v="3"/>
    <x v="0"/>
    <x v="36"/>
    <x v="3"/>
    <x v="22"/>
    <s v="Rio de Janeiro"/>
    <x v="6"/>
    <n v="1500"/>
    <n v="6"/>
    <n v="9000"/>
    <n v="3600"/>
    <n v="0.4"/>
  </r>
  <r>
    <x v="0"/>
    <x v="1"/>
    <x v="36"/>
    <x v="3"/>
    <x v="22"/>
    <s v="Rio de Janeiro"/>
    <x v="12"/>
    <n v="4500"/>
    <n v="7"/>
    <n v="31500"/>
    <n v="7875"/>
    <n v="0.25"/>
  </r>
  <r>
    <x v="2"/>
    <x v="1"/>
    <x v="37"/>
    <x v="3"/>
    <x v="22"/>
    <s v="Rio de Janeiro"/>
    <x v="4"/>
    <n v="300"/>
    <n v="3"/>
    <n v="900"/>
    <n v="135"/>
    <n v="0.15"/>
  </r>
  <r>
    <x v="2"/>
    <x v="0"/>
    <x v="37"/>
    <x v="3"/>
    <x v="22"/>
    <s v="Rio de Janeiro"/>
    <x v="7"/>
    <n v="5340"/>
    <n v="5"/>
    <n v="26700"/>
    <n v="8010"/>
    <n v="0.3"/>
  </r>
  <r>
    <x v="1"/>
    <x v="1"/>
    <x v="37"/>
    <x v="3"/>
    <x v="21"/>
    <s v="Vitória"/>
    <x v="12"/>
    <n v="4500"/>
    <n v="11"/>
    <n v="49500"/>
    <n v="12375"/>
    <n v="0.25"/>
  </r>
  <r>
    <x v="3"/>
    <x v="1"/>
    <x v="38"/>
    <x v="3"/>
    <x v="22"/>
    <s v="Rio de Janeiro"/>
    <x v="1"/>
    <n v="500"/>
    <n v="5"/>
    <n v="2500"/>
    <n v="625"/>
    <n v="0.25"/>
  </r>
  <r>
    <x v="0"/>
    <x v="0"/>
    <x v="38"/>
    <x v="3"/>
    <x v="22"/>
    <s v="Rio de Janeiro"/>
    <x v="3"/>
    <n v="5130"/>
    <n v="4"/>
    <n v="20520"/>
    <n v="8208"/>
    <n v="0.4"/>
  </r>
  <r>
    <x v="0"/>
    <x v="1"/>
    <x v="38"/>
    <x v="3"/>
    <x v="22"/>
    <s v="Rio de Janeiro"/>
    <x v="0"/>
    <n v="8902"/>
    <n v="8"/>
    <n v="71216"/>
    <n v="24925.599999999999"/>
    <n v="0.35"/>
  </r>
  <r>
    <x v="3"/>
    <x v="1"/>
    <x v="39"/>
    <x v="3"/>
    <x v="22"/>
    <s v="Rio de Janeiro"/>
    <x v="2"/>
    <n v="1200"/>
    <n v="7"/>
    <n v="8400"/>
    <n v="2520"/>
    <n v="0.3"/>
  </r>
  <r>
    <x v="1"/>
    <x v="1"/>
    <x v="39"/>
    <x v="3"/>
    <x v="22"/>
    <s v="Rio de Janeiro"/>
    <x v="10"/>
    <n v="3200"/>
    <n v="12"/>
    <n v="38400"/>
    <n v="7680"/>
    <n v="0.2"/>
  </r>
  <r>
    <x v="0"/>
    <x v="1"/>
    <x v="39"/>
    <x v="3"/>
    <x v="22"/>
    <s v="Rio de Janeiro"/>
    <x v="7"/>
    <n v="5340"/>
    <n v="11"/>
    <n v="58740"/>
    <n v="17622"/>
    <n v="0.3"/>
  </r>
  <r>
    <x v="3"/>
    <x v="1"/>
    <x v="40"/>
    <x v="3"/>
    <x v="22"/>
    <s v="Rio de Janeiro"/>
    <x v="1"/>
    <n v="500"/>
    <n v="5"/>
    <n v="2500"/>
    <n v="625"/>
    <n v="0.25"/>
  </r>
  <r>
    <x v="4"/>
    <x v="1"/>
    <x v="40"/>
    <x v="3"/>
    <x v="22"/>
    <s v="Rio de Janeiro"/>
    <x v="10"/>
    <n v="3200"/>
    <n v="2"/>
    <n v="6400"/>
    <n v="1280"/>
    <n v="0.2"/>
  </r>
  <r>
    <x v="0"/>
    <x v="1"/>
    <x v="40"/>
    <x v="3"/>
    <x v="22"/>
    <s v="Rio de Janeiro"/>
    <x v="7"/>
    <n v="5340"/>
    <n v="6"/>
    <n v="32040"/>
    <n v="9612"/>
    <n v="0.3"/>
  </r>
  <r>
    <x v="0"/>
    <x v="1"/>
    <x v="41"/>
    <x v="3"/>
    <x v="22"/>
    <s v="Rio de Janeiro"/>
    <x v="4"/>
    <n v="300"/>
    <n v="6"/>
    <n v="1800"/>
    <n v="270"/>
    <n v="0.15"/>
  </r>
  <r>
    <x v="0"/>
    <x v="1"/>
    <x v="41"/>
    <x v="3"/>
    <x v="22"/>
    <s v="Rio de Janeiro"/>
    <x v="3"/>
    <n v="5130"/>
    <n v="1"/>
    <n v="5130"/>
    <n v="2052"/>
    <n v="0.4"/>
  </r>
  <r>
    <x v="1"/>
    <x v="1"/>
    <x v="41"/>
    <x v="3"/>
    <x v="22"/>
    <s v="Rio de Janeiro"/>
    <x v="10"/>
    <n v="3200"/>
    <n v="4"/>
    <n v="12800"/>
    <n v="2560"/>
    <n v="0.2"/>
  </r>
  <r>
    <x v="0"/>
    <x v="1"/>
    <x v="42"/>
    <x v="3"/>
    <x v="22"/>
    <s v="Rio de Janeiro"/>
    <x v="3"/>
    <n v="5130"/>
    <n v="4"/>
    <n v="20520"/>
    <n v="8208"/>
    <n v="0.4"/>
  </r>
  <r>
    <x v="0"/>
    <x v="0"/>
    <x v="42"/>
    <x v="3"/>
    <x v="22"/>
    <s v="Rio de Janeiro"/>
    <x v="11"/>
    <n v="4600"/>
    <n v="7"/>
    <n v="32200"/>
    <n v="8050"/>
    <n v="0.25"/>
  </r>
  <r>
    <x v="0"/>
    <x v="0"/>
    <x v="42"/>
    <x v="3"/>
    <x v="22"/>
    <s v="Rio de Janeiro"/>
    <x v="11"/>
    <n v="4600"/>
    <n v="7"/>
    <n v="32200"/>
    <n v="8050"/>
    <n v="0.25"/>
  </r>
  <r>
    <x v="4"/>
    <x v="0"/>
    <x v="43"/>
    <x v="3"/>
    <x v="22"/>
    <s v="Rio de Janeiro"/>
    <x v="4"/>
    <n v="300"/>
    <n v="8"/>
    <n v="2400"/>
    <n v="360"/>
    <n v="0.15"/>
  </r>
  <r>
    <x v="2"/>
    <x v="1"/>
    <x v="43"/>
    <x v="3"/>
    <x v="22"/>
    <s v="Rio de Janeiro"/>
    <x v="11"/>
    <n v="4600"/>
    <n v="2"/>
    <n v="9200"/>
    <n v="2300"/>
    <n v="0.25"/>
  </r>
  <r>
    <x v="0"/>
    <x v="1"/>
    <x v="43"/>
    <x v="3"/>
    <x v="22"/>
    <s v="Rio de Janeiro"/>
    <x v="6"/>
    <n v="1500"/>
    <n v="9"/>
    <n v="13500"/>
    <n v="5400"/>
    <n v="0.4"/>
  </r>
  <r>
    <x v="0"/>
    <x v="0"/>
    <x v="44"/>
    <x v="3"/>
    <x v="22"/>
    <s v="Rio de Janeiro"/>
    <x v="11"/>
    <n v="4600"/>
    <n v="4"/>
    <n v="18400"/>
    <n v="4600"/>
    <n v="0.25"/>
  </r>
  <r>
    <x v="2"/>
    <x v="1"/>
    <x v="44"/>
    <x v="3"/>
    <x v="22"/>
    <s v="Rio de Janeiro"/>
    <x v="10"/>
    <n v="3200"/>
    <n v="8"/>
    <n v="25600"/>
    <n v="5120"/>
    <n v="0.2"/>
  </r>
  <r>
    <x v="0"/>
    <x v="1"/>
    <x v="44"/>
    <x v="3"/>
    <x v="22"/>
    <s v="Rio de Janeiro"/>
    <x v="0"/>
    <n v="8902"/>
    <n v="4"/>
    <n v="35608"/>
    <n v="12462.8"/>
    <n v="0.35"/>
  </r>
  <r>
    <x v="3"/>
    <x v="0"/>
    <x v="45"/>
    <x v="3"/>
    <x v="22"/>
    <s v="Rio de Janeiro"/>
    <x v="4"/>
    <n v="300"/>
    <n v="7"/>
    <n v="2100"/>
    <n v="315"/>
    <n v="0.15"/>
  </r>
  <r>
    <x v="0"/>
    <x v="1"/>
    <x v="45"/>
    <x v="3"/>
    <x v="22"/>
    <s v="Rio de Janeiro"/>
    <x v="6"/>
    <n v="1500"/>
    <n v="6"/>
    <n v="9000"/>
    <n v="3600"/>
    <n v="0.4"/>
  </r>
  <r>
    <x v="1"/>
    <x v="1"/>
    <x v="45"/>
    <x v="3"/>
    <x v="22"/>
    <s v="Rio de Janeiro"/>
    <x v="12"/>
    <n v="4500"/>
    <n v="4"/>
    <n v="18000"/>
    <n v="4500"/>
    <n v="0.25"/>
  </r>
  <r>
    <x v="1"/>
    <x v="1"/>
    <x v="46"/>
    <x v="3"/>
    <x v="22"/>
    <s v="Rio de Janeiro"/>
    <x v="1"/>
    <n v="500"/>
    <n v="7"/>
    <n v="3500"/>
    <n v="875"/>
    <n v="0.25"/>
  </r>
  <r>
    <x v="4"/>
    <x v="1"/>
    <x v="46"/>
    <x v="3"/>
    <x v="22"/>
    <s v="Rio de Janeiro"/>
    <x v="6"/>
    <n v="1500"/>
    <n v="11"/>
    <n v="16500"/>
    <n v="6600"/>
    <n v="0.4"/>
  </r>
  <r>
    <x v="2"/>
    <x v="1"/>
    <x v="46"/>
    <x v="3"/>
    <x v="22"/>
    <s v="Rio de Janeiro"/>
    <x v="9"/>
    <n v="5300"/>
    <n v="4"/>
    <n v="21200"/>
    <n v="6360"/>
    <n v="0.3"/>
  </r>
  <r>
    <x v="0"/>
    <x v="1"/>
    <x v="47"/>
    <x v="3"/>
    <x v="22"/>
    <s v="Rio de Janeiro"/>
    <x v="4"/>
    <n v="300"/>
    <n v="5"/>
    <n v="1500"/>
    <n v="225"/>
    <n v="0.15"/>
  </r>
  <r>
    <x v="0"/>
    <x v="1"/>
    <x v="47"/>
    <x v="3"/>
    <x v="22"/>
    <s v="Rio de Janeiro"/>
    <x v="8"/>
    <n v="3400"/>
    <n v="6"/>
    <n v="20400"/>
    <n v="7140"/>
    <n v="0.35"/>
  </r>
  <r>
    <x v="3"/>
    <x v="0"/>
    <x v="47"/>
    <x v="3"/>
    <x v="22"/>
    <s v="Rio de Janeiro"/>
    <x v="12"/>
    <n v="4500"/>
    <n v="10"/>
    <n v="45000"/>
    <n v="11250"/>
    <n v="0.25"/>
  </r>
  <r>
    <x v="2"/>
    <x v="1"/>
    <x v="48"/>
    <x v="3"/>
    <x v="22"/>
    <s v="Rio de Janeiro"/>
    <x v="6"/>
    <n v="1500"/>
    <n v="3"/>
    <n v="4500"/>
    <n v="1800"/>
    <n v="0.4"/>
  </r>
  <r>
    <x v="0"/>
    <x v="0"/>
    <x v="48"/>
    <x v="3"/>
    <x v="22"/>
    <s v="Rio de Janeiro"/>
    <x v="11"/>
    <n v="4600"/>
    <n v="1"/>
    <n v="4600"/>
    <n v="1150"/>
    <n v="0.25"/>
  </r>
  <r>
    <x v="0"/>
    <x v="0"/>
    <x v="48"/>
    <x v="3"/>
    <x v="22"/>
    <s v="Rio de Janeiro"/>
    <x v="8"/>
    <n v="3400"/>
    <n v="11"/>
    <n v="37400"/>
    <n v="13090"/>
    <n v="0.35"/>
  </r>
  <r>
    <x v="1"/>
    <x v="1"/>
    <x v="49"/>
    <x v="3"/>
    <x v="22"/>
    <s v="Rio de Janeiro"/>
    <x v="7"/>
    <n v="5340"/>
    <n v="5"/>
    <n v="26700"/>
    <n v="8010"/>
    <n v="0.3"/>
  </r>
  <r>
    <x v="3"/>
    <x v="0"/>
    <x v="49"/>
    <x v="3"/>
    <x v="22"/>
    <s v="Rio de Janeiro"/>
    <x v="12"/>
    <n v="4500"/>
    <n v="12"/>
    <n v="54000"/>
    <n v="13500"/>
    <n v="0.25"/>
  </r>
  <r>
    <x v="0"/>
    <x v="1"/>
    <x v="49"/>
    <x v="3"/>
    <x v="22"/>
    <s v="Rio de Janeiro"/>
    <x v="9"/>
    <n v="5300"/>
    <n v="12"/>
    <n v="63600"/>
    <n v="19080"/>
    <n v="0.3"/>
  </r>
  <r>
    <x v="0"/>
    <x v="1"/>
    <x v="50"/>
    <x v="3"/>
    <x v="21"/>
    <s v="Vitória"/>
    <x v="6"/>
    <n v="1500"/>
    <n v="1"/>
    <n v="1500"/>
    <n v="600"/>
    <n v="0.4"/>
  </r>
  <r>
    <x v="3"/>
    <x v="0"/>
    <x v="50"/>
    <x v="3"/>
    <x v="22"/>
    <s v="Rio de Janeiro"/>
    <x v="5"/>
    <n v="1700"/>
    <n v="4"/>
    <n v="6800"/>
    <n v="3400"/>
    <n v="0.5"/>
  </r>
  <r>
    <x v="3"/>
    <x v="1"/>
    <x v="50"/>
    <x v="3"/>
    <x v="22"/>
    <s v="Rio de Janeiro"/>
    <x v="7"/>
    <n v="5340"/>
    <n v="12"/>
    <n v="64080"/>
    <n v="19224"/>
    <n v="0.3"/>
  </r>
  <r>
    <x v="2"/>
    <x v="0"/>
    <x v="51"/>
    <x v="3"/>
    <x v="22"/>
    <s v="Rio de Janeiro"/>
    <x v="3"/>
    <n v="5130"/>
    <n v="9"/>
    <n v="46170"/>
    <n v="18468"/>
    <n v="0.4"/>
  </r>
  <r>
    <x v="2"/>
    <x v="1"/>
    <x v="51"/>
    <x v="3"/>
    <x v="22"/>
    <s v="Rio de Janeiro"/>
    <x v="7"/>
    <n v="5340"/>
    <n v="9"/>
    <n v="48060"/>
    <n v="14418"/>
    <n v="0.3"/>
  </r>
  <r>
    <x v="4"/>
    <x v="1"/>
    <x v="51"/>
    <x v="3"/>
    <x v="22"/>
    <s v="Rio de Janeiro"/>
    <x v="3"/>
    <n v="5130"/>
    <n v="11"/>
    <n v="56430"/>
    <n v="22572"/>
    <n v="0.4"/>
  </r>
  <r>
    <x v="0"/>
    <x v="0"/>
    <x v="52"/>
    <x v="3"/>
    <x v="22"/>
    <s v="Rio de Janeiro"/>
    <x v="8"/>
    <n v="3400"/>
    <n v="7"/>
    <n v="23800"/>
    <n v="8330"/>
    <n v="0.35"/>
  </r>
  <r>
    <x v="1"/>
    <x v="1"/>
    <x v="52"/>
    <x v="3"/>
    <x v="22"/>
    <s v="Rio de Janeiro"/>
    <x v="9"/>
    <n v="5300"/>
    <n v="7"/>
    <n v="37100"/>
    <n v="11130"/>
    <n v="0.3"/>
  </r>
  <r>
    <x v="3"/>
    <x v="0"/>
    <x v="52"/>
    <x v="3"/>
    <x v="22"/>
    <s v="Rio de Janeiro"/>
    <x v="12"/>
    <n v="4500"/>
    <n v="11"/>
    <n v="49500"/>
    <n v="12375"/>
    <n v="0.25"/>
  </r>
  <r>
    <x v="0"/>
    <x v="1"/>
    <x v="53"/>
    <x v="3"/>
    <x v="22"/>
    <s v="Rio de Janeiro"/>
    <x v="6"/>
    <n v="1500"/>
    <n v="6"/>
    <n v="9000"/>
    <n v="3600"/>
    <n v="0.4"/>
  </r>
  <r>
    <x v="3"/>
    <x v="1"/>
    <x v="53"/>
    <x v="3"/>
    <x v="22"/>
    <s v="Rio de Janeiro"/>
    <x v="8"/>
    <n v="3400"/>
    <n v="10"/>
    <n v="34000"/>
    <n v="11900"/>
    <n v="0.35"/>
  </r>
  <r>
    <x v="3"/>
    <x v="1"/>
    <x v="53"/>
    <x v="3"/>
    <x v="22"/>
    <s v="Rio de Janeiro"/>
    <x v="9"/>
    <n v="5300"/>
    <n v="7"/>
    <n v="37100"/>
    <n v="11130"/>
    <n v="0.3"/>
  </r>
  <r>
    <x v="3"/>
    <x v="1"/>
    <x v="54"/>
    <x v="3"/>
    <x v="22"/>
    <s v="Rio de Janeiro"/>
    <x v="5"/>
    <n v="1700"/>
    <n v="4"/>
    <n v="6800"/>
    <n v="3400"/>
    <n v="0.5"/>
  </r>
  <r>
    <x v="2"/>
    <x v="1"/>
    <x v="54"/>
    <x v="3"/>
    <x v="22"/>
    <s v="Rio de Janeiro"/>
    <x v="11"/>
    <n v="4600"/>
    <n v="2"/>
    <n v="9200"/>
    <n v="2300"/>
    <n v="0.25"/>
  </r>
  <r>
    <x v="1"/>
    <x v="1"/>
    <x v="54"/>
    <x v="3"/>
    <x v="22"/>
    <s v="Rio de Janeiro"/>
    <x v="6"/>
    <n v="1500"/>
    <n v="7"/>
    <n v="10500"/>
    <n v="4200"/>
    <n v="0.4"/>
  </r>
  <r>
    <x v="3"/>
    <x v="1"/>
    <x v="55"/>
    <x v="3"/>
    <x v="22"/>
    <s v="Rio de Janeiro"/>
    <x v="5"/>
    <n v="1700"/>
    <n v="1"/>
    <n v="1700"/>
    <n v="850"/>
    <n v="0.5"/>
  </r>
  <r>
    <x v="2"/>
    <x v="1"/>
    <x v="55"/>
    <x v="3"/>
    <x v="22"/>
    <s v="Rio de Janeiro"/>
    <x v="9"/>
    <n v="5300"/>
    <n v="1"/>
    <n v="5300"/>
    <n v="1590"/>
    <n v="0.3"/>
  </r>
  <r>
    <x v="0"/>
    <x v="1"/>
    <x v="55"/>
    <x v="3"/>
    <x v="22"/>
    <s v="Rio de Janeiro"/>
    <x v="1"/>
    <n v="500"/>
    <n v="11"/>
    <n v="5500"/>
    <n v="1375"/>
    <n v="0.25"/>
  </r>
  <r>
    <x v="0"/>
    <x v="0"/>
    <x v="56"/>
    <x v="3"/>
    <x v="22"/>
    <s v="Rio de Janeiro"/>
    <x v="10"/>
    <n v="3200"/>
    <n v="3"/>
    <n v="9600"/>
    <n v="1920"/>
    <n v="0.2"/>
  </r>
  <r>
    <x v="3"/>
    <x v="1"/>
    <x v="56"/>
    <x v="3"/>
    <x v="22"/>
    <s v="Rio de Janeiro"/>
    <x v="12"/>
    <n v="4500"/>
    <n v="4"/>
    <n v="18000"/>
    <n v="4500"/>
    <n v="0.25"/>
  </r>
  <r>
    <x v="3"/>
    <x v="1"/>
    <x v="56"/>
    <x v="3"/>
    <x v="22"/>
    <s v="Rio de Janeiro"/>
    <x v="0"/>
    <n v="8902"/>
    <n v="7"/>
    <n v="62314"/>
    <n v="21809.899999999998"/>
    <n v="0.35"/>
  </r>
  <r>
    <x v="2"/>
    <x v="1"/>
    <x v="57"/>
    <x v="3"/>
    <x v="22"/>
    <s v="Rio de Janeiro"/>
    <x v="11"/>
    <n v="4600"/>
    <n v="2"/>
    <n v="9200"/>
    <n v="2300"/>
    <n v="0.25"/>
  </r>
  <r>
    <x v="0"/>
    <x v="1"/>
    <x v="57"/>
    <x v="3"/>
    <x v="22"/>
    <s v="Rio de Janeiro"/>
    <x v="5"/>
    <n v="1700"/>
    <n v="12"/>
    <n v="20400"/>
    <n v="10200"/>
    <n v="0.5"/>
  </r>
  <r>
    <x v="0"/>
    <x v="1"/>
    <x v="57"/>
    <x v="3"/>
    <x v="22"/>
    <s v="Rio de Janeiro"/>
    <x v="11"/>
    <n v="4600"/>
    <n v="6"/>
    <n v="27600"/>
    <n v="6900"/>
    <n v="0.25"/>
  </r>
  <r>
    <x v="0"/>
    <x v="1"/>
    <x v="58"/>
    <x v="3"/>
    <x v="22"/>
    <s v="Rio de Janeiro"/>
    <x v="4"/>
    <n v="300"/>
    <n v="12"/>
    <n v="3600"/>
    <n v="540"/>
    <n v="0.15"/>
  </r>
  <r>
    <x v="0"/>
    <x v="1"/>
    <x v="58"/>
    <x v="3"/>
    <x v="22"/>
    <s v="Rio de Janeiro"/>
    <x v="12"/>
    <n v="4500"/>
    <n v="6"/>
    <n v="27000"/>
    <n v="6750"/>
    <n v="0.25"/>
  </r>
  <r>
    <x v="1"/>
    <x v="1"/>
    <x v="58"/>
    <x v="3"/>
    <x v="22"/>
    <s v="Rio de Janeiro"/>
    <x v="8"/>
    <n v="3400"/>
    <n v="9"/>
    <n v="30600"/>
    <n v="10710"/>
    <n v="0.35"/>
  </r>
  <r>
    <x v="0"/>
    <x v="1"/>
    <x v="59"/>
    <x v="3"/>
    <x v="22"/>
    <s v="Rio de Janeiro"/>
    <x v="8"/>
    <n v="3400"/>
    <n v="4"/>
    <n v="13600"/>
    <n v="4760"/>
    <n v="0.35"/>
  </r>
  <r>
    <x v="0"/>
    <x v="0"/>
    <x v="59"/>
    <x v="3"/>
    <x v="22"/>
    <s v="Rio de Janeiro"/>
    <x v="0"/>
    <n v="8902"/>
    <n v="2"/>
    <n v="17804"/>
    <n v="6231.4"/>
    <n v="0.35"/>
  </r>
  <r>
    <x v="4"/>
    <x v="1"/>
    <x v="59"/>
    <x v="3"/>
    <x v="22"/>
    <s v="Rio de Janeiro"/>
    <x v="11"/>
    <n v="4600"/>
    <n v="7"/>
    <n v="32200"/>
    <n v="8050"/>
    <n v="0.25"/>
  </r>
  <r>
    <x v="3"/>
    <x v="1"/>
    <x v="60"/>
    <x v="3"/>
    <x v="22"/>
    <s v="Rio de Janeiro"/>
    <x v="4"/>
    <n v="300"/>
    <n v="10"/>
    <n v="3000"/>
    <n v="450"/>
    <n v="0.15"/>
  </r>
  <r>
    <x v="0"/>
    <x v="1"/>
    <x v="60"/>
    <x v="3"/>
    <x v="22"/>
    <s v="Rio de Janeiro"/>
    <x v="8"/>
    <n v="3400"/>
    <n v="1"/>
    <n v="3400"/>
    <n v="1190"/>
    <n v="0.35"/>
  </r>
  <r>
    <x v="0"/>
    <x v="0"/>
    <x v="60"/>
    <x v="3"/>
    <x v="22"/>
    <s v="Rio de Janeiro"/>
    <x v="8"/>
    <n v="3400"/>
    <n v="6"/>
    <n v="20400"/>
    <n v="7140"/>
    <n v="0.35"/>
  </r>
  <r>
    <x v="1"/>
    <x v="1"/>
    <x v="61"/>
    <x v="3"/>
    <x v="22"/>
    <s v="Rio de Janeiro"/>
    <x v="6"/>
    <n v="1500"/>
    <n v="3"/>
    <n v="4500"/>
    <n v="1800"/>
    <n v="0.4"/>
  </r>
  <r>
    <x v="3"/>
    <x v="1"/>
    <x v="61"/>
    <x v="3"/>
    <x v="22"/>
    <s v="Rio de Janeiro"/>
    <x v="2"/>
    <n v="1200"/>
    <n v="7"/>
    <n v="8400"/>
    <n v="2520"/>
    <n v="0.3"/>
  </r>
  <r>
    <x v="1"/>
    <x v="1"/>
    <x v="61"/>
    <x v="3"/>
    <x v="22"/>
    <s v="Rio de Janeiro"/>
    <x v="11"/>
    <n v="4600"/>
    <n v="9"/>
    <n v="41400"/>
    <n v="10350"/>
    <n v="0.25"/>
  </r>
  <r>
    <x v="3"/>
    <x v="1"/>
    <x v="62"/>
    <x v="3"/>
    <x v="22"/>
    <s v="Rio de Janeiro"/>
    <x v="1"/>
    <n v="500"/>
    <n v="7"/>
    <n v="3500"/>
    <n v="875"/>
    <n v="0.25"/>
  </r>
  <r>
    <x v="1"/>
    <x v="1"/>
    <x v="62"/>
    <x v="3"/>
    <x v="22"/>
    <s v="Rio de Janeiro"/>
    <x v="6"/>
    <n v="1500"/>
    <n v="7"/>
    <n v="10500"/>
    <n v="4200"/>
    <n v="0.4"/>
  </r>
  <r>
    <x v="2"/>
    <x v="0"/>
    <x v="62"/>
    <x v="3"/>
    <x v="22"/>
    <s v="Rio de Janeiro"/>
    <x v="11"/>
    <n v="4600"/>
    <n v="7"/>
    <n v="32200"/>
    <n v="8050"/>
    <n v="0.25"/>
  </r>
  <r>
    <x v="0"/>
    <x v="1"/>
    <x v="63"/>
    <x v="3"/>
    <x v="22"/>
    <s v="Rio de Janeiro"/>
    <x v="5"/>
    <n v="1700"/>
    <n v="5"/>
    <n v="8500"/>
    <n v="4250"/>
    <n v="0.5"/>
  </r>
  <r>
    <x v="2"/>
    <x v="1"/>
    <x v="63"/>
    <x v="3"/>
    <x v="22"/>
    <s v="Rio de Janeiro"/>
    <x v="7"/>
    <n v="5340"/>
    <n v="8"/>
    <n v="42720"/>
    <n v="12816"/>
    <n v="0.3"/>
  </r>
  <r>
    <x v="0"/>
    <x v="1"/>
    <x v="63"/>
    <x v="3"/>
    <x v="22"/>
    <s v="Rio de Janeiro"/>
    <x v="12"/>
    <n v="4500"/>
    <n v="10"/>
    <n v="45000"/>
    <n v="11250"/>
    <n v="0.25"/>
  </r>
  <r>
    <x v="2"/>
    <x v="0"/>
    <x v="64"/>
    <x v="3"/>
    <x v="22"/>
    <s v="Rio de Janeiro"/>
    <x v="2"/>
    <n v="1200"/>
    <n v="1"/>
    <n v="1200"/>
    <n v="360"/>
    <n v="0.3"/>
  </r>
  <r>
    <x v="3"/>
    <x v="1"/>
    <x v="64"/>
    <x v="3"/>
    <x v="22"/>
    <s v="Rio de Janeiro"/>
    <x v="5"/>
    <n v="1700"/>
    <n v="1"/>
    <n v="1700"/>
    <n v="850"/>
    <n v="0.5"/>
  </r>
  <r>
    <x v="3"/>
    <x v="0"/>
    <x v="64"/>
    <x v="3"/>
    <x v="22"/>
    <s v="Rio de Janeiro"/>
    <x v="1"/>
    <n v="500"/>
    <n v="9"/>
    <n v="4500"/>
    <n v="1125"/>
    <n v="0.25"/>
  </r>
  <r>
    <x v="0"/>
    <x v="1"/>
    <x v="65"/>
    <x v="3"/>
    <x v="22"/>
    <s v="Rio de Janeiro"/>
    <x v="1"/>
    <n v="500"/>
    <n v="6"/>
    <n v="3000"/>
    <n v="750"/>
    <n v="0.25"/>
  </r>
  <r>
    <x v="2"/>
    <x v="0"/>
    <x v="65"/>
    <x v="3"/>
    <x v="22"/>
    <s v="Rio de Janeiro"/>
    <x v="9"/>
    <n v="5300"/>
    <n v="3"/>
    <n v="15900"/>
    <n v="4770"/>
    <n v="0.3"/>
  </r>
  <r>
    <x v="0"/>
    <x v="1"/>
    <x v="65"/>
    <x v="3"/>
    <x v="22"/>
    <s v="Rio de Janeiro"/>
    <x v="12"/>
    <n v="4500"/>
    <n v="7"/>
    <n v="31500"/>
    <n v="7875"/>
    <n v="0.25"/>
  </r>
  <r>
    <x v="0"/>
    <x v="1"/>
    <x v="66"/>
    <x v="3"/>
    <x v="22"/>
    <s v="Rio de Janeiro"/>
    <x v="1"/>
    <n v="500"/>
    <n v="1"/>
    <n v="500"/>
    <n v="125"/>
    <n v="0.25"/>
  </r>
  <r>
    <x v="4"/>
    <x v="1"/>
    <x v="66"/>
    <x v="3"/>
    <x v="22"/>
    <s v="Rio de Janeiro"/>
    <x v="6"/>
    <n v="1500"/>
    <n v="5"/>
    <n v="7500"/>
    <n v="3000"/>
    <n v="0.4"/>
  </r>
  <r>
    <x v="3"/>
    <x v="0"/>
    <x v="66"/>
    <x v="3"/>
    <x v="22"/>
    <s v="Rio de Janeiro"/>
    <x v="0"/>
    <n v="8902"/>
    <n v="12"/>
    <n v="106824"/>
    <n v="37388.399999999994"/>
    <n v="0.35"/>
  </r>
  <r>
    <x v="3"/>
    <x v="1"/>
    <x v="67"/>
    <x v="3"/>
    <x v="22"/>
    <s v="Rio de Janeiro"/>
    <x v="5"/>
    <n v="1700"/>
    <n v="1"/>
    <n v="1700"/>
    <n v="850"/>
    <n v="0.5"/>
  </r>
  <r>
    <x v="3"/>
    <x v="0"/>
    <x v="67"/>
    <x v="3"/>
    <x v="22"/>
    <s v="Rio de Janeiro"/>
    <x v="8"/>
    <n v="3400"/>
    <n v="2"/>
    <n v="6800"/>
    <n v="2380"/>
    <n v="0.35"/>
  </r>
  <r>
    <x v="0"/>
    <x v="1"/>
    <x v="67"/>
    <x v="3"/>
    <x v="22"/>
    <s v="Rio de Janeiro"/>
    <x v="9"/>
    <n v="5300"/>
    <n v="9"/>
    <n v="47700"/>
    <n v="14310"/>
    <n v="0.3"/>
  </r>
  <r>
    <x v="3"/>
    <x v="1"/>
    <x v="68"/>
    <x v="3"/>
    <x v="22"/>
    <s v="Rio de Janeiro"/>
    <x v="12"/>
    <n v="4500"/>
    <n v="1"/>
    <n v="4500"/>
    <n v="1125"/>
    <n v="0.25"/>
  </r>
  <r>
    <x v="1"/>
    <x v="1"/>
    <x v="68"/>
    <x v="3"/>
    <x v="22"/>
    <s v="Rio de Janeiro"/>
    <x v="2"/>
    <n v="1200"/>
    <n v="4"/>
    <n v="4800"/>
    <n v="1440"/>
    <n v="0.3"/>
  </r>
  <r>
    <x v="3"/>
    <x v="1"/>
    <x v="68"/>
    <x v="3"/>
    <x v="22"/>
    <s v="Rio de Janeiro"/>
    <x v="6"/>
    <n v="1500"/>
    <n v="7"/>
    <n v="10500"/>
    <n v="4200"/>
    <n v="0.4"/>
  </r>
  <r>
    <x v="0"/>
    <x v="0"/>
    <x v="69"/>
    <x v="3"/>
    <x v="22"/>
    <s v="Rio de Janeiro"/>
    <x v="4"/>
    <n v="300"/>
    <n v="12"/>
    <n v="3600"/>
    <n v="540"/>
    <n v="0.15"/>
  </r>
  <r>
    <x v="4"/>
    <x v="1"/>
    <x v="69"/>
    <x v="3"/>
    <x v="22"/>
    <s v="Rio de Janeiro"/>
    <x v="5"/>
    <n v="1700"/>
    <n v="12"/>
    <n v="20400"/>
    <n v="10200"/>
    <n v="0.5"/>
  </r>
  <r>
    <x v="3"/>
    <x v="1"/>
    <x v="69"/>
    <x v="3"/>
    <x v="22"/>
    <s v="Rio de Janeiro"/>
    <x v="7"/>
    <n v="5340"/>
    <n v="4"/>
    <n v="21360"/>
    <n v="6408"/>
    <n v="0.3"/>
  </r>
  <r>
    <x v="4"/>
    <x v="1"/>
    <x v="70"/>
    <x v="3"/>
    <x v="22"/>
    <s v="Rio de Janeiro"/>
    <x v="5"/>
    <n v="1700"/>
    <n v="11"/>
    <n v="18700"/>
    <n v="9350"/>
    <n v="0.5"/>
  </r>
  <r>
    <x v="3"/>
    <x v="0"/>
    <x v="70"/>
    <x v="3"/>
    <x v="22"/>
    <s v="Rio de Janeiro"/>
    <x v="7"/>
    <n v="5340"/>
    <n v="4"/>
    <n v="21360"/>
    <n v="6408"/>
    <n v="0.3"/>
  </r>
  <r>
    <x v="3"/>
    <x v="1"/>
    <x v="70"/>
    <x v="3"/>
    <x v="22"/>
    <s v="Rio de Janeiro"/>
    <x v="8"/>
    <n v="3400"/>
    <n v="9"/>
    <n v="30600"/>
    <n v="10710"/>
    <n v="0.35"/>
  </r>
  <r>
    <x v="1"/>
    <x v="1"/>
    <x v="71"/>
    <x v="3"/>
    <x v="22"/>
    <s v="Rio de Janeiro"/>
    <x v="11"/>
    <n v="4600"/>
    <n v="2"/>
    <n v="9200"/>
    <n v="2300"/>
    <n v="0.25"/>
  </r>
  <r>
    <x v="1"/>
    <x v="1"/>
    <x v="71"/>
    <x v="3"/>
    <x v="22"/>
    <s v="Rio de Janeiro"/>
    <x v="7"/>
    <n v="5340"/>
    <n v="5"/>
    <n v="26700"/>
    <n v="8010"/>
    <n v="0.3"/>
  </r>
  <r>
    <x v="4"/>
    <x v="0"/>
    <x v="71"/>
    <x v="3"/>
    <x v="22"/>
    <s v="Rio de Janeiro"/>
    <x v="3"/>
    <n v="5130"/>
    <n v="12"/>
    <n v="61560"/>
    <n v="24624"/>
    <n v="0.4"/>
  </r>
  <r>
    <x v="0"/>
    <x v="1"/>
    <x v="72"/>
    <x v="3"/>
    <x v="22"/>
    <s v="Rio de Janeiro"/>
    <x v="6"/>
    <n v="1500"/>
    <n v="2"/>
    <n v="3000"/>
    <n v="1200"/>
    <n v="0.4"/>
  </r>
  <r>
    <x v="0"/>
    <x v="0"/>
    <x v="72"/>
    <x v="3"/>
    <x v="22"/>
    <s v="Rio de Janeiro"/>
    <x v="5"/>
    <n v="1700"/>
    <n v="5"/>
    <n v="8500"/>
    <n v="4250"/>
    <n v="0.5"/>
  </r>
  <r>
    <x v="0"/>
    <x v="0"/>
    <x v="72"/>
    <x v="3"/>
    <x v="22"/>
    <s v="Rio de Janeiro"/>
    <x v="5"/>
    <n v="1700"/>
    <n v="10"/>
    <n v="17000"/>
    <n v="8500"/>
    <n v="0.5"/>
  </r>
  <r>
    <x v="3"/>
    <x v="1"/>
    <x v="73"/>
    <x v="3"/>
    <x v="22"/>
    <s v="Rio de Janeiro"/>
    <x v="2"/>
    <n v="1200"/>
    <n v="4"/>
    <n v="4800"/>
    <n v="1440"/>
    <n v="0.3"/>
  </r>
  <r>
    <x v="0"/>
    <x v="1"/>
    <x v="73"/>
    <x v="3"/>
    <x v="22"/>
    <s v="Rio de Janeiro"/>
    <x v="11"/>
    <n v="4600"/>
    <n v="3"/>
    <n v="13800"/>
    <n v="3450"/>
    <n v="0.25"/>
  </r>
  <r>
    <x v="3"/>
    <x v="0"/>
    <x v="73"/>
    <x v="3"/>
    <x v="22"/>
    <s v="Rio de Janeiro"/>
    <x v="6"/>
    <n v="1500"/>
    <n v="10"/>
    <n v="15000"/>
    <n v="6000"/>
    <n v="0.4"/>
  </r>
  <r>
    <x v="2"/>
    <x v="0"/>
    <x v="74"/>
    <x v="3"/>
    <x v="22"/>
    <s v="Rio de Janeiro"/>
    <x v="5"/>
    <n v="1700"/>
    <n v="12"/>
    <n v="20400"/>
    <n v="10200"/>
    <n v="0.5"/>
  </r>
  <r>
    <x v="3"/>
    <x v="1"/>
    <x v="74"/>
    <x v="3"/>
    <x v="22"/>
    <s v="Rio de Janeiro"/>
    <x v="8"/>
    <n v="3400"/>
    <n v="9"/>
    <n v="30600"/>
    <n v="10710"/>
    <n v="0.35"/>
  </r>
  <r>
    <x v="3"/>
    <x v="0"/>
    <x v="74"/>
    <x v="3"/>
    <x v="22"/>
    <s v="Rio de Janeiro"/>
    <x v="8"/>
    <n v="3400"/>
    <n v="10"/>
    <n v="34000"/>
    <n v="11900"/>
    <n v="0.35"/>
  </r>
  <r>
    <x v="3"/>
    <x v="0"/>
    <x v="75"/>
    <x v="3"/>
    <x v="22"/>
    <s v="Rio de Janeiro"/>
    <x v="1"/>
    <n v="500"/>
    <n v="7"/>
    <n v="3500"/>
    <n v="875"/>
    <n v="0.25"/>
  </r>
  <r>
    <x v="0"/>
    <x v="1"/>
    <x v="75"/>
    <x v="3"/>
    <x v="22"/>
    <s v="Rio de Janeiro"/>
    <x v="5"/>
    <n v="1700"/>
    <n v="5"/>
    <n v="8500"/>
    <n v="4250"/>
    <n v="0.5"/>
  </r>
  <r>
    <x v="0"/>
    <x v="1"/>
    <x v="75"/>
    <x v="3"/>
    <x v="22"/>
    <s v="Rio de Janeiro"/>
    <x v="7"/>
    <n v="5340"/>
    <n v="13"/>
    <n v="69420"/>
    <n v="20826"/>
    <n v="0.3"/>
  </r>
  <r>
    <x v="0"/>
    <x v="0"/>
    <x v="76"/>
    <x v="3"/>
    <x v="22"/>
    <s v="Rio de Janeiro"/>
    <x v="5"/>
    <n v="1700"/>
    <n v="3"/>
    <n v="5100"/>
    <n v="2550"/>
    <n v="0.5"/>
  </r>
  <r>
    <x v="3"/>
    <x v="1"/>
    <x v="76"/>
    <x v="3"/>
    <x v="22"/>
    <s v="Rio de Janeiro"/>
    <x v="2"/>
    <n v="1200"/>
    <n v="7"/>
    <n v="8400"/>
    <n v="2520"/>
    <n v="0.3"/>
  </r>
  <r>
    <x v="0"/>
    <x v="1"/>
    <x v="76"/>
    <x v="3"/>
    <x v="22"/>
    <s v="Rio de Janeiro"/>
    <x v="11"/>
    <n v="4600"/>
    <n v="5"/>
    <n v="23000"/>
    <n v="5750"/>
    <n v="0.25"/>
  </r>
  <r>
    <x v="3"/>
    <x v="0"/>
    <x v="77"/>
    <x v="3"/>
    <x v="22"/>
    <s v="Rio de Janeiro"/>
    <x v="7"/>
    <n v="5340"/>
    <n v="10"/>
    <n v="53400"/>
    <n v="16020"/>
    <n v="0.3"/>
  </r>
  <r>
    <x v="0"/>
    <x v="1"/>
    <x v="77"/>
    <x v="3"/>
    <x v="22"/>
    <s v="Rio de Janeiro"/>
    <x v="7"/>
    <n v="5340"/>
    <n v="10"/>
    <n v="53400"/>
    <n v="16020"/>
    <n v="0.3"/>
  </r>
  <r>
    <x v="0"/>
    <x v="1"/>
    <x v="77"/>
    <x v="3"/>
    <x v="22"/>
    <s v="Rio de Janeiro"/>
    <x v="9"/>
    <n v="5300"/>
    <n v="12"/>
    <n v="63600"/>
    <n v="19080"/>
    <n v="0.3"/>
  </r>
  <r>
    <x v="0"/>
    <x v="1"/>
    <x v="78"/>
    <x v="3"/>
    <x v="22"/>
    <s v="Rio de Janeiro"/>
    <x v="10"/>
    <n v="3200"/>
    <n v="3"/>
    <n v="9600"/>
    <n v="1920"/>
    <n v="0.2"/>
  </r>
  <r>
    <x v="3"/>
    <x v="0"/>
    <x v="78"/>
    <x v="3"/>
    <x v="22"/>
    <s v="Rio de Janeiro"/>
    <x v="6"/>
    <n v="1500"/>
    <n v="7"/>
    <n v="10500"/>
    <n v="4200"/>
    <n v="0.4"/>
  </r>
  <r>
    <x v="0"/>
    <x v="0"/>
    <x v="78"/>
    <x v="3"/>
    <x v="22"/>
    <s v="Rio de Janeiro"/>
    <x v="9"/>
    <n v="5300"/>
    <n v="5"/>
    <n v="26500"/>
    <n v="7950"/>
    <n v="0.3"/>
  </r>
  <r>
    <x v="4"/>
    <x v="1"/>
    <x v="79"/>
    <x v="3"/>
    <x v="22"/>
    <s v="Rio de Janeiro"/>
    <x v="3"/>
    <n v="5130"/>
    <n v="3"/>
    <n v="15390"/>
    <n v="6156"/>
    <n v="0.4"/>
  </r>
  <r>
    <x v="3"/>
    <x v="1"/>
    <x v="79"/>
    <x v="3"/>
    <x v="22"/>
    <s v="Rio de Janeiro"/>
    <x v="12"/>
    <n v="4500"/>
    <n v="4"/>
    <n v="18000"/>
    <n v="4500"/>
    <n v="0.25"/>
  </r>
  <r>
    <x v="0"/>
    <x v="1"/>
    <x v="79"/>
    <x v="3"/>
    <x v="22"/>
    <s v="Rio de Janeiro"/>
    <x v="7"/>
    <n v="5340"/>
    <n v="7"/>
    <n v="37380"/>
    <n v="11214"/>
    <n v="0.3"/>
  </r>
  <r>
    <x v="2"/>
    <x v="1"/>
    <x v="80"/>
    <x v="3"/>
    <x v="22"/>
    <s v="Rio de Janeiro"/>
    <x v="8"/>
    <n v="3400"/>
    <n v="1"/>
    <n v="3400"/>
    <n v="1190"/>
    <n v="0.35"/>
  </r>
  <r>
    <x v="0"/>
    <x v="1"/>
    <x v="80"/>
    <x v="3"/>
    <x v="22"/>
    <s v="Rio de Janeiro"/>
    <x v="12"/>
    <n v="4500"/>
    <n v="9"/>
    <n v="40500"/>
    <n v="10125"/>
    <n v="0.25"/>
  </r>
  <r>
    <x v="4"/>
    <x v="1"/>
    <x v="80"/>
    <x v="3"/>
    <x v="22"/>
    <s v="Rio de Janeiro"/>
    <x v="9"/>
    <n v="5300"/>
    <n v="12"/>
    <n v="63600"/>
    <n v="19080"/>
    <n v="0.3"/>
  </r>
  <r>
    <x v="0"/>
    <x v="1"/>
    <x v="81"/>
    <x v="3"/>
    <x v="22"/>
    <s v="Rio de Janeiro"/>
    <x v="5"/>
    <n v="1700"/>
    <n v="5"/>
    <n v="8500"/>
    <n v="4250"/>
    <n v="0.5"/>
  </r>
  <r>
    <x v="3"/>
    <x v="1"/>
    <x v="81"/>
    <x v="3"/>
    <x v="22"/>
    <s v="Rio de Janeiro"/>
    <x v="10"/>
    <n v="3200"/>
    <n v="10"/>
    <n v="32000"/>
    <n v="6400"/>
    <n v="0.2"/>
  </r>
  <r>
    <x v="0"/>
    <x v="0"/>
    <x v="81"/>
    <x v="3"/>
    <x v="22"/>
    <s v="Rio de Janeiro"/>
    <x v="8"/>
    <n v="3400"/>
    <n v="12"/>
    <n v="40800"/>
    <n v="14280"/>
    <n v="0.35"/>
  </r>
  <r>
    <x v="0"/>
    <x v="1"/>
    <x v="82"/>
    <x v="3"/>
    <x v="22"/>
    <s v="Rio de Janeiro"/>
    <x v="5"/>
    <n v="1700"/>
    <n v="8"/>
    <n v="13600"/>
    <n v="6800"/>
    <n v="0.5"/>
  </r>
  <r>
    <x v="0"/>
    <x v="1"/>
    <x v="82"/>
    <x v="3"/>
    <x v="22"/>
    <s v="Rio de Janeiro"/>
    <x v="8"/>
    <n v="3400"/>
    <n v="5"/>
    <n v="17000"/>
    <n v="5950"/>
    <n v="0.35"/>
  </r>
  <r>
    <x v="0"/>
    <x v="0"/>
    <x v="82"/>
    <x v="3"/>
    <x v="22"/>
    <s v="Rio de Janeiro"/>
    <x v="11"/>
    <n v="4600"/>
    <n v="4"/>
    <n v="18400"/>
    <n v="4600"/>
    <n v="0.25"/>
  </r>
  <r>
    <x v="3"/>
    <x v="0"/>
    <x v="83"/>
    <x v="3"/>
    <x v="22"/>
    <s v="Rio de Janeiro"/>
    <x v="6"/>
    <n v="1500"/>
    <n v="7"/>
    <n v="10500"/>
    <n v="4200"/>
    <n v="0.4"/>
  </r>
  <r>
    <x v="1"/>
    <x v="1"/>
    <x v="83"/>
    <x v="3"/>
    <x v="22"/>
    <s v="Rio de Janeiro"/>
    <x v="10"/>
    <n v="3200"/>
    <n v="4"/>
    <n v="12800"/>
    <n v="2560"/>
    <n v="0.2"/>
  </r>
  <r>
    <x v="0"/>
    <x v="1"/>
    <x v="83"/>
    <x v="3"/>
    <x v="22"/>
    <s v="Rio de Janeiro"/>
    <x v="7"/>
    <n v="5340"/>
    <n v="3"/>
    <n v="16020"/>
    <n v="4806"/>
    <n v="0.3"/>
  </r>
  <r>
    <x v="3"/>
    <x v="1"/>
    <x v="84"/>
    <x v="3"/>
    <x v="22"/>
    <s v="Rio de Janeiro"/>
    <x v="6"/>
    <n v="1500"/>
    <n v="7"/>
    <n v="10500"/>
    <n v="4200"/>
    <n v="0.4"/>
  </r>
  <r>
    <x v="4"/>
    <x v="1"/>
    <x v="84"/>
    <x v="3"/>
    <x v="22"/>
    <s v="Rio de Janeiro"/>
    <x v="5"/>
    <n v="1700"/>
    <n v="15"/>
    <n v="25500"/>
    <n v="12750"/>
    <n v="0.5"/>
  </r>
  <r>
    <x v="4"/>
    <x v="0"/>
    <x v="84"/>
    <x v="3"/>
    <x v="22"/>
    <s v="Rio de Janeiro"/>
    <x v="3"/>
    <n v="5130"/>
    <n v="12"/>
    <n v="61560"/>
    <n v="24624"/>
    <n v="0.4"/>
  </r>
  <r>
    <x v="3"/>
    <x v="0"/>
    <x v="85"/>
    <x v="3"/>
    <x v="22"/>
    <s v="Rio de Janeiro"/>
    <x v="5"/>
    <n v="1700"/>
    <n v="1"/>
    <n v="1700"/>
    <n v="850"/>
    <n v="0.5"/>
  </r>
  <r>
    <x v="3"/>
    <x v="1"/>
    <x v="85"/>
    <x v="3"/>
    <x v="22"/>
    <s v="Rio de Janeiro"/>
    <x v="10"/>
    <n v="3200"/>
    <n v="8"/>
    <n v="25600"/>
    <n v="5120"/>
    <n v="0.2"/>
  </r>
  <r>
    <x v="4"/>
    <x v="0"/>
    <x v="85"/>
    <x v="3"/>
    <x v="22"/>
    <s v="Rio de Janeiro"/>
    <x v="12"/>
    <n v="4500"/>
    <n v="16"/>
    <n v="72000"/>
    <n v="18000"/>
    <n v="0.25"/>
  </r>
  <r>
    <x v="3"/>
    <x v="1"/>
    <x v="0"/>
    <x v="3"/>
    <x v="23"/>
    <s v="São Paulo"/>
    <x v="8"/>
    <n v="3400"/>
    <n v="1"/>
    <n v="3400"/>
    <n v="1190"/>
    <n v="0.35"/>
  </r>
  <r>
    <x v="0"/>
    <x v="1"/>
    <x v="0"/>
    <x v="3"/>
    <x v="23"/>
    <s v="São Paulo"/>
    <x v="1"/>
    <n v="500"/>
    <n v="8"/>
    <n v="4000"/>
    <n v="1000"/>
    <n v="0.25"/>
  </r>
  <r>
    <x v="0"/>
    <x v="1"/>
    <x v="0"/>
    <x v="3"/>
    <x v="23"/>
    <s v="São Paulo"/>
    <x v="3"/>
    <n v="5130"/>
    <n v="9"/>
    <n v="46170"/>
    <n v="18468"/>
    <n v="0.4"/>
  </r>
  <r>
    <x v="2"/>
    <x v="0"/>
    <x v="0"/>
    <x v="3"/>
    <x v="23"/>
    <s v="São Paulo"/>
    <x v="12"/>
    <n v="4500"/>
    <n v="12"/>
    <n v="54000"/>
    <n v="13500"/>
    <n v="0.25"/>
  </r>
  <r>
    <x v="2"/>
    <x v="1"/>
    <x v="1"/>
    <x v="3"/>
    <x v="23"/>
    <s v="São Paulo"/>
    <x v="4"/>
    <n v="300"/>
    <n v="10"/>
    <n v="3000"/>
    <n v="450"/>
    <n v="0.15"/>
  </r>
  <r>
    <x v="3"/>
    <x v="1"/>
    <x v="1"/>
    <x v="3"/>
    <x v="23"/>
    <s v="São Paulo"/>
    <x v="2"/>
    <n v="1200"/>
    <n v="8"/>
    <n v="9600"/>
    <n v="2880"/>
    <n v="0.3"/>
  </r>
  <r>
    <x v="1"/>
    <x v="1"/>
    <x v="1"/>
    <x v="3"/>
    <x v="23"/>
    <s v="São Paulo"/>
    <x v="8"/>
    <n v="3400"/>
    <n v="10"/>
    <n v="34000"/>
    <n v="11900"/>
    <n v="0.35"/>
  </r>
  <r>
    <x v="1"/>
    <x v="1"/>
    <x v="1"/>
    <x v="3"/>
    <x v="23"/>
    <s v="São Paulo"/>
    <x v="0"/>
    <n v="8902"/>
    <n v="12"/>
    <n v="106824"/>
    <n v="37388.399999999994"/>
    <n v="0.35"/>
  </r>
  <r>
    <x v="1"/>
    <x v="1"/>
    <x v="2"/>
    <x v="3"/>
    <x v="23"/>
    <s v="São Paulo"/>
    <x v="12"/>
    <n v="4500"/>
    <n v="1"/>
    <n v="4500"/>
    <n v="1125"/>
    <n v="0.25"/>
  </r>
  <r>
    <x v="1"/>
    <x v="0"/>
    <x v="2"/>
    <x v="3"/>
    <x v="23"/>
    <s v="São Paulo"/>
    <x v="8"/>
    <n v="3400"/>
    <n v="4"/>
    <n v="13600"/>
    <n v="4760"/>
    <n v="0.35"/>
  </r>
  <r>
    <x v="2"/>
    <x v="1"/>
    <x v="2"/>
    <x v="3"/>
    <x v="23"/>
    <s v="São Paulo"/>
    <x v="7"/>
    <n v="5340"/>
    <n v="4"/>
    <n v="21360"/>
    <n v="6408"/>
    <n v="0.3"/>
  </r>
  <r>
    <x v="1"/>
    <x v="1"/>
    <x v="2"/>
    <x v="3"/>
    <x v="23"/>
    <s v="São Paulo"/>
    <x v="11"/>
    <n v="4600"/>
    <n v="9"/>
    <n v="41400"/>
    <n v="10350"/>
    <n v="0.25"/>
  </r>
  <r>
    <x v="1"/>
    <x v="1"/>
    <x v="3"/>
    <x v="3"/>
    <x v="23"/>
    <s v="São Paulo"/>
    <x v="1"/>
    <n v="500"/>
    <n v="3"/>
    <n v="1500"/>
    <n v="375"/>
    <n v="0.25"/>
  </r>
  <r>
    <x v="2"/>
    <x v="1"/>
    <x v="3"/>
    <x v="3"/>
    <x v="23"/>
    <s v="São Paulo"/>
    <x v="10"/>
    <n v="3200"/>
    <n v="6"/>
    <n v="19200"/>
    <n v="3840"/>
    <n v="0.2"/>
  </r>
  <r>
    <x v="0"/>
    <x v="1"/>
    <x v="3"/>
    <x v="3"/>
    <x v="23"/>
    <s v="São Paulo"/>
    <x v="11"/>
    <n v="4600"/>
    <n v="7"/>
    <n v="32200"/>
    <n v="8050"/>
    <n v="0.25"/>
  </r>
  <r>
    <x v="1"/>
    <x v="1"/>
    <x v="3"/>
    <x v="3"/>
    <x v="23"/>
    <s v="São Paulo"/>
    <x v="9"/>
    <n v="5300"/>
    <n v="10"/>
    <n v="53000"/>
    <n v="15900"/>
    <n v="0.3"/>
  </r>
  <r>
    <x v="0"/>
    <x v="1"/>
    <x v="4"/>
    <x v="3"/>
    <x v="23"/>
    <s v="São Paulo"/>
    <x v="3"/>
    <n v="5130"/>
    <n v="3"/>
    <n v="15390"/>
    <n v="6156"/>
    <n v="0.4"/>
  </r>
  <r>
    <x v="1"/>
    <x v="1"/>
    <x v="4"/>
    <x v="3"/>
    <x v="23"/>
    <s v="São Paulo"/>
    <x v="8"/>
    <n v="3400"/>
    <n v="5"/>
    <n v="17000"/>
    <n v="5950"/>
    <n v="0.35"/>
  </r>
  <r>
    <x v="2"/>
    <x v="0"/>
    <x v="4"/>
    <x v="3"/>
    <x v="23"/>
    <s v="São Paulo"/>
    <x v="0"/>
    <n v="8902"/>
    <n v="5"/>
    <n v="44510"/>
    <n v="15578.499999999998"/>
    <n v="0.35"/>
  </r>
  <r>
    <x v="0"/>
    <x v="1"/>
    <x v="4"/>
    <x v="3"/>
    <x v="23"/>
    <s v="São Paulo"/>
    <x v="7"/>
    <n v="5340"/>
    <n v="9"/>
    <n v="48060"/>
    <n v="14418"/>
    <n v="0.3"/>
  </r>
  <r>
    <x v="0"/>
    <x v="1"/>
    <x v="5"/>
    <x v="3"/>
    <x v="23"/>
    <s v="São Paulo"/>
    <x v="3"/>
    <n v="5130"/>
    <n v="3"/>
    <n v="15390"/>
    <n v="6156"/>
    <n v="0.4"/>
  </r>
  <r>
    <x v="0"/>
    <x v="1"/>
    <x v="5"/>
    <x v="3"/>
    <x v="23"/>
    <s v="São Paulo"/>
    <x v="11"/>
    <n v="4600"/>
    <n v="7"/>
    <n v="32200"/>
    <n v="8050"/>
    <n v="0.25"/>
  </r>
  <r>
    <x v="3"/>
    <x v="0"/>
    <x v="5"/>
    <x v="3"/>
    <x v="23"/>
    <s v="São Paulo"/>
    <x v="7"/>
    <n v="5340"/>
    <n v="10"/>
    <n v="53400"/>
    <n v="16020"/>
    <n v="0.3"/>
  </r>
  <r>
    <x v="0"/>
    <x v="1"/>
    <x v="5"/>
    <x v="3"/>
    <x v="23"/>
    <s v="São Paulo"/>
    <x v="11"/>
    <n v="4600"/>
    <n v="12"/>
    <n v="55200"/>
    <n v="13800"/>
    <n v="0.25"/>
  </r>
  <r>
    <x v="3"/>
    <x v="1"/>
    <x v="6"/>
    <x v="3"/>
    <x v="23"/>
    <s v="São Paulo"/>
    <x v="6"/>
    <n v="1500"/>
    <n v="3"/>
    <n v="4500"/>
    <n v="1800"/>
    <n v="0.4"/>
  </r>
  <r>
    <x v="3"/>
    <x v="1"/>
    <x v="6"/>
    <x v="3"/>
    <x v="23"/>
    <s v="São Paulo"/>
    <x v="5"/>
    <n v="1700"/>
    <n v="8"/>
    <n v="13600"/>
    <n v="6800"/>
    <n v="0.5"/>
  </r>
  <r>
    <x v="1"/>
    <x v="0"/>
    <x v="6"/>
    <x v="3"/>
    <x v="23"/>
    <s v="São Paulo"/>
    <x v="10"/>
    <n v="3200"/>
    <n v="5"/>
    <n v="16000"/>
    <n v="3200"/>
    <n v="0.2"/>
  </r>
  <r>
    <x v="0"/>
    <x v="0"/>
    <x v="6"/>
    <x v="3"/>
    <x v="23"/>
    <s v="São Paulo"/>
    <x v="11"/>
    <n v="4600"/>
    <n v="4"/>
    <n v="18400"/>
    <n v="4600"/>
    <n v="0.25"/>
  </r>
  <r>
    <x v="3"/>
    <x v="0"/>
    <x v="7"/>
    <x v="3"/>
    <x v="23"/>
    <s v="São Paulo"/>
    <x v="1"/>
    <n v="500"/>
    <n v="1"/>
    <n v="500"/>
    <n v="125"/>
    <n v="0.25"/>
  </r>
  <r>
    <x v="1"/>
    <x v="1"/>
    <x v="7"/>
    <x v="3"/>
    <x v="23"/>
    <s v="São Paulo"/>
    <x v="1"/>
    <n v="500"/>
    <n v="2"/>
    <n v="1000"/>
    <n v="250"/>
    <n v="0.25"/>
  </r>
  <r>
    <x v="4"/>
    <x v="1"/>
    <x v="7"/>
    <x v="3"/>
    <x v="23"/>
    <s v="São Paulo"/>
    <x v="0"/>
    <n v="8902"/>
    <n v="1"/>
    <n v="8902"/>
    <n v="3115.7"/>
    <n v="0.35"/>
  </r>
  <r>
    <x v="1"/>
    <x v="0"/>
    <x v="7"/>
    <x v="3"/>
    <x v="23"/>
    <s v="São Paulo"/>
    <x v="6"/>
    <n v="1500"/>
    <n v="10"/>
    <n v="15000"/>
    <n v="6000"/>
    <n v="0.4"/>
  </r>
  <r>
    <x v="4"/>
    <x v="1"/>
    <x v="8"/>
    <x v="3"/>
    <x v="23"/>
    <s v="São Paulo"/>
    <x v="4"/>
    <n v="300"/>
    <n v="11"/>
    <n v="3300"/>
    <n v="495"/>
    <n v="0.15"/>
  </r>
  <r>
    <x v="3"/>
    <x v="0"/>
    <x v="8"/>
    <x v="3"/>
    <x v="23"/>
    <s v="São Paulo"/>
    <x v="8"/>
    <n v="3400"/>
    <n v="6"/>
    <n v="20400"/>
    <n v="7140"/>
    <n v="0.35"/>
  </r>
  <r>
    <x v="3"/>
    <x v="1"/>
    <x v="8"/>
    <x v="3"/>
    <x v="23"/>
    <s v="São Paulo"/>
    <x v="3"/>
    <n v="5130"/>
    <n v="6"/>
    <n v="30780"/>
    <n v="12312"/>
    <n v="0.4"/>
  </r>
  <r>
    <x v="2"/>
    <x v="1"/>
    <x v="8"/>
    <x v="3"/>
    <x v="23"/>
    <s v="São Paulo"/>
    <x v="7"/>
    <n v="5340"/>
    <n v="12"/>
    <n v="64080"/>
    <n v="19224"/>
    <n v="0.3"/>
  </r>
  <r>
    <x v="0"/>
    <x v="1"/>
    <x v="9"/>
    <x v="3"/>
    <x v="23"/>
    <s v="São Paulo"/>
    <x v="2"/>
    <n v="1200"/>
    <n v="2"/>
    <n v="2400"/>
    <n v="720"/>
    <n v="0.3"/>
  </r>
  <r>
    <x v="0"/>
    <x v="1"/>
    <x v="9"/>
    <x v="3"/>
    <x v="23"/>
    <s v="São Paulo"/>
    <x v="9"/>
    <n v="5300"/>
    <n v="1"/>
    <n v="5300"/>
    <n v="1590"/>
    <n v="0.3"/>
  </r>
  <r>
    <x v="0"/>
    <x v="0"/>
    <x v="9"/>
    <x v="3"/>
    <x v="23"/>
    <s v="São Paulo"/>
    <x v="8"/>
    <n v="3400"/>
    <n v="11"/>
    <n v="37400"/>
    <n v="13090"/>
    <n v="0.35"/>
  </r>
  <r>
    <x v="0"/>
    <x v="0"/>
    <x v="9"/>
    <x v="3"/>
    <x v="23"/>
    <s v="São Paulo"/>
    <x v="0"/>
    <n v="8902"/>
    <n v="10"/>
    <n v="89020"/>
    <n v="31156.999999999996"/>
    <n v="0.35"/>
  </r>
  <r>
    <x v="0"/>
    <x v="1"/>
    <x v="10"/>
    <x v="3"/>
    <x v="23"/>
    <s v="São Paulo"/>
    <x v="10"/>
    <n v="3200"/>
    <n v="1"/>
    <n v="3200"/>
    <n v="640"/>
    <n v="0.2"/>
  </r>
  <r>
    <x v="0"/>
    <x v="1"/>
    <x v="10"/>
    <x v="3"/>
    <x v="23"/>
    <s v="São Paulo"/>
    <x v="11"/>
    <n v="4600"/>
    <n v="6"/>
    <n v="27600"/>
    <n v="6900"/>
    <n v="0.25"/>
  </r>
  <r>
    <x v="4"/>
    <x v="0"/>
    <x v="10"/>
    <x v="3"/>
    <x v="23"/>
    <s v="São Paulo"/>
    <x v="3"/>
    <n v="5130"/>
    <n v="9"/>
    <n v="46170"/>
    <n v="18468"/>
    <n v="0.4"/>
  </r>
  <r>
    <x v="3"/>
    <x v="1"/>
    <x v="10"/>
    <x v="3"/>
    <x v="23"/>
    <s v="São Paulo"/>
    <x v="11"/>
    <n v="4600"/>
    <n v="11"/>
    <n v="50600"/>
    <n v="12650"/>
    <n v="0.25"/>
  </r>
  <r>
    <x v="3"/>
    <x v="1"/>
    <x v="11"/>
    <x v="3"/>
    <x v="23"/>
    <s v="São Paulo"/>
    <x v="5"/>
    <n v="1700"/>
    <n v="9"/>
    <n v="15300"/>
    <n v="7650"/>
    <n v="0.5"/>
  </r>
  <r>
    <x v="0"/>
    <x v="1"/>
    <x v="11"/>
    <x v="3"/>
    <x v="23"/>
    <s v="São Paulo"/>
    <x v="11"/>
    <n v="4600"/>
    <n v="4"/>
    <n v="18400"/>
    <n v="4600"/>
    <n v="0.25"/>
  </r>
  <r>
    <x v="0"/>
    <x v="1"/>
    <x v="11"/>
    <x v="3"/>
    <x v="23"/>
    <s v="São Paulo"/>
    <x v="9"/>
    <n v="5300"/>
    <n v="5"/>
    <n v="26500"/>
    <n v="7950"/>
    <n v="0.3"/>
  </r>
  <r>
    <x v="2"/>
    <x v="1"/>
    <x v="11"/>
    <x v="3"/>
    <x v="23"/>
    <s v="São Paulo"/>
    <x v="9"/>
    <n v="5300"/>
    <n v="7"/>
    <n v="37100"/>
    <n v="11130"/>
    <n v="0.3"/>
  </r>
  <r>
    <x v="0"/>
    <x v="1"/>
    <x v="12"/>
    <x v="3"/>
    <x v="23"/>
    <s v="São Paulo"/>
    <x v="2"/>
    <n v="1200"/>
    <n v="1"/>
    <n v="1200"/>
    <n v="360"/>
    <n v="0.3"/>
  </r>
  <r>
    <x v="1"/>
    <x v="1"/>
    <x v="12"/>
    <x v="3"/>
    <x v="23"/>
    <s v="São Paulo"/>
    <x v="5"/>
    <n v="1700"/>
    <n v="6"/>
    <n v="10200"/>
    <n v="5100"/>
    <n v="0.5"/>
  </r>
  <r>
    <x v="0"/>
    <x v="1"/>
    <x v="12"/>
    <x v="3"/>
    <x v="23"/>
    <s v="São Paulo"/>
    <x v="12"/>
    <n v="4500"/>
    <n v="3"/>
    <n v="13500"/>
    <n v="3375"/>
    <n v="0.25"/>
  </r>
  <r>
    <x v="0"/>
    <x v="0"/>
    <x v="12"/>
    <x v="3"/>
    <x v="23"/>
    <s v="São Paulo"/>
    <x v="7"/>
    <n v="5340"/>
    <n v="8"/>
    <n v="42720"/>
    <n v="12816"/>
    <n v="0.3"/>
  </r>
  <r>
    <x v="2"/>
    <x v="1"/>
    <x v="13"/>
    <x v="3"/>
    <x v="23"/>
    <s v="São Paulo"/>
    <x v="5"/>
    <n v="1700"/>
    <n v="1"/>
    <n v="1700"/>
    <n v="850"/>
    <n v="0.5"/>
  </r>
  <r>
    <x v="0"/>
    <x v="1"/>
    <x v="13"/>
    <x v="3"/>
    <x v="23"/>
    <s v="São Paulo"/>
    <x v="4"/>
    <n v="300"/>
    <n v="9"/>
    <n v="2700"/>
    <n v="405"/>
    <n v="0.15"/>
  </r>
  <r>
    <x v="2"/>
    <x v="1"/>
    <x v="13"/>
    <x v="3"/>
    <x v="23"/>
    <s v="São Paulo"/>
    <x v="4"/>
    <n v="300"/>
    <n v="11"/>
    <n v="3300"/>
    <n v="495"/>
    <n v="0.15"/>
  </r>
  <r>
    <x v="3"/>
    <x v="0"/>
    <x v="13"/>
    <x v="3"/>
    <x v="23"/>
    <s v="São Paulo"/>
    <x v="6"/>
    <n v="1500"/>
    <n v="6"/>
    <n v="9000"/>
    <n v="3600"/>
    <n v="0.4"/>
  </r>
  <r>
    <x v="3"/>
    <x v="0"/>
    <x v="14"/>
    <x v="3"/>
    <x v="23"/>
    <s v="São Paulo"/>
    <x v="2"/>
    <n v="1200"/>
    <n v="8"/>
    <n v="9600"/>
    <n v="2880"/>
    <n v="0.3"/>
  </r>
  <r>
    <x v="4"/>
    <x v="1"/>
    <x v="14"/>
    <x v="3"/>
    <x v="23"/>
    <s v="São Paulo"/>
    <x v="6"/>
    <n v="1500"/>
    <n v="7"/>
    <n v="10500"/>
    <n v="4200"/>
    <n v="0.4"/>
  </r>
  <r>
    <x v="0"/>
    <x v="1"/>
    <x v="14"/>
    <x v="3"/>
    <x v="23"/>
    <s v="São Paulo"/>
    <x v="7"/>
    <n v="5340"/>
    <n v="8"/>
    <n v="42720"/>
    <n v="12816"/>
    <n v="0.3"/>
  </r>
  <r>
    <x v="2"/>
    <x v="1"/>
    <x v="14"/>
    <x v="3"/>
    <x v="23"/>
    <s v="São Paulo"/>
    <x v="0"/>
    <n v="8902"/>
    <n v="7"/>
    <n v="62314"/>
    <n v="21809.899999999998"/>
    <n v="0.35"/>
  </r>
  <r>
    <x v="1"/>
    <x v="0"/>
    <x v="15"/>
    <x v="3"/>
    <x v="23"/>
    <s v="São Paulo"/>
    <x v="1"/>
    <n v="500"/>
    <n v="6"/>
    <n v="3000"/>
    <n v="750"/>
    <n v="0.25"/>
  </r>
  <r>
    <x v="1"/>
    <x v="1"/>
    <x v="15"/>
    <x v="3"/>
    <x v="23"/>
    <s v="São Paulo"/>
    <x v="10"/>
    <n v="3200"/>
    <n v="5"/>
    <n v="16000"/>
    <n v="3200"/>
    <n v="0.2"/>
  </r>
  <r>
    <x v="3"/>
    <x v="1"/>
    <x v="15"/>
    <x v="3"/>
    <x v="23"/>
    <s v="São Paulo"/>
    <x v="11"/>
    <n v="4600"/>
    <n v="5"/>
    <n v="23000"/>
    <n v="5750"/>
    <n v="0.25"/>
  </r>
  <r>
    <x v="0"/>
    <x v="1"/>
    <x v="15"/>
    <x v="3"/>
    <x v="23"/>
    <s v="São Paulo"/>
    <x v="11"/>
    <n v="4600"/>
    <n v="10"/>
    <n v="46000"/>
    <n v="11500"/>
    <n v="0.25"/>
  </r>
  <r>
    <x v="0"/>
    <x v="0"/>
    <x v="16"/>
    <x v="3"/>
    <x v="23"/>
    <s v="São Paulo"/>
    <x v="1"/>
    <n v="500"/>
    <n v="4"/>
    <n v="2000"/>
    <n v="500"/>
    <n v="0.25"/>
  </r>
  <r>
    <x v="2"/>
    <x v="1"/>
    <x v="16"/>
    <x v="3"/>
    <x v="23"/>
    <s v="São Paulo"/>
    <x v="10"/>
    <n v="3200"/>
    <n v="4"/>
    <n v="12800"/>
    <n v="2560"/>
    <n v="0.2"/>
  </r>
  <r>
    <x v="3"/>
    <x v="0"/>
    <x v="16"/>
    <x v="3"/>
    <x v="23"/>
    <s v="São Paulo"/>
    <x v="12"/>
    <n v="4500"/>
    <n v="8"/>
    <n v="36000"/>
    <n v="9000"/>
    <n v="0.25"/>
  </r>
  <r>
    <x v="4"/>
    <x v="1"/>
    <x v="16"/>
    <x v="3"/>
    <x v="23"/>
    <s v="São Paulo"/>
    <x v="3"/>
    <n v="5130"/>
    <n v="10"/>
    <n v="51300"/>
    <n v="20520"/>
    <n v="0.4"/>
  </r>
  <r>
    <x v="3"/>
    <x v="1"/>
    <x v="17"/>
    <x v="3"/>
    <x v="23"/>
    <s v="São Paulo"/>
    <x v="1"/>
    <n v="500"/>
    <n v="11"/>
    <n v="5500"/>
    <n v="1375"/>
    <n v="0.25"/>
  </r>
  <r>
    <x v="1"/>
    <x v="1"/>
    <x v="17"/>
    <x v="3"/>
    <x v="23"/>
    <s v="São Paulo"/>
    <x v="10"/>
    <n v="3200"/>
    <n v="6"/>
    <n v="19200"/>
    <n v="3840"/>
    <n v="0.2"/>
  </r>
  <r>
    <x v="0"/>
    <x v="1"/>
    <x v="17"/>
    <x v="3"/>
    <x v="23"/>
    <s v="São Paulo"/>
    <x v="0"/>
    <n v="8902"/>
    <n v="4"/>
    <n v="35608"/>
    <n v="12462.8"/>
    <n v="0.35"/>
  </r>
  <r>
    <x v="1"/>
    <x v="1"/>
    <x v="17"/>
    <x v="3"/>
    <x v="23"/>
    <s v="São Paulo"/>
    <x v="0"/>
    <n v="8902"/>
    <n v="5"/>
    <n v="44510"/>
    <n v="15578.499999999998"/>
    <n v="0.35"/>
  </r>
  <r>
    <x v="0"/>
    <x v="0"/>
    <x v="18"/>
    <x v="3"/>
    <x v="23"/>
    <s v="São Paulo"/>
    <x v="6"/>
    <n v="1500"/>
    <n v="11"/>
    <n v="16500"/>
    <n v="6600"/>
    <n v="0.4"/>
  </r>
  <r>
    <x v="4"/>
    <x v="1"/>
    <x v="18"/>
    <x v="3"/>
    <x v="23"/>
    <s v="São Paulo"/>
    <x v="10"/>
    <n v="3200"/>
    <n v="8"/>
    <n v="25600"/>
    <n v="5120"/>
    <n v="0.2"/>
  </r>
  <r>
    <x v="0"/>
    <x v="1"/>
    <x v="18"/>
    <x v="3"/>
    <x v="23"/>
    <s v="São Paulo"/>
    <x v="12"/>
    <n v="4500"/>
    <n v="6"/>
    <n v="27000"/>
    <n v="6750"/>
    <n v="0.25"/>
  </r>
  <r>
    <x v="3"/>
    <x v="0"/>
    <x v="18"/>
    <x v="3"/>
    <x v="23"/>
    <s v="São Paulo"/>
    <x v="3"/>
    <n v="5130"/>
    <n v="6"/>
    <n v="30780"/>
    <n v="12312"/>
    <n v="0.4"/>
  </r>
  <r>
    <x v="0"/>
    <x v="1"/>
    <x v="19"/>
    <x v="3"/>
    <x v="23"/>
    <s v="São Paulo"/>
    <x v="5"/>
    <n v="1700"/>
    <n v="3"/>
    <n v="5100"/>
    <n v="2550"/>
    <n v="0.5"/>
  </r>
  <r>
    <x v="3"/>
    <x v="1"/>
    <x v="19"/>
    <x v="3"/>
    <x v="23"/>
    <s v="São Paulo"/>
    <x v="12"/>
    <n v="4500"/>
    <n v="2"/>
    <n v="9000"/>
    <n v="2250"/>
    <n v="0.25"/>
  </r>
  <r>
    <x v="1"/>
    <x v="0"/>
    <x v="19"/>
    <x v="3"/>
    <x v="23"/>
    <s v="São Paulo"/>
    <x v="5"/>
    <n v="1700"/>
    <n v="6"/>
    <n v="10200"/>
    <n v="5100"/>
    <n v="0.5"/>
  </r>
  <r>
    <x v="4"/>
    <x v="1"/>
    <x v="19"/>
    <x v="3"/>
    <x v="23"/>
    <s v="São Paulo"/>
    <x v="2"/>
    <n v="1200"/>
    <n v="9"/>
    <n v="10800"/>
    <n v="3240"/>
    <n v="0.3"/>
  </r>
  <r>
    <x v="3"/>
    <x v="0"/>
    <x v="20"/>
    <x v="3"/>
    <x v="23"/>
    <s v="São Paulo"/>
    <x v="6"/>
    <n v="1500"/>
    <n v="1"/>
    <n v="1500"/>
    <n v="600"/>
    <n v="0.4"/>
  </r>
  <r>
    <x v="1"/>
    <x v="1"/>
    <x v="20"/>
    <x v="3"/>
    <x v="23"/>
    <s v="São Paulo"/>
    <x v="6"/>
    <n v="1500"/>
    <n v="2"/>
    <n v="3000"/>
    <n v="1200"/>
    <n v="0.4"/>
  </r>
  <r>
    <x v="3"/>
    <x v="1"/>
    <x v="20"/>
    <x v="3"/>
    <x v="23"/>
    <s v="São Paulo"/>
    <x v="8"/>
    <n v="3400"/>
    <n v="6"/>
    <n v="20400"/>
    <n v="7140"/>
    <n v="0.35"/>
  </r>
  <r>
    <x v="1"/>
    <x v="1"/>
    <x v="20"/>
    <x v="3"/>
    <x v="23"/>
    <s v="São Paulo"/>
    <x v="0"/>
    <n v="8902"/>
    <n v="9"/>
    <n v="80118"/>
    <n v="28041.3"/>
    <n v="0.35"/>
  </r>
  <r>
    <x v="1"/>
    <x v="1"/>
    <x v="21"/>
    <x v="3"/>
    <x v="23"/>
    <s v="São Paulo"/>
    <x v="4"/>
    <n v="300"/>
    <n v="11"/>
    <n v="3300"/>
    <n v="495"/>
    <n v="0.15"/>
  </r>
  <r>
    <x v="3"/>
    <x v="1"/>
    <x v="21"/>
    <x v="3"/>
    <x v="23"/>
    <s v="São Paulo"/>
    <x v="5"/>
    <n v="1700"/>
    <n v="8"/>
    <n v="13600"/>
    <n v="6800"/>
    <n v="0.5"/>
  </r>
  <r>
    <x v="3"/>
    <x v="1"/>
    <x v="21"/>
    <x v="3"/>
    <x v="23"/>
    <s v="São Paulo"/>
    <x v="6"/>
    <n v="1500"/>
    <n v="10"/>
    <n v="15000"/>
    <n v="6000"/>
    <n v="0.4"/>
  </r>
  <r>
    <x v="0"/>
    <x v="1"/>
    <x v="21"/>
    <x v="3"/>
    <x v="23"/>
    <s v="São Paulo"/>
    <x v="3"/>
    <n v="5130"/>
    <n v="8"/>
    <n v="41040"/>
    <n v="16416"/>
    <n v="0.4"/>
  </r>
  <r>
    <x v="0"/>
    <x v="1"/>
    <x v="22"/>
    <x v="3"/>
    <x v="23"/>
    <s v="São Paulo"/>
    <x v="2"/>
    <n v="1200"/>
    <n v="2"/>
    <n v="2400"/>
    <n v="720"/>
    <n v="0.3"/>
  </r>
  <r>
    <x v="1"/>
    <x v="1"/>
    <x v="22"/>
    <x v="3"/>
    <x v="23"/>
    <s v="São Paulo"/>
    <x v="8"/>
    <n v="3400"/>
    <n v="2"/>
    <n v="6800"/>
    <n v="2380"/>
    <n v="0.35"/>
  </r>
  <r>
    <x v="1"/>
    <x v="1"/>
    <x v="22"/>
    <x v="3"/>
    <x v="23"/>
    <s v="São Paulo"/>
    <x v="8"/>
    <n v="3400"/>
    <n v="3"/>
    <n v="10200"/>
    <n v="3570"/>
    <n v="0.35"/>
  </r>
  <r>
    <x v="3"/>
    <x v="0"/>
    <x v="22"/>
    <x v="3"/>
    <x v="23"/>
    <s v="São Paulo"/>
    <x v="12"/>
    <n v="4500"/>
    <n v="9"/>
    <n v="40500"/>
    <n v="10125"/>
    <n v="0.25"/>
  </r>
  <r>
    <x v="0"/>
    <x v="0"/>
    <x v="23"/>
    <x v="3"/>
    <x v="23"/>
    <s v="São Paulo"/>
    <x v="2"/>
    <n v="1200"/>
    <n v="2"/>
    <n v="2400"/>
    <n v="720"/>
    <n v="0.3"/>
  </r>
  <r>
    <x v="2"/>
    <x v="1"/>
    <x v="23"/>
    <x v="3"/>
    <x v="23"/>
    <s v="São Paulo"/>
    <x v="10"/>
    <n v="3200"/>
    <n v="4"/>
    <n v="12800"/>
    <n v="2560"/>
    <n v="0.2"/>
  </r>
  <r>
    <x v="3"/>
    <x v="1"/>
    <x v="23"/>
    <x v="3"/>
    <x v="23"/>
    <s v="São Paulo"/>
    <x v="3"/>
    <n v="5130"/>
    <n v="4"/>
    <n v="20520"/>
    <n v="8208"/>
    <n v="0.4"/>
  </r>
  <r>
    <x v="1"/>
    <x v="1"/>
    <x v="23"/>
    <x v="3"/>
    <x v="23"/>
    <s v="São Paulo"/>
    <x v="9"/>
    <n v="5300"/>
    <n v="11"/>
    <n v="58300"/>
    <n v="17490"/>
    <n v="0.3"/>
  </r>
  <r>
    <x v="4"/>
    <x v="0"/>
    <x v="24"/>
    <x v="3"/>
    <x v="23"/>
    <s v="São Paulo"/>
    <x v="1"/>
    <n v="500"/>
    <n v="8"/>
    <n v="4000"/>
    <n v="1000"/>
    <n v="0.25"/>
  </r>
  <r>
    <x v="0"/>
    <x v="1"/>
    <x v="24"/>
    <x v="3"/>
    <x v="23"/>
    <s v="São Paulo"/>
    <x v="11"/>
    <n v="4600"/>
    <n v="1"/>
    <n v="4600"/>
    <n v="1150"/>
    <n v="0.25"/>
  </r>
  <r>
    <x v="0"/>
    <x v="0"/>
    <x v="24"/>
    <x v="3"/>
    <x v="23"/>
    <s v="São Paulo"/>
    <x v="9"/>
    <n v="5300"/>
    <n v="4"/>
    <n v="21200"/>
    <n v="6360"/>
    <n v="0.3"/>
  </r>
  <r>
    <x v="0"/>
    <x v="0"/>
    <x v="24"/>
    <x v="3"/>
    <x v="23"/>
    <s v="São Paulo"/>
    <x v="10"/>
    <n v="3200"/>
    <n v="7"/>
    <n v="22400"/>
    <n v="4480"/>
    <n v="0.2"/>
  </r>
  <r>
    <x v="0"/>
    <x v="0"/>
    <x v="25"/>
    <x v="3"/>
    <x v="23"/>
    <s v="São Paulo"/>
    <x v="2"/>
    <n v="1200"/>
    <n v="2"/>
    <n v="2400"/>
    <n v="720"/>
    <n v="0.3"/>
  </r>
  <r>
    <x v="0"/>
    <x v="1"/>
    <x v="25"/>
    <x v="3"/>
    <x v="23"/>
    <s v="São Paulo"/>
    <x v="12"/>
    <n v="4500"/>
    <n v="1"/>
    <n v="4500"/>
    <n v="1125"/>
    <n v="0.25"/>
  </r>
  <r>
    <x v="0"/>
    <x v="0"/>
    <x v="25"/>
    <x v="3"/>
    <x v="23"/>
    <s v="São Paulo"/>
    <x v="6"/>
    <n v="1500"/>
    <n v="8"/>
    <n v="12000"/>
    <n v="4800"/>
    <n v="0.4"/>
  </r>
  <r>
    <x v="1"/>
    <x v="1"/>
    <x v="25"/>
    <x v="3"/>
    <x v="23"/>
    <s v="São Paulo"/>
    <x v="7"/>
    <n v="5340"/>
    <n v="4"/>
    <n v="21360"/>
    <n v="6408"/>
    <n v="0.3"/>
  </r>
  <r>
    <x v="3"/>
    <x v="1"/>
    <x v="26"/>
    <x v="3"/>
    <x v="23"/>
    <s v="São Paulo"/>
    <x v="4"/>
    <n v="300"/>
    <n v="5"/>
    <n v="1500"/>
    <n v="225"/>
    <n v="0.15"/>
  </r>
  <r>
    <x v="3"/>
    <x v="1"/>
    <x v="26"/>
    <x v="3"/>
    <x v="23"/>
    <s v="São Paulo"/>
    <x v="12"/>
    <n v="4500"/>
    <n v="8"/>
    <n v="36000"/>
    <n v="9000"/>
    <n v="0.25"/>
  </r>
  <r>
    <x v="0"/>
    <x v="0"/>
    <x v="26"/>
    <x v="3"/>
    <x v="23"/>
    <s v="São Paulo"/>
    <x v="8"/>
    <n v="3400"/>
    <n v="11"/>
    <n v="37400"/>
    <n v="13090"/>
    <n v="0.35"/>
  </r>
  <r>
    <x v="0"/>
    <x v="1"/>
    <x v="26"/>
    <x v="3"/>
    <x v="23"/>
    <s v="São Paulo"/>
    <x v="11"/>
    <n v="4600"/>
    <n v="12"/>
    <n v="55200"/>
    <n v="13800"/>
    <n v="0.25"/>
  </r>
  <r>
    <x v="0"/>
    <x v="0"/>
    <x v="27"/>
    <x v="3"/>
    <x v="23"/>
    <s v="São Paulo"/>
    <x v="6"/>
    <n v="1500"/>
    <n v="9"/>
    <n v="13500"/>
    <n v="5400"/>
    <n v="0.4"/>
  </r>
  <r>
    <x v="0"/>
    <x v="1"/>
    <x v="27"/>
    <x v="3"/>
    <x v="23"/>
    <s v="São Paulo"/>
    <x v="7"/>
    <n v="5340"/>
    <n v="3"/>
    <n v="16020"/>
    <n v="4806"/>
    <n v="0.3"/>
  </r>
  <r>
    <x v="0"/>
    <x v="1"/>
    <x v="27"/>
    <x v="3"/>
    <x v="23"/>
    <s v="São Paulo"/>
    <x v="9"/>
    <n v="5300"/>
    <n v="5"/>
    <n v="26500"/>
    <n v="7950"/>
    <n v="0.3"/>
  </r>
  <r>
    <x v="1"/>
    <x v="1"/>
    <x v="27"/>
    <x v="3"/>
    <x v="23"/>
    <s v="São Paulo"/>
    <x v="12"/>
    <n v="4500"/>
    <n v="12"/>
    <n v="54000"/>
    <n v="13500"/>
    <n v="0.25"/>
  </r>
  <r>
    <x v="1"/>
    <x v="1"/>
    <x v="28"/>
    <x v="3"/>
    <x v="23"/>
    <s v="São Paulo"/>
    <x v="4"/>
    <n v="300"/>
    <n v="1"/>
    <n v="300"/>
    <n v="45"/>
    <n v="0.15"/>
  </r>
  <r>
    <x v="3"/>
    <x v="1"/>
    <x v="28"/>
    <x v="3"/>
    <x v="23"/>
    <s v="São Paulo"/>
    <x v="5"/>
    <n v="1700"/>
    <n v="2"/>
    <n v="3400"/>
    <n v="1700"/>
    <n v="0.5"/>
  </r>
  <r>
    <x v="0"/>
    <x v="1"/>
    <x v="28"/>
    <x v="3"/>
    <x v="23"/>
    <s v="São Paulo"/>
    <x v="9"/>
    <n v="5300"/>
    <n v="1"/>
    <n v="5300"/>
    <n v="1590"/>
    <n v="0.3"/>
  </r>
  <r>
    <x v="3"/>
    <x v="0"/>
    <x v="28"/>
    <x v="3"/>
    <x v="23"/>
    <s v="São Paulo"/>
    <x v="8"/>
    <n v="3400"/>
    <n v="3"/>
    <n v="10200"/>
    <n v="3570"/>
    <n v="0.35"/>
  </r>
  <r>
    <x v="2"/>
    <x v="0"/>
    <x v="28"/>
    <x v="3"/>
    <x v="23"/>
    <s v="São Paulo"/>
    <x v="6"/>
    <n v="1500"/>
    <n v="12"/>
    <n v="18000"/>
    <n v="7200"/>
    <n v="0.4"/>
  </r>
  <r>
    <x v="0"/>
    <x v="1"/>
    <x v="28"/>
    <x v="3"/>
    <x v="23"/>
    <s v="São Paulo"/>
    <x v="12"/>
    <n v="4500"/>
    <n v="7"/>
    <n v="31500"/>
    <n v="7875"/>
    <n v="0.25"/>
  </r>
  <r>
    <x v="3"/>
    <x v="0"/>
    <x v="28"/>
    <x v="3"/>
    <x v="23"/>
    <s v="São Paulo"/>
    <x v="12"/>
    <n v="4500"/>
    <n v="8"/>
    <n v="36000"/>
    <n v="9000"/>
    <n v="0.25"/>
  </r>
  <r>
    <x v="4"/>
    <x v="0"/>
    <x v="28"/>
    <x v="3"/>
    <x v="23"/>
    <s v="São Paulo"/>
    <x v="3"/>
    <n v="5130"/>
    <n v="8"/>
    <n v="41040"/>
    <n v="16416"/>
    <n v="0.4"/>
  </r>
  <r>
    <x v="4"/>
    <x v="1"/>
    <x v="29"/>
    <x v="3"/>
    <x v="23"/>
    <s v="São Paulo"/>
    <x v="6"/>
    <n v="1500"/>
    <n v="4"/>
    <n v="6000"/>
    <n v="2400"/>
    <n v="0.4"/>
  </r>
  <r>
    <x v="3"/>
    <x v="1"/>
    <x v="29"/>
    <x v="3"/>
    <x v="23"/>
    <s v="São Paulo"/>
    <x v="8"/>
    <n v="3400"/>
    <n v="5"/>
    <n v="17000"/>
    <n v="5950"/>
    <n v="0.35"/>
  </r>
  <r>
    <x v="1"/>
    <x v="1"/>
    <x v="29"/>
    <x v="3"/>
    <x v="23"/>
    <s v="São Paulo"/>
    <x v="0"/>
    <n v="8902"/>
    <n v="5"/>
    <n v="44510"/>
    <n v="15578.499999999998"/>
    <n v="0.35"/>
  </r>
  <r>
    <x v="0"/>
    <x v="0"/>
    <x v="29"/>
    <x v="3"/>
    <x v="23"/>
    <s v="São Paulo"/>
    <x v="7"/>
    <n v="5340"/>
    <n v="11"/>
    <n v="58740"/>
    <n v="17622"/>
    <n v="0.3"/>
  </r>
  <r>
    <x v="3"/>
    <x v="1"/>
    <x v="30"/>
    <x v="3"/>
    <x v="23"/>
    <s v="São Paulo"/>
    <x v="1"/>
    <n v="500"/>
    <n v="1"/>
    <n v="500"/>
    <n v="125"/>
    <n v="0.25"/>
  </r>
  <r>
    <x v="1"/>
    <x v="1"/>
    <x v="30"/>
    <x v="3"/>
    <x v="23"/>
    <s v="São Paulo"/>
    <x v="5"/>
    <n v="1700"/>
    <n v="1"/>
    <n v="1700"/>
    <n v="850"/>
    <n v="0.5"/>
  </r>
  <r>
    <x v="2"/>
    <x v="1"/>
    <x v="30"/>
    <x v="3"/>
    <x v="23"/>
    <s v="São Paulo"/>
    <x v="1"/>
    <n v="500"/>
    <n v="12"/>
    <n v="6000"/>
    <n v="1500"/>
    <n v="0.25"/>
  </r>
  <r>
    <x v="1"/>
    <x v="0"/>
    <x v="30"/>
    <x v="3"/>
    <x v="23"/>
    <s v="São Paulo"/>
    <x v="7"/>
    <n v="5340"/>
    <n v="4"/>
    <n v="21360"/>
    <n v="6408"/>
    <n v="0.3"/>
  </r>
  <r>
    <x v="3"/>
    <x v="0"/>
    <x v="31"/>
    <x v="3"/>
    <x v="23"/>
    <s v="São Paulo"/>
    <x v="4"/>
    <n v="300"/>
    <n v="10"/>
    <n v="3000"/>
    <n v="450"/>
    <n v="0.15"/>
  </r>
  <r>
    <x v="1"/>
    <x v="1"/>
    <x v="31"/>
    <x v="3"/>
    <x v="23"/>
    <s v="São Paulo"/>
    <x v="6"/>
    <n v="1500"/>
    <n v="4"/>
    <n v="6000"/>
    <n v="2400"/>
    <n v="0.4"/>
  </r>
  <r>
    <x v="1"/>
    <x v="1"/>
    <x v="31"/>
    <x v="3"/>
    <x v="23"/>
    <s v="São Paulo"/>
    <x v="2"/>
    <n v="1200"/>
    <n v="7"/>
    <n v="8400"/>
    <n v="2520"/>
    <n v="0.3"/>
  </r>
  <r>
    <x v="0"/>
    <x v="1"/>
    <x v="31"/>
    <x v="3"/>
    <x v="23"/>
    <s v="São Paulo"/>
    <x v="8"/>
    <n v="3400"/>
    <n v="11"/>
    <n v="37400"/>
    <n v="13090"/>
    <n v="0.35"/>
  </r>
  <r>
    <x v="0"/>
    <x v="1"/>
    <x v="32"/>
    <x v="3"/>
    <x v="23"/>
    <s v="São Paulo"/>
    <x v="12"/>
    <n v="4500"/>
    <n v="3"/>
    <n v="13500"/>
    <n v="3375"/>
    <n v="0.25"/>
  </r>
  <r>
    <x v="3"/>
    <x v="1"/>
    <x v="32"/>
    <x v="3"/>
    <x v="23"/>
    <s v="São Paulo"/>
    <x v="3"/>
    <n v="5130"/>
    <n v="5"/>
    <n v="25650"/>
    <n v="10260"/>
    <n v="0.4"/>
  </r>
  <r>
    <x v="0"/>
    <x v="0"/>
    <x v="32"/>
    <x v="3"/>
    <x v="23"/>
    <s v="São Paulo"/>
    <x v="7"/>
    <n v="5340"/>
    <n v="8"/>
    <n v="42720"/>
    <n v="12816"/>
    <n v="0.3"/>
  </r>
  <r>
    <x v="1"/>
    <x v="1"/>
    <x v="32"/>
    <x v="3"/>
    <x v="23"/>
    <s v="São Paulo"/>
    <x v="0"/>
    <n v="8902"/>
    <n v="7"/>
    <n v="62314"/>
    <n v="21809.899999999998"/>
    <n v="0.35"/>
  </r>
  <r>
    <x v="1"/>
    <x v="1"/>
    <x v="33"/>
    <x v="3"/>
    <x v="23"/>
    <s v="São Paulo"/>
    <x v="5"/>
    <n v="1700"/>
    <n v="1"/>
    <n v="1700"/>
    <n v="850"/>
    <n v="0.5"/>
  </r>
  <r>
    <x v="3"/>
    <x v="0"/>
    <x v="33"/>
    <x v="3"/>
    <x v="23"/>
    <s v="São Paulo"/>
    <x v="5"/>
    <n v="1700"/>
    <n v="2"/>
    <n v="3400"/>
    <n v="1700"/>
    <n v="0.5"/>
  </r>
  <r>
    <x v="1"/>
    <x v="1"/>
    <x v="33"/>
    <x v="3"/>
    <x v="23"/>
    <s v="São Paulo"/>
    <x v="2"/>
    <n v="1200"/>
    <n v="7"/>
    <n v="8400"/>
    <n v="2520"/>
    <n v="0.3"/>
  </r>
  <r>
    <x v="1"/>
    <x v="0"/>
    <x v="33"/>
    <x v="3"/>
    <x v="23"/>
    <s v="São Paulo"/>
    <x v="7"/>
    <n v="5340"/>
    <n v="4"/>
    <n v="21360"/>
    <n v="6408"/>
    <n v="0.3"/>
  </r>
  <r>
    <x v="0"/>
    <x v="1"/>
    <x v="34"/>
    <x v="3"/>
    <x v="23"/>
    <s v="São Paulo"/>
    <x v="4"/>
    <n v="300"/>
    <n v="12"/>
    <n v="3600"/>
    <n v="540"/>
    <n v="0.15"/>
  </r>
  <r>
    <x v="0"/>
    <x v="1"/>
    <x v="34"/>
    <x v="3"/>
    <x v="23"/>
    <s v="São Paulo"/>
    <x v="3"/>
    <n v="5130"/>
    <n v="3"/>
    <n v="15390"/>
    <n v="6156"/>
    <n v="0.4"/>
  </r>
  <r>
    <x v="1"/>
    <x v="1"/>
    <x v="34"/>
    <x v="3"/>
    <x v="23"/>
    <s v="São Paulo"/>
    <x v="9"/>
    <n v="5300"/>
    <n v="7"/>
    <n v="37100"/>
    <n v="11130"/>
    <n v="0.3"/>
  </r>
  <r>
    <x v="3"/>
    <x v="1"/>
    <x v="34"/>
    <x v="3"/>
    <x v="23"/>
    <s v="São Paulo"/>
    <x v="7"/>
    <n v="5340"/>
    <n v="12"/>
    <n v="64080"/>
    <n v="19224"/>
    <n v="0.3"/>
  </r>
  <r>
    <x v="3"/>
    <x v="1"/>
    <x v="35"/>
    <x v="3"/>
    <x v="23"/>
    <s v="São Paulo"/>
    <x v="1"/>
    <n v="500"/>
    <n v="2"/>
    <n v="1000"/>
    <n v="250"/>
    <n v="0.25"/>
  </r>
  <r>
    <x v="0"/>
    <x v="1"/>
    <x v="35"/>
    <x v="3"/>
    <x v="23"/>
    <s v="São Paulo"/>
    <x v="10"/>
    <n v="3200"/>
    <n v="7"/>
    <n v="22400"/>
    <n v="4480"/>
    <n v="0.2"/>
  </r>
  <r>
    <x v="3"/>
    <x v="1"/>
    <x v="35"/>
    <x v="3"/>
    <x v="23"/>
    <s v="São Paulo"/>
    <x v="11"/>
    <n v="4600"/>
    <n v="5"/>
    <n v="23000"/>
    <n v="5750"/>
    <n v="0.25"/>
  </r>
  <r>
    <x v="3"/>
    <x v="0"/>
    <x v="35"/>
    <x v="3"/>
    <x v="23"/>
    <s v="São Paulo"/>
    <x v="12"/>
    <n v="4500"/>
    <n v="9"/>
    <n v="40500"/>
    <n v="10125"/>
    <n v="0.25"/>
  </r>
  <r>
    <x v="1"/>
    <x v="1"/>
    <x v="36"/>
    <x v="3"/>
    <x v="23"/>
    <s v="São Paulo"/>
    <x v="5"/>
    <n v="1700"/>
    <n v="1"/>
    <n v="1700"/>
    <n v="850"/>
    <n v="0.5"/>
  </r>
  <r>
    <x v="1"/>
    <x v="1"/>
    <x v="36"/>
    <x v="3"/>
    <x v="23"/>
    <s v="São Paulo"/>
    <x v="4"/>
    <n v="300"/>
    <n v="7"/>
    <n v="2100"/>
    <n v="315"/>
    <n v="0.15"/>
  </r>
  <r>
    <x v="0"/>
    <x v="1"/>
    <x v="36"/>
    <x v="3"/>
    <x v="23"/>
    <s v="São Paulo"/>
    <x v="11"/>
    <n v="4600"/>
    <n v="1"/>
    <n v="4600"/>
    <n v="1150"/>
    <n v="0.25"/>
  </r>
  <r>
    <x v="1"/>
    <x v="1"/>
    <x v="36"/>
    <x v="3"/>
    <x v="23"/>
    <s v="São Paulo"/>
    <x v="0"/>
    <n v="8902"/>
    <n v="12"/>
    <n v="106824"/>
    <n v="37388.399999999994"/>
    <n v="0.35"/>
  </r>
  <r>
    <x v="4"/>
    <x v="1"/>
    <x v="37"/>
    <x v="3"/>
    <x v="23"/>
    <s v="São Paulo"/>
    <x v="11"/>
    <n v="4600"/>
    <n v="2"/>
    <n v="9200"/>
    <n v="2300"/>
    <n v="0.25"/>
  </r>
  <r>
    <x v="1"/>
    <x v="1"/>
    <x v="37"/>
    <x v="3"/>
    <x v="23"/>
    <s v="São Paulo"/>
    <x v="12"/>
    <n v="4500"/>
    <n v="4"/>
    <n v="18000"/>
    <n v="4500"/>
    <n v="0.25"/>
  </r>
  <r>
    <x v="0"/>
    <x v="0"/>
    <x v="37"/>
    <x v="3"/>
    <x v="23"/>
    <s v="São Paulo"/>
    <x v="0"/>
    <n v="8902"/>
    <n v="4"/>
    <n v="35608"/>
    <n v="12462.8"/>
    <n v="0.35"/>
  </r>
  <r>
    <x v="0"/>
    <x v="1"/>
    <x v="37"/>
    <x v="3"/>
    <x v="23"/>
    <s v="São Paulo"/>
    <x v="7"/>
    <n v="5340"/>
    <n v="11"/>
    <n v="58740"/>
    <n v="17622"/>
    <n v="0.3"/>
  </r>
  <r>
    <x v="0"/>
    <x v="0"/>
    <x v="38"/>
    <x v="3"/>
    <x v="23"/>
    <s v="São Paulo"/>
    <x v="3"/>
    <n v="5130"/>
    <n v="2"/>
    <n v="10260"/>
    <n v="4104"/>
    <n v="0.4"/>
  </r>
  <r>
    <x v="0"/>
    <x v="1"/>
    <x v="38"/>
    <x v="3"/>
    <x v="23"/>
    <s v="São Paulo"/>
    <x v="5"/>
    <n v="1700"/>
    <n v="9"/>
    <n v="15300"/>
    <n v="7650"/>
    <n v="0.5"/>
  </r>
  <r>
    <x v="1"/>
    <x v="0"/>
    <x v="38"/>
    <x v="3"/>
    <x v="23"/>
    <s v="São Paulo"/>
    <x v="12"/>
    <n v="4500"/>
    <n v="4"/>
    <n v="18000"/>
    <n v="4500"/>
    <n v="0.25"/>
  </r>
  <r>
    <x v="4"/>
    <x v="1"/>
    <x v="38"/>
    <x v="3"/>
    <x v="23"/>
    <s v="São Paulo"/>
    <x v="9"/>
    <n v="5300"/>
    <n v="6"/>
    <n v="31800"/>
    <n v="9540"/>
    <n v="0.3"/>
  </r>
  <r>
    <x v="0"/>
    <x v="1"/>
    <x v="39"/>
    <x v="3"/>
    <x v="23"/>
    <s v="São Paulo"/>
    <x v="2"/>
    <n v="1200"/>
    <n v="1"/>
    <n v="1200"/>
    <n v="360"/>
    <n v="0.3"/>
  </r>
  <r>
    <x v="2"/>
    <x v="0"/>
    <x v="39"/>
    <x v="3"/>
    <x v="23"/>
    <s v="São Paulo"/>
    <x v="1"/>
    <n v="500"/>
    <n v="8"/>
    <n v="4000"/>
    <n v="1000"/>
    <n v="0.25"/>
  </r>
  <r>
    <x v="3"/>
    <x v="0"/>
    <x v="39"/>
    <x v="3"/>
    <x v="23"/>
    <s v="São Paulo"/>
    <x v="5"/>
    <n v="1700"/>
    <n v="6"/>
    <n v="10200"/>
    <n v="5100"/>
    <n v="0.5"/>
  </r>
  <r>
    <x v="1"/>
    <x v="1"/>
    <x v="39"/>
    <x v="3"/>
    <x v="23"/>
    <s v="São Paulo"/>
    <x v="0"/>
    <n v="8902"/>
    <n v="7"/>
    <n v="62314"/>
    <n v="21809.899999999998"/>
    <n v="0.35"/>
  </r>
  <r>
    <x v="0"/>
    <x v="0"/>
    <x v="40"/>
    <x v="3"/>
    <x v="23"/>
    <s v="São Paulo"/>
    <x v="5"/>
    <n v="1700"/>
    <n v="3"/>
    <n v="5100"/>
    <n v="2550"/>
    <n v="0.5"/>
  </r>
  <r>
    <x v="2"/>
    <x v="0"/>
    <x v="40"/>
    <x v="3"/>
    <x v="23"/>
    <s v="São Paulo"/>
    <x v="11"/>
    <n v="4600"/>
    <n v="2"/>
    <n v="9200"/>
    <n v="2300"/>
    <n v="0.25"/>
  </r>
  <r>
    <x v="0"/>
    <x v="0"/>
    <x v="40"/>
    <x v="3"/>
    <x v="23"/>
    <s v="São Paulo"/>
    <x v="3"/>
    <n v="5130"/>
    <n v="3"/>
    <n v="15390"/>
    <n v="6156"/>
    <n v="0.4"/>
  </r>
  <r>
    <x v="0"/>
    <x v="1"/>
    <x v="40"/>
    <x v="3"/>
    <x v="23"/>
    <s v="São Paulo"/>
    <x v="3"/>
    <n v="5130"/>
    <n v="12"/>
    <n v="61560"/>
    <n v="24624"/>
    <n v="0.4"/>
  </r>
  <r>
    <x v="4"/>
    <x v="1"/>
    <x v="41"/>
    <x v="3"/>
    <x v="23"/>
    <s v="São Paulo"/>
    <x v="4"/>
    <n v="300"/>
    <n v="4"/>
    <n v="1200"/>
    <n v="180"/>
    <n v="0.15"/>
  </r>
  <r>
    <x v="2"/>
    <x v="1"/>
    <x v="41"/>
    <x v="3"/>
    <x v="23"/>
    <s v="São Paulo"/>
    <x v="6"/>
    <n v="1500"/>
    <n v="7"/>
    <n v="10500"/>
    <n v="4200"/>
    <n v="0.4"/>
  </r>
  <r>
    <x v="0"/>
    <x v="0"/>
    <x v="41"/>
    <x v="3"/>
    <x v="23"/>
    <s v="São Paulo"/>
    <x v="3"/>
    <n v="5130"/>
    <n v="4"/>
    <n v="20520"/>
    <n v="8208"/>
    <n v="0.4"/>
  </r>
  <r>
    <x v="1"/>
    <x v="1"/>
    <x v="41"/>
    <x v="3"/>
    <x v="23"/>
    <s v="São Paulo"/>
    <x v="10"/>
    <n v="3200"/>
    <n v="12"/>
    <n v="38400"/>
    <n v="7680"/>
    <n v="0.2"/>
  </r>
  <r>
    <x v="0"/>
    <x v="1"/>
    <x v="42"/>
    <x v="3"/>
    <x v="23"/>
    <s v="São Paulo"/>
    <x v="1"/>
    <n v="500"/>
    <n v="1"/>
    <n v="500"/>
    <n v="125"/>
    <n v="0.25"/>
  </r>
  <r>
    <x v="2"/>
    <x v="1"/>
    <x v="42"/>
    <x v="3"/>
    <x v="23"/>
    <s v="São Paulo"/>
    <x v="9"/>
    <n v="5300"/>
    <n v="3"/>
    <n v="15900"/>
    <n v="4770"/>
    <n v="0.3"/>
  </r>
  <r>
    <x v="3"/>
    <x v="1"/>
    <x v="42"/>
    <x v="3"/>
    <x v="23"/>
    <s v="São Paulo"/>
    <x v="12"/>
    <n v="4500"/>
    <n v="8"/>
    <n v="36000"/>
    <n v="9000"/>
    <n v="0.25"/>
  </r>
  <r>
    <x v="0"/>
    <x v="1"/>
    <x v="42"/>
    <x v="3"/>
    <x v="23"/>
    <s v="São Paulo"/>
    <x v="11"/>
    <n v="4600"/>
    <n v="11"/>
    <n v="50600"/>
    <n v="12650"/>
    <n v="0.25"/>
  </r>
  <r>
    <x v="2"/>
    <x v="0"/>
    <x v="43"/>
    <x v="3"/>
    <x v="23"/>
    <s v="São Paulo"/>
    <x v="1"/>
    <n v="500"/>
    <n v="8"/>
    <n v="4000"/>
    <n v="1000"/>
    <n v="0.25"/>
  </r>
  <r>
    <x v="0"/>
    <x v="1"/>
    <x v="43"/>
    <x v="3"/>
    <x v="23"/>
    <s v="São Paulo"/>
    <x v="5"/>
    <n v="1700"/>
    <n v="12"/>
    <n v="20400"/>
    <n v="10200"/>
    <n v="0.5"/>
  </r>
  <r>
    <x v="2"/>
    <x v="0"/>
    <x v="43"/>
    <x v="3"/>
    <x v="23"/>
    <s v="São Paulo"/>
    <x v="3"/>
    <n v="5130"/>
    <n v="8"/>
    <n v="41040"/>
    <n v="16416"/>
    <n v="0.4"/>
  </r>
  <r>
    <x v="3"/>
    <x v="1"/>
    <x v="43"/>
    <x v="3"/>
    <x v="23"/>
    <s v="São Paulo"/>
    <x v="12"/>
    <n v="4500"/>
    <n v="10"/>
    <n v="45000"/>
    <n v="11250"/>
    <n v="0.25"/>
  </r>
  <r>
    <x v="0"/>
    <x v="1"/>
    <x v="44"/>
    <x v="3"/>
    <x v="23"/>
    <s v="São Paulo"/>
    <x v="6"/>
    <n v="1500"/>
    <n v="6"/>
    <n v="9000"/>
    <n v="3600"/>
    <n v="0.4"/>
  </r>
  <r>
    <x v="0"/>
    <x v="1"/>
    <x v="44"/>
    <x v="3"/>
    <x v="23"/>
    <s v="São Paulo"/>
    <x v="2"/>
    <n v="1200"/>
    <n v="10"/>
    <n v="12000"/>
    <n v="3600"/>
    <n v="0.3"/>
  </r>
  <r>
    <x v="1"/>
    <x v="0"/>
    <x v="44"/>
    <x v="3"/>
    <x v="23"/>
    <s v="São Paulo"/>
    <x v="10"/>
    <n v="3200"/>
    <n v="6"/>
    <n v="19200"/>
    <n v="3840"/>
    <n v="0.2"/>
  </r>
  <r>
    <x v="0"/>
    <x v="1"/>
    <x v="44"/>
    <x v="3"/>
    <x v="23"/>
    <s v="São Paulo"/>
    <x v="3"/>
    <n v="5130"/>
    <n v="13"/>
    <n v="66690"/>
    <n v="26676"/>
    <n v="0.4"/>
  </r>
  <r>
    <x v="4"/>
    <x v="1"/>
    <x v="45"/>
    <x v="3"/>
    <x v="23"/>
    <s v="São Paulo"/>
    <x v="6"/>
    <n v="1500"/>
    <n v="3"/>
    <n v="4500"/>
    <n v="1800"/>
    <n v="0.4"/>
  </r>
  <r>
    <x v="4"/>
    <x v="1"/>
    <x v="45"/>
    <x v="3"/>
    <x v="23"/>
    <s v="São Paulo"/>
    <x v="6"/>
    <n v="1500"/>
    <n v="11"/>
    <n v="16500"/>
    <n v="6600"/>
    <n v="0.4"/>
  </r>
  <r>
    <x v="3"/>
    <x v="1"/>
    <x v="45"/>
    <x v="3"/>
    <x v="23"/>
    <s v="São Paulo"/>
    <x v="8"/>
    <n v="3400"/>
    <n v="8"/>
    <n v="27200"/>
    <n v="9520"/>
    <n v="0.35"/>
  </r>
  <r>
    <x v="0"/>
    <x v="1"/>
    <x v="45"/>
    <x v="3"/>
    <x v="23"/>
    <s v="São Paulo"/>
    <x v="7"/>
    <n v="5340"/>
    <n v="8"/>
    <n v="42720"/>
    <n v="12816"/>
    <n v="0.3"/>
  </r>
  <r>
    <x v="0"/>
    <x v="1"/>
    <x v="46"/>
    <x v="3"/>
    <x v="23"/>
    <s v="São Paulo"/>
    <x v="5"/>
    <n v="1700"/>
    <n v="2"/>
    <n v="3400"/>
    <n v="1700"/>
    <n v="0.5"/>
  </r>
  <r>
    <x v="3"/>
    <x v="1"/>
    <x v="46"/>
    <x v="3"/>
    <x v="23"/>
    <s v="São Paulo"/>
    <x v="5"/>
    <n v="1700"/>
    <n v="7"/>
    <n v="11900"/>
    <n v="5950"/>
    <n v="0.5"/>
  </r>
  <r>
    <x v="3"/>
    <x v="1"/>
    <x v="46"/>
    <x v="3"/>
    <x v="23"/>
    <s v="São Paulo"/>
    <x v="5"/>
    <n v="1700"/>
    <n v="10"/>
    <n v="17000"/>
    <n v="8500"/>
    <n v="0.5"/>
  </r>
  <r>
    <x v="3"/>
    <x v="0"/>
    <x v="46"/>
    <x v="3"/>
    <x v="23"/>
    <s v="São Paulo"/>
    <x v="0"/>
    <n v="8902"/>
    <n v="7"/>
    <n v="62314"/>
    <n v="21809.899999999998"/>
    <n v="0.35"/>
  </r>
  <r>
    <x v="0"/>
    <x v="1"/>
    <x v="47"/>
    <x v="3"/>
    <x v="23"/>
    <s v="São Paulo"/>
    <x v="1"/>
    <n v="500"/>
    <n v="3"/>
    <n v="1500"/>
    <n v="375"/>
    <n v="0.25"/>
  </r>
  <r>
    <x v="3"/>
    <x v="0"/>
    <x v="47"/>
    <x v="3"/>
    <x v="23"/>
    <s v="São Paulo"/>
    <x v="5"/>
    <n v="1700"/>
    <n v="10"/>
    <n v="17000"/>
    <n v="8500"/>
    <n v="0.5"/>
  </r>
  <r>
    <x v="2"/>
    <x v="1"/>
    <x v="47"/>
    <x v="3"/>
    <x v="23"/>
    <s v="São Paulo"/>
    <x v="3"/>
    <n v="5130"/>
    <n v="7"/>
    <n v="35910"/>
    <n v="14364"/>
    <n v="0.4"/>
  </r>
  <r>
    <x v="2"/>
    <x v="1"/>
    <x v="47"/>
    <x v="3"/>
    <x v="23"/>
    <s v="São Paulo"/>
    <x v="3"/>
    <n v="5130"/>
    <n v="9"/>
    <n v="46170"/>
    <n v="18468"/>
    <n v="0.4"/>
  </r>
  <r>
    <x v="3"/>
    <x v="1"/>
    <x v="48"/>
    <x v="3"/>
    <x v="23"/>
    <s v="São Paulo"/>
    <x v="4"/>
    <n v="300"/>
    <n v="1"/>
    <n v="300"/>
    <n v="45"/>
    <n v="0.15"/>
  </r>
  <r>
    <x v="3"/>
    <x v="1"/>
    <x v="48"/>
    <x v="3"/>
    <x v="23"/>
    <s v="São Paulo"/>
    <x v="6"/>
    <n v="1500"/>
    <n v="4"/>
    <n v="6000"/>
    <n v="2400"/>
    <n v="0.4"/>
  </r>
  <r>
    <x v="3"/>
    <x v="1"/>
    <x v="48"/>
    <x v="3"/>
    <x v="23"/>
    <s v="São Paulo"/>
    <x v="8"/>
    <n v="3400"/>
    <n v="2"/>
    <n v="6800"/>
    <n v="2380"/>
    <n v="0.35"/>
  </r>
  <r>
    <x v="0"/>
    <x v="0"/>
    <x v="48"/>
    <x v="3"/>
    <x v="23"/>
    <s v="São Paulo"/>
    <x v="11"/>
    <n v="4600"/>
    <n v="3"/>
    <n v="13800"/>
    <n v="3450"/>
    <n v="0.25"/>
  </r>
  <r>
    <x v="4"/>
    <x v="1"/>
    <x v="49"/>
    <x v="3"/>
    <x v="23"/>
    <s v="São Paulo"/>
    <x v="1"/>
    <n v="500"/>
    <n v="4"/>
    <n v="2000"/>
    <n v="500"/>
    <n v="0.25"/>
  </r>
  <r>
    <x v="0"/>
    <x v="1"/>
    <x v="49"/>
    <x v="3"/>
    <x v="23"/>
    <s v="São Paulo"/>
    <x v="3"/>
    <n v="5130"/>
    <n v="2"/>
    <n v="10260"/>
    <n v="4104"/>
    <n v="0.4"/>
  </r>
  <r>
    <x v="4"/>
    <x v="1"/>
    <x v="49"/>
    <x v="3"/>
    <x v="23"/>
    <s v="São Paulo"/>
    <x v="7"/>
    <n v="5340"/>
    <n v="8"/>
    <n v="42720"/>
    <n v="12816"/>
    <n v="0.3"/>
  </r>
  <r>
    <x v="0"/>
    <x v="1"/>
    <x v="49"/>
    <x v="3"/>
    <x v="23"/>
    <s v="São Paulo"/>
    <x v="11"/>
    <n v="4600"/>
    <n v="11"/>
    <n v="50600"/>
    <n v="12650"/>
    <n v="0.25"/>
  </r>
  <r>
    <x v="0"/>
    <x v="1"/>
    <x v="50"/>
    <x v="3"/>
    <x v="23"/>
    <s v="São Paulo"/>
    <x v="7"/>
    <n v="5340"/>
    <n v="2"/>
    <n v="10680"/>
    <n v="3204"/>
    <n v="0.3"/>
  </r>
  <r>
    <x v="3"/>
    <x v="0"/>
    <x v="50"/>
    <x v="3"/>
    <x v="23"/>
    <s v="São Paulo"/>
    <x v="12"/>
    <n v="4500"/>
    <n v="8"/>
    <n v="36000"/>
    <n v="9000"/>
    <n v="0.25"/>
  </r>
  <r>
    <x v="3"/>
    <x v="0"/>
    <x v="50"/>
    <x v="3"/>
    <x v="23"/>
    <s v="São Paulo"/>
    <x v="9"/>
    <n v="5300"/>
    <n v="9"/>
    <n v="47700"/>
    <n v="14310"/>
    <n v="0.3"/>
  </r>
  <r>
    <x v="0"/>
    <x v="1"/>
    <x v="50"/>
    <x v="3"/>
    <x v="23"/>
    <s v="São Paulo"/>
    <x v="0"/>
    <n v="8902"/>
    <n v="6"/>
    <n v="53412"/>
    <n v="18694.199999999997"/>
    <n v="0.35"/>
  </r>
  <r>
    <x v="0"/>
    <x v="0"/>
    <x v="51"/>
    <x v="3"/>
    <x v="23"/>
    <s v="São Paulo"/>
    <x v="4"/>
    <n v="300"/>
    <n v="5"/>
    <n v="1500"/>
    <n v="225"/>
    <n v="0.15"/>
  </r>
  <r>
    <x v="1"/>
    <x v="0"/>
    <x v="51"/>
    <x v="3"/>
    <x v="23"/>
    <s v="São Paulo"/>
    <x v="1"/>
    <n v="500"/>
    <n v="9"/>
    <n v="4500"/>
    <n v="1125"/>
    <n v="0.25"/>
  </r>
  <r>
    <x v="4"/>
    <x v="1"/>
    <x v="51"/>
    <x v="3"/>
    <x v="23"/>
    <s v="São Paulo"/>
    <x v="3"/>
    <n v="5130"/>
    <n v="3"/>
    <n v="15390"/>
    <n v="6156"/>
    <n v="0.4"/>
  </r>
  <r>
    <x v="4"/>
    <x v="0"/>
    <x v="51"/>
    <x v="3"/>
    <x v="23"/>
    <s v="São Paulo"/>
    <x v="0"/>
    <n v="8902"/>
    <n v="11"/>
    <n v="97922"/>
    <n v="34272.699999999997"/>
    <n v="0.35"/>
  </r>
  <r>
    <x v="0"/>
    <x v="0"/>
    <x v="52"/>
    <x v="3"/>
    <x v="23"/>
    <s v="São Paulo"/>
    <x v="8"/>
    <n v="3400"/>
    <n v="1"/>
    <n v="3400"/>
    <n v="1190"/>
    <n v="0.35"/>
  </r>
  <r>
    <x v="0"/>
    <x v="1"/>
    <x v="52"/>
    <x v="3"/>
    <x v="23"/>
    <s v="São Paulo"/>
    <x v="5"/>
    <n v="1700"/>
    <n v="2"/>
    <n v="3400"/>
    <n v="1700"/>
    <n v="0.5"/>
  </r>
  <r>
    <x v="0"/>
    <x v="1"/>
    <x v="52"/>
    <x v="3"/>
    <x v="23"/>
    <s v="São Paulo"/>
    <x v="6"/>
    <n v="1500"/>
    <n v="5"/>
    <n v="7500"/>
    <n v="3000"/>
    <n v="0.4"/>
  </r>
  <r>
    <x v="3"/>
    <x v="1"/>
    <x v="52"/>
    <x v="3"/>
    <x v="23"/>
    <s v="São Paulo"/>
    <x v="8"/>
    <n v="3400"/>
    <n v="4"/>
    <n v="13600"/>
    <n v="4760"/>
    <n v="0.35"/>
  </r>
  <r>
    <x v="1"/>
    <x v="1"/>
    <x v="53"/>
    <x v="3"/>
    <x v="23"/>
    <s v="São Paulo"/>
    <x v="6"/>
    <n v="1500"/>
    <n v="3"/>
    <n v="4500"/>
    <n v="1800"/>
    <n v="0.4"/>
  </r>
  <r>
    <x v="1"/>
    <x v="0"/>
    <x v="53"/>
    <x v="3"/>
    <x v="23"/>
    <s v="São Paulo"/>
    <x v="2"/>
    <n v="1200"/>
    <n v="9"/>
    <n v="10800"/>
    <n v="3240"/>
    <n v="0.3"/>
  </r>
  <r>
    <x v="3"/>
    <x v="0"/>
    <x v="53"/>
    <x v="3"/>
    <x v="23"/>
    <s v="São Paulo"/>
    <x v="9"/>
    <n v="5300"/>
    <n v="8"/>
    <n v="42400"/>
    <n v="12720"/>
    <n v="0.3"/>
  </r>
  <r>
    <x v="3"/>
    <x v="1"/>
    <x v="53"/>
    <x v="3"/>
    <x v="23"/>
    <s v="São Paulo"/>
    <x v="0"/>
    <n v="8902"/>
    <n v="7"/>
    <n v="62314"/>
    <n v="21809.899999999998"/>
    <n v="0.35"/>
  </r>
  <r>
    <x v="4"/>
    <x v="1"/>
    <x v="54"/>
    <x v="3"/>
    <x v="23"/>
    <s v="São Paulo"/>
    <x v="1"/>
    <n v="500"/>
    <n v="4"/>
    <n v="2000"/>
    <n v="500"/>
    <n v="0.25"/>
  </r>
  <r>
    <x v="3"/>
    <x v="0"/>
    <x v="54"/>
    <x v="3"/>
    <x v="23"/>
    <s v="São Paulo"/>
    <x v="4"/>
    <n v="300"/>
    <n v="10"/>
    <n v="3000"/>
    <n v="450"/>
    <n v="0.15"/>
  </r>
  <r>
    <x v="2"/>
    <x v="0"/>
    <x v="54"/>
    <x v="3"/>
    <x v="23"/>
    <s v="São Paulo"/>
    <x v="11"/>
    <n v="4600"/>
    <n v="2"/>
    <n v="9200"/>
    <n v="2300"/>
    <n v="0.25"/>
  </r>
  <r>
    <x v="2"/>
    <x v="1"/>
    <x v="54"/>
    <x v="3"/>
    <x v="23"/>
    <s v="São Paulo"/>
    <x v="9"/>
    <n v="5300"/>
    <n v="4"/>
    <n v="21200"/>
    <n v="6360"/>
    <n v="0.3"/>
  </r>
  <r>
    <x v="0"/>
    <x v="1"/>
    <x v="55"/>
    <x v="3"/>
    <x v="23"/>
    <s v="São Paulo"/>
    <x v="1"/>
    <n v="500"/>
    <n v="5"/>
    <n v="2500"/>
    <n v="625"/>
    <n v="0.25"/>
  </r>
  <r>
    <x v="2"/>
    <x v="0"/>
    <x v="55"/>
    <x v="3"/>
    <x v="23"/>
    <s v="São Paulo"/>
    <x v="12"/>
    <n v="4500"/>
    <n v="3"/>
    <n v="13500"/>
    <n v="3375"/>
    <n v="0.25"/>
  </r>
  <r>
    <x v="0"/>
    <x v="1"/>
    <x v="55"/>
    <x v="3"/>
    <x v="23"/>
    <s v="São Paulo"/>
    <x v="5"/>
    <n v="1700"/>
    <n v="9"/>
    <n v="15300"/>
    <n v="7650"/>
    <n v="0.5"/>
  </r>
  <r>
    <x v="0"/>
    <x v="1"/>
    <x v="55"/>
    <x v="3"/>
    <x v="23"/>
    <s v="São Paulo"/>
    <x v="11"/>
    <n v="4600"/>
    <n v="11"/>
    <n v="50600"/>
    <n v="12650"/>
    <n v="0.25"/>
  </r>
  <r>
    <x v="0"/>
    <x v="1"/>
    <x v="56"/>
    <x v="3"/>
    <x v="23"/>
    <s v="São Paulo"/>
    <x v="8"/>
    <n v="3400"/>
    <n v="1"/>
    <n v="3400"/>
    <n v="1190"/>
    <n v="0.35"/>
  </r>
  <r>
    <x v="3"/>
    <x v="1"/>
    <x v="56"/>
    <x v="3"/>
    <x v="23"/>
    <s v="São Paulo"/>
    <x v="6"/>
    <n v="1500"/>
    <n v="4"/>
    <n v="6000"/>
    <n v="2400"/>
    <n v="0.4"/>
  </r>
  <r>
    <x v="0"/>
    <x v="1"/>
    <x v="56"/>
    <x v="3"/>
    <x v="23"/>
    <s v="São Paulo"/>
    <x v="9"/>
    <n v="5300"/>
    <n v="8"/>
    <n v="42400"/>
    <n v="12720"/>
    <n v="0.3"/>
  </r>
  <r>
    <x v="0"/>
    <x v="0"/>
    <x v="56"/>
    <x v="3"/>
    <x v="23"/>
    <s v="São Paulo"/>
    <x v="9"/>
    <n v="5300"/>
    <n v="12"/>
    <n v="63600"/>
    <n v="19080"/>
    <n v="0.3"/>
  </r>
  <r>
    <x v="0"/>
    <x v="1"/>
    <x v="57"/>
    <x v="3"/>
    <x v="23"/>
    <s v="São Paulo"/>
    <x v="8"/>
    <n v="3400"/>
    <n v="1"/>
    <n v="3400"/>
    <n v="1190"/>
    <n v="0.35"/>
  </r>
  <r>
    <x v="2"/>
    <x v="0"/>
    <x v="57"/>
    <x v="3"/>
    <x v="23"/>
    <s v="São Paulo"/>
    <x v="9"/>
    <n v="5300"/>
    <n v="1"/>
    <n v="5300"/>
    <n v="1590"/>
    <n v="0.3"/>
  </r>
  <r>
    <x v="3"/>
    <x v="1"/>
    <x v="57"/>
    <x v="3"/>
    <x v="23"/>
    <s v="São Paulo"/>
    <x v="12"/>
    <n v="4500"/>
    <n v="4"/>
    <n v="18000"/>
    <n v="4500"/>
    <n v="0.25"/>
  </r>
  <r>
    <x v="3"/>
    <x v="1"/>
    <x v="57"/>
    <x v="3"/>
    <x v="23"/>
    <s v="São Paulo"/>
    <x v="10"/>
    <n v="3200"/>
    <n v="10"/>
    <n v="32000"/>
    <n v="6400"/>
    <n v="0.2"/>
  </r>
  <r>
    <x v="0"/>
    <x v="0"/>
    <x v="58"/>
    <x v="3"/>
    <x v="23"/>
    <s v="São Paulo"/>
    <x v="1"/>
    <n v="500"/>
    <n v="5"/>
    <n v="2500"/>
    <n v="625"/>
    <n v="0.25"/>
  </r>
  <r>
    <x v="3"/>
    <x v="1"/>
    <x v="58"/>
    <x v="3"/>
    <x v="23"/>
    <s v="São Paulo"/>
    <x v="4"/>
    <n v="300"/>
    <n v="10"/>
    <n v="3000"/>
    <n v="450"/>
    <n v="0.15"/>
  </r>
  <r>
    <x v="1"/>
    <x v="1"/>
    <x v="58"/>
    <x v="3"/>
    <x v="23"/>
    <s v="São Paulo"/>
    <x v="10"/>
    <n v="3200"/>
    <n v="4"/>
    <n v="12800"/>
    <n v="2560"/>
    <n v="0.2"/>
  </r>
  <r>
    <x v="3"/>
    <x v="0"/>
    <x v="58"/>
    <x v="3"/>
    <x v="23"/>
    <s v="São Paulo"/>
    <x v="7"/>
    <n v="5340"/>
    <n v="12"/>
    <n v="64080"/>
    <n v="19224"/>
    <n v="0.3"/>
  </r>
  <r>
    <x v="2"/>
    <x v="1"/>
    <x v="59"/>
    <x v="3"/>
    <x v="23"/>
    <s v="São Paulo"/>
    <x v="4"/>
    <n v="300"/>
    <n v="4"/>
    <n v="1200"/>
    <n v="180"/>
    <n v="0.15"/>
  </r>
  <r>
    <x v="1"/>
    <x v="1"/>
    <x v="59"/>
    <x v="3"/>
    <x v="23"/>
    <s v="São Paulo"/>
    <x v="11"/>
    <n v="4600"/>
    <n v="2"/>
    <n v="9200"/>
    <n v="2300"/>
    <n v="0.25"/>
  </r>
  <r>
    <x v="2"/>
    <x v="0"/>
    <x v="59"/>
    <x v="3"/>
    <x v="23"/>
    <s v="São Paulo"/>
    <x v="12"/>
    <n v="4500"/>
    <n v="3"/>
    <n v="13500"/>
    <n v="3375"/>
    <n v="0.25"/>
  </r>
  <r>
    <x v="0"/>
    <x v="1"/>
    <x v="59"/>
    <x v="3"/>
    <x v="23"/>
    <s v="São Paulo"/>
    <x v="11"/>
    <n v="4600"/>
    <n v="4"/>
    <n v="18400"/>
    <n v="4600"/>
    <n v="0.25"/>
  </r>
  <r>
    <x v="3"/>
    <x v="0"/>
    <x v="60"/>
    <x v="3"/>
    <x v="23"/>
    <s v="São Paulo"/>
    <x v="4"/>
    <n v="300"/>
    <n v="10"/>
    <n v="3000"/>
    <n v="450"/>
    <n v="0.15"/>
  </r>
  <r>
    <x v="0"/>
    <x v="1"/>
    <x v="60"/>
    <x v="3"/>
    <x v="23"/>
    <s v="São Paulo"/>
    <x v="9"/>
    <n v="5300"/>
    <n v="2"/>
    <n v="10600"/>
    <n v="3180"/>
    <n v="0.3"/>
  </r>
  <r>
    <x v="0"/>
    <x v="1"/>
    <x v="60"/>
    <x v="3"/>
    <x v="23"/>
    <s v="São Paulo"/>
    <x v="8"/>
    <n v="3400"/>
    <n v="12"/>
    <n v="40800"/>
    <n v="14280"/>
    <n v="0.35"/>
  </r>
  <r>
    <x v="3"/>
    <x v="0"/>
    <x v="60"/>
    <x v="3"/>
    <x v="23"/>
    <s v="São Paulo"/>
    <x v="12"/>
    <n v="4500"/>
    <n v="12"/>
    <n v="54000"/>
    <n v="13500"/>
    <n v="0.25"/>
  </r>
  <r>
    <x v="0"/>
    <x v="0"/>
    <x v="61"/>
    <x v="3"/>
    <x v="23"/>
    <s v="São Paulo"/>
    <x v="9"/>
    <n v="5300"/>
    <n v="2"/>
    <n v="10600"/>
    <n v="3180"/>
    <n v="0.3"/>
  </r>
  <r>
    <x v="3"/>
    <x v="1"/>
    <x v="61"/>
    <x v="3"/>
    <x v="23"/>
    <s v="São Paulo"/>
    <x v="2"/>
    <n v="1200"/>
    <n v="11"/>
    <n v="13200"/>
    <n v="3960"/>
    <n v="0.3"/>
  </r>
  <r>
    <x v="0"/>
    <x v="0"/>
    <x v="61"/>
    <x v="3"/>
    <x v="23"/>
    <s v="São Paulo"/>
    <x v="11"/>
    <n v="4600"/>
    <n v="5"/>
    <n v="23000"/>
    <n v="5750"/>
    <n v="0.25"/>
  </r>
  <r>
    <x v="0"/>
    <x v="1"/>
    <x v="61"/>
    <x v="3"/>
    <x v="23"/>
    <s v="São Paulo"/>
    <x v="8"/>
    <n v="3400"/>
    <n v="11"/>
    <n v="37400"/>
    <n v="13090"/>
    <n v="0.35"/>
  </r>
  <r>
    <x v="2"/>
    <x v="0"/>
    <x v="62"/>
    <x v="3"/>
    <x v="23"/>
    <s v="São Paulo"/>
    <x v="10"/>
    <n v="3200"/>
    <n v="2"/>
    <n v="6400"/>
    <n v="1280"/>
    <n v="0.2"/>
  </r>
  <r>
    <x v="0"/>
    <x v="1"/>
    <x v="62"/>
    <x v="3"/>
    <x v="23"/>
    <s v="São Paulo"/>
    <x v="2"/>
    <n v="1200"/>
    <n v="8"/>
    <n v="9600"/>
    <n v="2880"/>
    <n v="0.3"/>
  </r>
  <r>
    <x v="0"/>
    <x v="1"/>
    <x v="62"/>
    <x v="3"/>
    <x v="23"/>
    <s v="São Paulo"/>
    <x v="6"/>
    <n v="1500"/>
    <n v="8"/>
    <n v="12000"/>
    <n v="4800"/>
    <n v="0.4"/>
  </r>
  <r>
    <x v="0"/>
    <x v="1"/>
    <x v="62"/>
    <x v="3"/>
    <x v="23"/>
    <s v="São Paulo"/>
    <x v="0"/>
    <n v="8902"/>
    <n v="3"/>
    <n v="26706"/>
    <n v="9347.0999999999985"/>
    <n v="0.35"/>
  </r>
  <r>
    <x v="0"/>
    <x v="1"/>
    <x v="63"/>
    <x v="3"/>
    <x v="23"/>
    <s v="São Paulo"/>
    <x v="4"/>
    <n v="300"/>
    <n v="10"/>
    <n v="3000"/>
    <n v="450"/>
    <n v="0.15"/>
  </r>
  <r>
    <x v="4"/>
    <x v="0"/>
    <x v="63"/>
    <x v="3"/>
    <x v="23"/>
    <s v="São Paulo"/>
    <x v="6"/>
    <n v="1500"/>
    <n v="8"/>
    <n v="12000"/>
    <n v="4800"/>
    <n v="0.4"/>
  </r>
  <r>
    <x v="0"/>
    <x v="1"/>
    <x v="63"/>
    <x v="3"/>
    <x v="23"/>
    <s v="São Paulo"/>
    <x v="11"/>
    <n v="4600"/>
    <n v="8"/>
    <n v="36800"/>
    <n v="9200"/>
    <n v="0.25"/>
  </r>
  <r>
    <x v="3"/>
    <x v="1"/>
    <x v="63"/>
    <x v="3"/>
    <x v="23"/>
    <s v="São Paulo"/>
    <x v="0"/>
    <n v="8902"/>
    <n v="7"/>
    <n v="62314"/>
    <n v="21809.899999999998"/>
    <n v="0.35"/>
  </r>
  <r>
    <x v="3"/>
    <x v="0"/>
    <x v="64"/>
    <x v="3"/>
    <x v="23"/>
    <s v="São Paulo"/>
    <x v="1"/>
    <n v="500"/>
    <n v="2"/>
    <n v="1000"/>
    <n v="250"/>
    <n v="0.25"/>
  </r>
  <r>
    <x v="3"/>
    <x v="1"/>
    <x v="64"/>
    <x v="3"/>
    <x v="23"/>
    <s v="São Paulo"/>
    <x v="6"/>
    <n v="1500"/>
    <n v="7"/>
    <n v="10500"/>
    <n v="4200"/>
    <n v="0.4"/>
  </r>
  <r>
    <x v="3"/>
    <x v="1"/>
    <x v="64"/>
    <x v="3"/>
    <x v="23"/>
    <s v="São Paulo"/>
    <x v="7"/>
    <n v="5340"/>
    <n v="4"/>
    <n v="21360"/>
    <n v="6408"/>
    <n v="0.3"/>
  </r>
  <r>
    <x v="0"/>
    <x v="1"/>
    <x v="64"/>
    <x v="3"/>
    <x v="23"/>
    <s v="São Paulo"/>
    <x v="10"/>
    <n v="3200"/>
    <n v="7"/>
    <n v="22400"/>
    <n v="4480"/>
    <n v="0.2"/>
  </r>
  <r>
    <x v="0"/>
    <x v="1"/>
    <x v="65"/>
    <x v="3"/>
    <x v="23"/>
    <s v="São Paulo"/>
    <x v="1"/>
    <n v="500"/>
    <n v="11"/>
    <n v="5500"/>
    <n v="1375"/>
    <n v="0.25"/>
  </r>
  <r>
    <x v="3"/>
    <x v="1"/>
    <x v="65"/>
    <x v="3"/>
    <x v="23"/>
    <s v="São Paulo"/>
    <x v="8"/>
    <n v="3400"/>
    <n v="3"/>
    <n v="10200"/>
    <n v="3570"/>
    <n v="0.35"/>
  </r>
  <r>
    <x v="3"/>
    <x v="1"/>
    <x v="65"/>
    <x v="3"/>
    <x v="23"/>
    <s v="São Paulo"/>
    <x v="8"/>
    <n v="3400"/>
    <n v="5"/>
    <n v="17000"/>
    <n v="5950"/>
    <n v="0.35"/>
  </r>
  <r>
    <x v="2"/>
    <x v="0"/>
    <x v="65"/>
    <x v="3"/>
    <x v="23"/>
    <s v="São Paulo"/>
    <x v="3"/>
    <n v="5130"/>
    <n v="11"/>
    <n v="56430"/>
    <n v="22572"/>
    <n v="0.4"/>
  </r>
  <r>
    <x v="4"/>
    <x v="1"/>
    <x v="66"/>
    <x v="3"/>
    <x v="23"/>
    <s v="São Paulo"/>
    <x v="6"/>
    <n v="1500"/>
    <n v="8"/>
    <n v="12000"/>
    <n v="4800"/>
    <n v="0.4"/>
  </r>
  <r>
    <x v="0"/>
    <x v="0"/>
    <x v="66"/>
    <x v="3"/>
    <x v="23"/>
    <s v="São Paulo"/>
    <x v="9"/>
    <n v="5300"/>
    <n v="5"/>
    <n v="26500"/>
    <n v="7950"/>
    <n v="0.3"/>
  </r>
  <r>
    <x v="3"/>
    <x v="1"/>
    <x v="66"/>
    <x v="3"/>
    <x v="23"/>
    <s v="São Paulo"/>
    <x v="8"/>
    <n v="3400"/>
    <n v="9"/>
    <n v="30600"/>
    <n v="10710"/>
    <n v="0.35"/>
  </r>
  <r>
    <x v="3"/>
    <x v="1"/>
    <x v="66"/>
    <x v="3"/>
    <x v="23"/>
    <s v="São Paulo"/>
    <x v="9"/>
    <n v="5300"/>
    <n v="7"/>
    <n v="37100"/>
    <n v="11130"/>
    <n v="0.3"/>
  </r>
  <r>
    <x v="2"/>
    <x v="0"/>
    <x v="67"/>
    <x v="3"/>
    <x v="23"/>
    <s v="São Paulo"/>
    <x v="0"/>
    <n v="8902"/>
    <n v="1"/>
    <n v="8902"/>
    <n v="3115.7"/>
    <n v="0.35"/>
  </r>
  <r>
    <x v="3"/>
    <x v="1"/>
    <x v="67"/>
    <x v="3"/>
    <x v="23"/>
    <s v="São Paulo"/>
    <x v="12"/>
    <n v="4500"/>
    <n v="5"/>
    <n v="22500"/>
    <n v="5625"/>
    <n v="0.25"/>
  </r>
  <r>
    <x v="3"/>
    <x v="1"/>
    <x v="67"/>
    <x v="3"/>
    <x v="23"/>
    <s v="São Paulo"/>
    <x v="0"/>
    <n v="8902"/>
    <n v="7"/>
    <n v="62314"/>
    <n v="21809.899999999998"/>
    <n v="0.35"/>
  </r>
  <r>
    <x v="4"/>
    <x v="1"/>
    <x v="67"/>
    <x v="3"/>
    <x v="23"/>
    <s v="São Paulo"/>
    <x v="0"/>
    <n v="8902"/>
    <n v="11"/>
    <n v="97922"/>
    <n v="34272.699999999997"/>
    <n v="0.35"/>
  </r>
  <r>
    <x v="0"/>
    <x v="1"/>
    <x v="68"/>
    <x v="3"/>
    <x v="23"/>
    <s v="São Paulo"/>
    <x v="8"/>
    <n v="3400"/>
    <n v="2"/>
    <n v="6800"/>
    <n v="2380"/>
    <n v="0.35"/>
  </r>
  <r>
    <x v="1"/>
    <x v="0"/>
    <x v="68"/>
    <x v="3"/>
    <x v="23"/>
    <s v="São Paulo"/>
    <x v="0"/>
    <n v="8902"/>
    <n v="1"/>
    <n v="8902"/>
    <n v="3115.7"/>
    <n v="0.35"/>
  </r>
  <r>
    <x v="0"/>
    <x v="0"/>
    <x v="68"/>
    <x v="3"/>
    <x v="23"/>
    <s v="São Paulo"/>
    <x v="11"/>
    <n v="4600"/>
    <n v="10"/>
    <n v="46000"/>
    <n v="11500"/>
    <n v="0.25"/>
  </r>
  <r>
    <x v="3"/>
    <x v="1"/>
    <x v="68"/>
    <x v="3"/>
    <x v="23"/>
    <s v="São Paulo"/>
    <x v="12"/>
    <n v="4500"/>
    <n v="11"/>
    <n v="49500"/>
    <n v="12375"/>
    <n v="0.25"/>
  </r>
  <r>
    <x v="0"/>
    <x v="1"/>
    <x v="69"/>
    <x v="3"/>
    <x v="23"/>
    <s v="São Paulo"/>
    <x v="11"/>
    <n v="4600"/>
    <n v="1"/>
    <n v="4600"/>
    <n v="1150"/>
    <n v="0.25"/>
  </r>
  <r>
    <x v="3"/>
    <x v="1"/>
    <x v="69"/>
    <x v="3"/>
    <x v="23"/>
    <s v="São Paulo"/>
    <x v="1"/>
    <n v="500"/>
    <n v="10"/>
    <n v="5000"/>
    <n v="1250"/>
    <n v="0.25"/>
  </r>
  <r>
    <x v="2"/>
    <x v="1"/>
    <x v="69"/>
    <x v="3"/>
    <x v="23"/>
    <s v="São Paulo"/>
    <x v="6"/>
    <n v="1500"/>
    <n v="11"/>
    <n v="16500"/>
    <n v="6600"/>
    <n v="0.4"/>
  </r>
  <r>
    <x v="0"/>
    <x v="0"/>
    <x v="69"/>
    <x v="3"/>
    <x v="23"/>
    <s v="São Paulo"/>
    <x v="0"/>
    <n v="8902"/>
    <n v="2"/>
    <n v="17804"/>
    <n v="6231.4"/>
    <n v="0.35"/>
  </r>
  <r>
    <x v="3"/>
    <x v="0"/>
    <x v="70"/>
    <x v="3"/>
    <x v="23"/>
    <s v="São Paulo"/>
    <x v="4"/>
    <n v="300"/>
    <n v="7"/>
    <n v="2100"/>
    <n v="315"/>
    <n v="0.15"/>
  </r>
  <r>
    <x v="0"/>
    <x v="1"/>
    <x v="70"/>
    <x v="3"/>
    <x v="23"/>
    <s v="São Paulo"/>
    <x v="12"/>
    <n v="4500"/>
    <n v="2"/>
    <n v="9000"/>
    <n v="2250"/>
    <n v="0.25"/>
  </r>
  <r>
    <x v="0"/>
    <x v="1"/>
    <x v="70"/>
    <x v="3"/>
    <x v="23"/>
    <s v="São Paulo"/>
    <x v="7"/>
    <n v="5340"/>
    <n v="7"/>
    <n v="37380"/>
    <n v="11214"/>
    <n v="0.3"/>
  </r>
  <r>
    <x v="0"/>
    <x v="1"/>
    <x v="70"/>
    <x v="3"/>
    <x v="23"/>
    <s v="São Paulo"/>
    <x v="11"/>
    <n v="4600"/>
    <n v="12"/>
    <n v="55200"/>
    <n v="13800"/>
    <n v="0.25"/>
  </r>
  <r>
    <x v="0"/>
    <x v="1"/>
    <x v="71"/>
    <x v="3"/>
    <x v="23"/>
    <s v="São Paulo"/>
    <x v="10"/>
    <n v="3200"/>
    <n v="1"/>
    <n v="3200"/>
    <n v="640"/>
    <n v="0.2"/>
  </r>
  <r>
    <x v="0"/>
    <x v="1"/>
    <x v="71"/>
    <x v="3"/>
    <x v="23"/>
    <s v="São Paulo"/>
    <x v="2"/>
    <n v="1200"/>
    <n v="5"/>
    <n v="6000"/>
    <n v="1800"/>
    <n v="0.3"/>
  </r>
  <r>
    <x v="0"/>
    <x v="1"/>
    <x v="71"/>
    <x v="3"/>
    <x v="23"/>
    <s v="São Paulo"/>
    <x v="5"/>
    <n v="1700"/>
    <n v="9"/>
    <n v="15300"/>
    <n v="7650"/>
    <n v="0.5"/>
  </r>
  <r>
    <x v="0"/>
    <x v="1"/>
    <x v="71"/>
    <x v="3"/>
    <x v="23"/>
    <s v="São Paulo"/>
    <x v="3"/>
    <n v="5130"/>
    <n v="4"/>
    <n v="20520"/>
    <n v="8208"/>
    <n v="0.4"/>
  </r>
  <r>
    <x v="0"/>
    <x v="1"/>
    <x v="72"/>
    <x v="3"/>
    <x v="23"/>
    <s v="São Paulo"/>
    <x v="8"/>
    <n v="3400"/>
    <n v="3"/>
    <n v="10200"/>
    <n v="3570"/>
    <n v="0.35"/>
  </r>
  <r>
    <x v="0"/>
    <x v="1"/>
    <x v="72"/>
    <x v="3"/>
    <x v="23"/>
    <s v="São Paulo"/>
    <x v="12"/>
    <n v="4500"/>
    <n v="9"/>
    <n v="40500"/>
    <n v="10125"/>
    <n v="0.25"/>
  </r>
  <r>
    <x v="2"/>
    <x v="1"/>
    <x v="72"/>
    <x v="3"/>
    <x v="23"/>
    <s v="São Paulo"/>
    <x v="3"/>
    <n v="5130"/>
    <n v="8"/>
    <n v="41040"/>
    <n v="16416"/>
    <n v="0.4"/>
  </r>
  <r>
    <x v="2"/>
    <x v="1"/>
    <x v="72"/>
    <x v="3"/>
    <x v="23"/>
    <s v="São Paulo"/>
    <x v="0"/>
    <n v="8902"/>
    <n v="11"/>
    <n v="97922"/>
    <n v="34272.699999999997"/>
    <n v="0.35"/>
  </r>
  <r>
    <x v="0"/>
    <x v="1"/>
    <x v="73"/>
    <x v="3"/>
    <x v="23"/>
    <s v="São Paulo"/>
    <x v="4"/>
    <n v="300"/>
    <n v="6"/>
    <n v="1800"/>
    <n v="270"/>
    <n v="0.15"/>
  </r>
  <r>
    <x v="0"/>
    <x v="1"/>
    <x v="73"/>
    <x v="3"/>
    <x v="23"/>
    <s v="São Paulo"/>
    <x v="5"/>
    <n v="1700"/>
    <n v="9"/>
    <n v="15300"/>
    <n v="7650"/>
    <n v="0.5"/>
  </r>
  <r>
    <x v="3"/>
    <x v="1"/>
    <x v="73"/>
    <x v="3"/>
    <x v="23"/>
    <s v="São Paulo"/>
    <x v="6"/>
    <n v="1500"/>
    <n v="12"/>
    <n v="18000"/>
    <n v="7200"/>
    <n v="0.4"/>
  </r>
  <r>
    <x v="4"/>
    <x v="1"/>
    <x v="73"/>
    <x v="3"/>
    <x v="23"/>
    <s v="São Paulo"/>
    <x v="5"/>
    <n v="1700"/>
    <n v="11"/>
    <n v="18700"/>
    <n v="9350"/>
    <n v="0.5"/>
  </r>
  <r>
    <x v="0"/>
    <x v="0"/>
    <x v="74"/>
    <x v="3"/>
    <x v="23"/>
    <s v="São Paulo"/>
    <x v="8"/>
    <n v="3400"/>
    <n v="7"/>
    <n v="23800"/>
    <n v="8330"/>
    <n v="0.35"/>
  </r>
  <r>
    <x v="3"/>
    <x v="0"/>
    <x v="74"/>
    <x v="3"/>
    <x v="23"/>
    <s v="São Paulo"/>
    <x v="5"/>
    <n v="1700"/>
    <n v="16"/>
    <n v="27200"/>
    <n v="13600"/>
    <n v="0.5"/>
  </r>
  <r>
    <x v="0"/>
    <x v="0"/>
    <x v="74"/>
    <x v="3"/>
    <x v="23"/>
    <s v="São Paulo"/>
    <x v="3"/>
    <n v="5130"/>
    <n v="6"/>
    <n v="30780"/>
    <n v="12312"/>
    <n v="0.4"/>
  </r>
  <r>
    <x v="0"/>
    <x v="0"/>
    <x v="74"/>
    <x v="3"/>
    <x v="23"/>
    <s v="São Paulo"/>
    <x v="11"/>
    <n v="4600"/>
    <n v="8"/>
    <n v="36800"/>
    <n v="9200"/>
    <n v="0.25"/>
  </r>
  <r>
    <x v="3"/>
    <x v="1"/>
    <x v="75"/>
    <x v="3"/>
    <x v="23"/>
    <s v="São Paulo"/>
    <x v="4"/>
    <n v="300"/>
    <n v="1"/>
    <n v="300"/>
    <n v="45"/>
    <n v="0.15"/>
  </r>
  <r>
    <x v="3"/>
    <x v="1"/>
    <x v="75"/>
    <x v="3"/>
    <x v="23"/>
    <s v="São Paulo"/>
    <x v="8"/>
    <n v="3400"/>
    <n v="8"/>
    <n v="27200"/>
    <n v="9520"/>
    <n v="0.35"/>
  </r>
  <r>
    <x v="0"/>
    <x v="1"/>
    <x v="75"/>
    <x v="3"/>
    <x v="21"/>
    <s v="Vitória"/>
    <x v="8"/>
    <n v="3400"/>
    <n v="11"/>
    <n v="37400"/>
    <n v="13090"/>
    <n v="0.35"/>
  </r>
  <r>
    <x v="2"/>
    <x v="1"/>
    <x v="75"/>
    <x v="3"/>
    <x v="23"/>
    <s v="São Paulo"/>
    <x v="0"/>
    <n v="8902"/>
    <n v="11"/>
    <n v="97922"/>
    <n v="34272.699999999997"/>
    <n v="0.35"/>
  </r>
  <r>
    <x v="3"/>
    <x v="0"/>
    <x v="76"/>
    <x v="3"/>
    <x v="23"/>
    <s v="São Paulo"/>
    <x v="2"/>
    <n v="1200"/>
    <n v="16"/>
    <n v="19200"/>
    <n v="5760"/>
    <n v="0.3"/>
  </r>
  <r>
    <x v="0"/>
    <x v="1"/>
    <x v="76"/>
    <x v="3"/>
    <x v="23"/>
    <s v="São Paulo"/>
    <x v="10"/>
    <n v="3200"/>
    <n v="11"/>
    <n v="35200"/>
    <n v="7040"/>
    <n v="0.2"/>
  </r>
  <r>
    <x v="2"/>
    <x v="0"/>
    <x v="76"/>
    <x v="3"/>
    <x v="23"/>
    <s v="São Paulo"/>
    <x v="3"/>
    <n v="5130"/>
    <n v="10"/>
    <n v="51300"/>
    <n v="20520"/>
    <n v="0.4"/>
  </r>
  <r>
    <x v="3"/>
    <x v="0"/>
    <x v="76"/>
    <x v="3"/>
    <x v="23"/>
    <s v="São Paulo"/>
    <x v="9"/>
    <n v="5300"/>
    <n v="11"/>
    <n v="58300"/>
    <n v="17490"/>
    <n v="0.3"/>
  </r>
  <r>
    <x v="3"/>
    <x v="1"/>
    <x v="77"/>
    <x v="3"/>
    <x v="21"/>
    <s v="Vitória"/>
    <x v="11"/>
    <n v="4600"/>
    <n v="9"/>
    <n v="41400"/>
    <n v="10350"/>
    <n v="0.25"/>
  </r>
  <r>
    <x v="2"/>
    <x v="1"/>
    <x v="77"/>
    <x v="3"/>
    <x v="21"/>
    <s v="Vitória"/>
    <x v="0"/>
    <n v="8902"/>
    <n v="6"/>
    <n v="53412"/>
    <n v="18694.199999999997"/>
    <n v="0.35"/>
  </r>
  <r>
    <x v="0"/>
    <x v="0"/>
    <x v="77"/>
    <x v="3"/>
    <x v="23"/>
    <s v="São Paulo"/>
    <x v="9"/>
    <n v="5300"/>
    <n v="12"/>
    <n v="63600"/>
    <n v="19080"/>
    <n v="0.3"/>
  </r>
  <r>
    <x v="3"/>
    <x v="1"/>
    <x v="77"/>
    <x v="3"/>
    <x v="23"/>
    <s v="São Paulo"/>
    <x v="7"/>
    <n v="5340"/>
    <n v="12"/>
    <n v="64080"/>
    <n v="19224"/>
    <n v="0.3"/>
  </r>
  <r>
    <x v="3"/>
    <x v="0"/>
    <x v="78"/>
    <x v="3"/>
    <x v="21"/>
    <s v="Vitória"/>
    <x v="1"/>
    <n v="500"/>
    <n v="7"/>
    <n v="3500"/>
    <n v="875"/>
    <n v="0.25"/>
  </r>
  <r>
    <x v="0"/>
    <x v="1"/>
    <x v="78"/>
    <x v="3"/>
    <x v="23"/>
    <s v="São Paulo"/>
    <x v="7"/>
    <n v="5340"/>
    <n v="2"/>
    <n v="10680"/>
    <n v="3204"/>
    <n v="0.3"/>
  </r>
  <r>
    <x v="1"/>
    <x v="0"/>
    <x v="78"/>
    <x v="3"/>
    <x v="23"/>
    <s v="São Paulo"/>
    <x v="10"/>
    <n v="3200"/>
    <n v="8"/>
    <n v="25600"/>
    <n v="5120"/>
    <n v="0.2"/>
  </r>
  <r>
    <x v="0"/>
    <x v="1"/>
    <x v="78"/>
    <x v="3"/>
    <x v="23"/>
    <s v="São Paulo"/>
    <x v="11"/>
    <n v="4600"/>
    <n v="8"/>
    <n v="36800"/>
    <n v="9200"/>
    <n v="0.25"/>
  </r>
  <r>
    <x v="0"/>
    <x v="1"/>
    <x v="79"/>
    <x v="3"/>
    <x v="23"/>
    <s v="São Paulo"/>
    <x v="5"/>
    <n v="1700"/>
    <n v="6"/>
    <n v="10200"/>
    <n v="5100"/>
    <n v="0.5"/>
  </r>
  <r>
    <x v="0"/>
    <x v="1"/>
    <x v="79"/>
    <x v="3"/>
    <x v="21"/>
    <s v="Vitória"/>
    <x v="8"/>
    <n v="3400"/>
    <n v="8"/>
    <n v="27200"/>
    <n v="9520"/>
    <n v="0.35"/>
  </r>
  <r>
    <x v="4"/>
    <x v="1"/>
    <x v="79"/>
    <x v="3"/>
    <x v="23"/>
    <s v="São Paulo"/>
    <x v="12"/>
    <n v="4500"/>
    <n v="7"/>
    <n v="31500"/>
    <n v="7875"/>
    <n v="0.25"/>
  </r>
  <r>
    <x v="0"/>
    <x v="0"/>
    <x v="79"/>
    <x v="3"/>
    <x v="23"/>
    <s v="São Paulo"/>
    <x v="11"/>
    <n v="4600"/>
    <n v="11"/>
    <n v="50600"/>
    <n v="12650"/>
    <n v="0.25"/>
  </r>
  <r>
    <x v="0"/>
    <x v="1"/>
    <x v="80"/>
    <x v="3"/>
    <x v="23"/>
    <s v="São Paulo"/>
    <x v="4"/>
    <n v="300"/>
    <n v="12"/>
    <n v="3600"/>
    <n v="540"/>
    <n v="0.15"/>
  </r>
  <r>
    <x v="0"/>
    <x v="1"/>
    <x v="80"/>
    <x v="3"/>
    <x v="23"/>
    <s v="São Paulo"/>
    <x v="11"/>
    <n v="4600"/>
    <n v="3"/>
    <n v="13800"/>
    <n v="3450"/>
    <n v="0.25"/>
  </r>
  <r>
    <x v="0"/>
    <x v="0"/>
    <x v="80"/>
    <x v="3"/>
    <x v="21"/>
    <s v="Vitória"/>
    <x v="3"/>
    <n v="5130"/>
    <n v="6"/>
    <n v="30780"/>
    <n v="12312"/>
    <n v="0.4"/>
  </r>
  <r>
    <x v="4"/>
    <x v="0"/>
    <x v="80"/>
    <x v="3"/>
    <x v="23"/>
    <s v="São Paulo"/>
    <x v="11"/>
    <n v="4600"/>
    <n v="8"/>
    <n v="36800"/>
    <n v="9200"/>
    <n v="0.25"/>
  </r>
  <r>
    <x v="0"/>
    <x v="1"/>
    <x v="81"/>
    <x v="3"/>
    <x v="21"/>
    <s v="Vitória"/>
    <x v="6"/>
    <n v="1500"/>
    <n v="4"/>
    <n v="6000"/>
    <n v="2400"/>
    <n v="0.4"/>
  </r>
  <r>
    <x v="3"/>
    <x v="0"/>
    <x v="81"/>
    <x v="3"/>
    <x v="23"/>
    <s v="São Paulo"/>
    <x v="2"/>
    <n v="1200"/>
    <n v="9"/>
    <n v="10800"/>
    <n v="3240"/>
    <n v="0.3"/>
  </r>
  <r>
    <x v="0"/>
    <x v="1"/>
    <x v="81"/>
    <x v="3"/>
    <x v="21"/>
    <s v="Vitória"/>
    <x v="8"/>
    <n v="3400"/>
    <n v="4"/>
    <n v="13600"/>
    <n v="4760"/>
    <n v="0.35"/>
  </r>
  <r>
    <x v="3"/>
    <x v="1"/>
    <x v="81"/>
    <x v="3"/>
    <x v="23"/>
    <s v="São Paulo"/>
    <x v="9"/>
    <n v="5300"/>
    <n v="11"/>
    <n v="58300"/>
    <n v="17490"/>
    <n v="0.3"/>
  </r>
  <r>
    <x v="3"/>
    <x v="1"/>
    <x v="82"/>
    <x v="3"/>
    <x v="23"/>
    <s v="São Paulo"/>
    <x v="1"/>
    <n v="500"/>
    <n v="9"/>
    <n v="4500"/>
    <n v="1125"/>
    <n v="0.25"/>
  </r>
  <r>
    <x v="0"/>
    <x v="0"/>
    <x v="82"/>
    <x v="3"/>
    <x v="21"/>
    <s v="Vitória"/>
    <x v="7"/>
    <n v="5340"/>
    <n v="3"/>
    <n v="16020"/>
    <n v="4806"/>
    <n v="0.3"/>
  </r>
  <r>
    <x v="2"/>
    <x v="0"/>
    <x v="82"/>
    <x v="3"/>
    <x v="23"/>
    <s v="São Paulo"/>
    <x v="5"/>
    <n v="1700"/>
    <n v="12"/>
    <n v="20400"/>
    <n v="10200"/>
    <n v="0.5"/>
  </r>
  <r>
    <x v="2"/>
    <x v="1"/>
    <x v="82"/>
    <x v="3"/>
    <x v="21"/>
    <s v="Vitória"/>
    <x v="12"/>
    <n v="4500"/>
    <n v="6"/>
    <n v="27000"/>
    <n v="6750"/>
    <n v="0.25"/>
  </r>
  <r>
    <x v="2"/>
    <x v="0"/>
    <x v="83"/>
    <x v="3"/>
    <x v="23"/>
    <s v="São Paulo"/>
    <x v="4"/>
    <n v="300"/>
    <n v="5"/>
    <n v="1500"/>
    <n v="225"/>
    <n v="0.15"/>
  </r>
  <r>
    <x v="0"/>
    <x v="1"/>
    <x v="83"/>
    <x v="3"/>
    <x v="23"/>
    <s v="São Paulo"/>
    <x v="12"/>
    <n v="4500"/>
    <n v="1"/>
    <n v="4500"/>
    <n v="1125"/>
    <n v="0.25"/>
  </r>
  <r>
    <x v="0"/>
    <x v="1"/>
    <x v="83"/>
    <x v="3"/>
    <x v="23"/>
    <s v="São Paulo"/>
    <x v="1"/>
    <n v="500"/>
    <n v="9"/>
    <n v="4500"/>
    <n v="1125"/>
    <n v="0.25"/>
  </r>
  <r>
    <x v="2"/>
    <x v="1"/>
    <x v="83"/>
    <x v="3"/>
    <x v="23"/>
    <s v="São Paulo"/>
    <x v="3"/>
    <n v="5130"/>
    <n v="11"/>
    <n v="56430"/>
    <n v="22572"/>
    <n v="0.4"/>
  </r>
  <r>
    <x v="0"/>
    <x v="1"/>
    <x v="84"/>
    <x v="3"/>
    <x v="23"/>
    <s v="São Paulo"/>
    <x v="1"/>
    <n v="500"/>
    <n v="12"/>
    <n v="6000"/>
    <n v="1500"/>
    <n v="0.25"/>
  </r>
  <r>
    <x v="3"/>
    <x v="1"/>
    <x v="84"/>
    <x v="3"/>
    <x v="23"/>
    <s v="São Paulo"/>
    <x v="9"/>
    <n v="5300"/>
    <n v="7"/>
    <n v="37100"/>
    <n v="11130"/>
    <n v="0.3"/>
  </r>
  <r>
    <x v="0"/>
    <x v="0"/>
    <x v="84"/>
    <x v="3"/>
    <x v="23"/>
    <s v="São Paulo"/>
    <x v="10"/>
    <n v="3200"/>
    <n v="15"/>
    <n v="48000"/>
    <n v="9600"/>
    <n v="0.2"/>
  </r>
  <r>
    <x v="2"/>
    <x v="0"/>
    <x v="84"/>
    <x v="3"/>
    <x v="23"/>
    <s v="São Paulo"/>
    <x v="3"/>
    <n v="5130"/>
    <n v="15"/>
    <n v="76950"/>
    <n v="30780"/>
    <n v="0.4"/>
  </r>
  <r>
    <x v="0"/>
    <x v="1"/>
    <x v="85"/>
    <x v="3"/>
    <x v="23"/>
    <s v="São Paulo"/>
    <x v="5"/>
    <n v="1700"/>
    <n v="7"/>
    <n v="11900"/>
    <n v="5950"/>
    <n v="0.5"/>
  </r>
  <r>
    <x v="2"/>
    <x v="1"/>
    <x v="85"/>
    <x v="3"/>
    <x v="23"/>
    <s v="São Paulo"/>
    <x v="9"/>
    <n v="5300"/>
    <n v="6"/>
    <n v="31800"/>
    <n v="9540"/>
    <n v="0.3"/>
  </r>
  <r>
    <x v="0"/>
    <x v="1"/>
    <x v="85"/>
    <x v="3"/>
    <x v="23"/>
    <s v="São Paulo"/>
    <x v="9"/>
    <n v="5300"/>
    <n v="8"/>
    <n v="42400"/>
    <n v="12720"/>
    <n v="0.3"/>
  </r>
  <r>
    <x v="0"/>
    <x v="1"/>
    <x v="85"/>
    <x v="3"/>
    <x v="23"/>
    <s v="São Paulo"/>
    <x v="7"/>
    <n v="5340"/>
    <n v="10"/>
    <n v="53400"/>
    <n v="16020"/>
    <n v="0.3"/>
  </r>
  <r>
    <x v="1"/>
    <x v="0"/>
    <x v="0"/>
    <x v="3"/>
    <x v="21"/>
    <s v="Vitória"/>
    <x v="4"/>
    <n v="300"/>
    <n v="7"/>
    <n v="2100"/>
    <n v="315"/>
    <n v="0.15"/>
  </r>
  <r>
    <x v="1"/>
    <x v="0"/>
    <x v="1"/>
    <x v="3"/>
    <x v="21"/>
    <s v="Vitória"/>
    <x v="6"/>
    <n v="1500"/>
    <n v="10"/>
    <n v="15000"/>
    <n v="6000"/>
    <n v="0.4"/>
  </r>
  <r>
    <x v="4"/>
    <x v="0"/>
    <x v="2"/>
    <x v="3"/>
    <x v="21"/>
    <s v="Vitória"/>
    <x v="4"/>
    <n v="300"/>
    <n v="11"/>
    <n v="3300"/>
    <n v="495"/>
    <n v="0.15"/>
  </r>
  <r>
    <x v="0"/>
    <x v="1"/>
    <x v="3"/>
    <x v="3"/>
    <x v="21"/>
    <s v="Vitória"/>
    <x v="3"/>
    <n v="5130"/>
    <n v="9"/>
    <n v="46170"/>
    <n v="18468"/>
    <n v="0.4"/>
  </r>
  <r>
    <x v="3"/>
    <x v="1"/>
    <x v="4"/>
    <x v="3"/>
    <x v="21"/>
    <s v="Vitória"/>
    <x v="3"/>
    <n v="5130"/>
    <n v="4"/>
    <n v="20520"/>
    <n v="8208"/>
    <n v="0.4"/>
  </r>
  <r>
    <x v="3"/>
    <x v="0"/>
    <x v="5"/>
    <x v="3"/>
    <x v="21"/>
    <s v="Vitória"/>
    <x v="5"/>
    <n v="1700"/>
    <n v="8"/>
    <n v="13600"/>
    <n v="6800"/>
    <n v="0.5"/>
  </r>
  <r>
    <x v="3"/>
    <x v="1"/>
    <x v="6"/>
    <x v="3"/>
    <x v="21"/>
    <s v="Vitória"/>
    <x v="12"/>
    <n v="4500"/>
    <n v="9"/>
    <n v="40500"/>
    <n v="10125"/>
    <n v="0.25"/>
  </r>
  <r>
    <x v="0"/>
    <x v="0"/>
    <x v="7"/>
    <x v="3"/>
    <x v="21"/>
    <s v="Vitória"/>
    <x v="10"/>
    <n v="3200"/>
    <n v="9"/>
    <n v="28800"/>
    <n v="5760"/>
    <n v="0.2"/>
  </r>
  <r>
    <x v="0"/>
    <x v="0"/>
    <x v="8"/>
    <x v="3"/>
    <x v="21"/>
    <s v="Vitória"/>
    <x v="10"/>
    <n v="3200"/>
    <n v="2"/>
    <n v="6400"/>
    <n v="1280"/>
    <n v="0.2"/>
  </r>
  <r>
    <x v="0"/>
    <x v="0"/>
    <x v="9"/>
    <x v="3"/>
    <x v="21"/>
    <s v="Vitória"/>
    <x v="0"/>
    <n v="8902"/>
    <n v="6"/>
    <n v="53412"/>
    <n v="18694.199999999997"/>
    <n v="0.35"/>
  </r>
  <r>
    <x v="0"/>
    <x v="1"/>
    <x v="10"/>
    <x v="3"/>
    <x v="21"/>
    <s v="Vitória"/>
    <x v="8"/>
    <n v="3400"/>
    <n v="11"/>
    <n v="37400"/>
    <n v="13090"/>
    <n v="0.35"/>
  </r>
  <r>
    <x v="0"/>
    <x v="1"/>
    <x v="11"/>
    <x v="3"/>
    <x v="21"/>
    <s v="Vitória"/>
    <x v="0"/>
    <n v="8902"/>
    <n v="6"/>
    <n v="53412"/>
    <n v="18694.199999999997"/>
    <n v="0.35"/>
  </r>
  <r>
    <x v="0"/>
    <x v="0"/>
    <x v="12"/>
    <x v="3"/>
    <x v="21"/>
    <s v="Vitória"/>
    <x v="10"/>
    <n v="3200"/>
    <n v="9"/>
    <n v="28800"/>
    <n v="5760"/>
    <n v="0.2"/>
  </r>
  <r>
    <x v="2"/>
    <x v="1"/>
    <x v="13"/>
    <x v="3"/>
    <x v="21"/>
    <s v="Vitória"/>
    <x v="10"/>
    <n v="3200"/>
    <n v="12"/>
    <n v="38400"/>
    <n v="7680"/>
    <n v="0.2"/>
  </r>
  <r>
    <x v="3"/>
    <x v="0"/>
    <x v="14"/>
    <x v="3"/>
    <x v="21"/>
    <s v="Vitória"/>
    <x v="12"/>
    <n v="4500"/>
    <n v="1"/>
    <n v="4500"/>
    <n v="1125"/>
    <n v="0.25"/>
  </r>
  <r>
    <x v="0"/>
    <x v="1"/>
    <x v="15"/>
    <x v="3"/>
    <x v="21"/>
    <s v="Vitória"/>
    <x v="2"/>
    <n v="1200"/>
    <n v="10"/>
    <n v="12000"/>
    <n v="3600"/>
    <n v="0.3"/>
  </r>
  <r>
    <x v="3"/>
    <x v="0"/>
    <x v="16"/>
    <x v="3"/>
    <x v="21"/>
    <s v="Vitória"/>
    <x v="3"/>
    <n v="5130"/>
    <n v="5"/>
    <n v="25650"/>
    <n v="10260"/>
    <n v="0.4"/>
  </r>
  <r>
    <x v="0"/>
    <x v="1"/>
    <x v="17"/>
    <x v="3"/>
    <x v="21"/>
    <s v="Vitória"/>
    <x v="4"/>
    <n v="300"/>
    <n v="4"/>
    <n v="1200"/>
    <n v="180"/>
    <n v="0.15"/>
  </r>
  <r>
    <x v="4"/>
    <x v="0"/>
    <x v="0"/>
    <x v="4"/>
    <x v="24"/>
    <s v="Curitiba"/>
    <x v="3"/>
    <n v="5130"/>
    <n v="10"/>
    <n v="51300"/>
    <n v="20520"/>
    <n v="0.4"/>
  </r>
  <r>
    <x v="0"/>
    <x v="0"/>
    <x v="1"/>
    <x v="4"/>
    <x v="24"/>
    <s v="Curitiba"/>
    <x v="11"/>
    <n v="4600"/>
    <n v="2"/>
    <n v="9200"/>
    <n v="2300"/>
    <n v="0.25"/>
  </r>
  <r>
    <x v="3"/>
    <x v="1"/>
    <x v="2"/>
    <x v="4"/>
    <x v="24"/>
    <s v="Curitiba"/>
    <x v="1"/>
    <n v="500"/>
    <n v="10"/>
    <n v="5000"/>
    <n v="1250"/>
    <n v="0.25"/>
  </r>
  <r>
    <x v="0"/>
    <x v="1"/>
    <x v="3"/>
    <x v="4"/>
    <x v="24"/>
    <s v="Curitiba"/>
    <x v="3"/>
    <n v="5130"/>
    <n v="7"/>
    <n v="35910"/>
    <n v="14364"/>
    <n v="0.4"/>
  </r>
  <r>
    <x v="3"/>
    <x v="1"/>
    <x v="4"/>
    <x v="4"/>
    <x v="24"/>
    <s v="Curitiba"/>
    <x v="2"/>
    <n v="1200"/>
    <n v="11"/>
    <n v="13200"/>
    <n v="3960"/>
    <n v="0.3"/>
  </r>
  <r>
    <x v="3"/>
    <x v="1"/>
    <x v="5"/>
    <x v="4"/>
    <x v="24"/>
    <s v="Curitiba"/>
    <x v="7"/>
    <n v="5340"/>
    <n v="3"/>
    <n v="16020"/>
    <n v="4806"/>
    <n v="0.3"/>
  </r>
  <r>
    <x v="1"/>
    <x v="1"/>
    <x v="6"/>
    <x v="4"/>
    <x v="24"/>
    <s v="Curitiba"/>
    <x v="12"/>
    <n v="4500"/>
    <n v="2"/>
    <n v="9000"/>
    <n v="2250"/>
    <n v="0.25"/>
  </r>
  <r>
    <x v="4"/>
    <x v="1"/>
    <x v="7"/>
    <x v="4"/>
    <x v="24"/>
    <s v="Curitiba"/>
    <x v="0"/>
    <n v="8902"/>
    <n v="1"/>
    <n v="8902"/>
    <n v="3115.7"/>
    <n v="0.35"/>
  </r>
  <r>
    <x v="0"/>
    <x v="0"/>
    <x v="8"/>
    <x v="4"/>
    <x v="24"/>
    <s v="Curitiba"/>
    <x v="11"/>
    <n v="4600"/>
    <n v="4"/>
    <n v="18400"/>
    <n v="4600"/>
    <n v="0.25"/>
  </r>
  <r>
    <x v="0"/>
    <x v="0"/>
    <x v="9"/>
    <x v="4"/>
    <x v="24"/>
    <s v="Curitiba"/>
    <x v="7"/>
    <n v="5340"/>
    <n v="9"/>
    <n v="48060"/>
    <n v="14418"/>
    <n v="0.3"/>
  </r>
  <r>
    <x v="2"/>
    <x v="0"/>
    <x v="10"/>
    <x v="4"/>
    <x v="24"/>
    <s v="Curitiba"/>
    <x v="9"/>
    <n v="5300"/>
    <n v="7"/>
    <n v="37100"/>
    <n v="11130"/>
    <n v="0.3"/>
  </r>
  <r>
    <x v="4"/>
    <x v="1"/>
    <x v="11"/>
    <x v="4"/>
    <x v="24"/>
    <s v="Curitiba"/>
    <x v="3"/>
    <n v="5130"/>
    <n v="9"/>
    <n v="46170"/>
    <n v="18468"/>
    <n v="0.4"/>
  </r>
  <r>
    <x v="1"/>
    <x v="1"/>
    <x v="12"/>
    <x v="4"/>
    <x v="24"/>
    <s v="Curitiba"/>
    <x v="1"/>
    <n v="500"/>
    <n v="12"/>
    <n v="6000"/>
    <n v="1500"/>
    <n v="0.25"/>
  </r>
  <r>
    <x v="1"/>
    <x v="0"/>
    <x v="13"/>
    <x v="4"/>
    <x v="24"/>
    <s v="Curitiba"/>
    <x v="0"/>
    <n v="8902"/>
    <n v="9"/>
    <n v="80118"/>
    <n v="28041.3"/>
    <n v="0.35"/>
  </r>
  <r>
    <x v="4"/>
    <x v="0"/>
    <x v="14"/>
    <x v="4"/>
    <x v="24"/>
    <s v="Curitiba"/>
    <x v="4"/>
    <n v="300"/>
    <n v="3"/>
    <n v="900"/>
    <n v="135"/>
    <n v="0.15"/>
  </r>
  <r>
    <x v="0"/>
    <x v="1"/>
    <x v="15"/>
    <x v="4"/>
    <x v="24"/>
    <s v="Curitiba"/>
    <x v="3"/>
    <n v="5130"/>
    <n v="2"/>
    <n v="10260"/>
    <n v="4104"/>
    <n v="0.4"/>
  </r>
  <r>
    <x v="3"/>
    <x v="1"/>
    <x v="16"/>
    <x v="4"/>
    <x v="24"/>
    <s v="Curitiba"/>
    <x v="3"/>
    <n v="5130"/>
    <n v="4"/>
    <n v="20520"/>
    <n v="8208"/>
    <n v="0.4"/>
  </r>
  <r>
    <x v="2"/>
    <x v="1"/>
    <x v="17"/>
    <x v="4"/>
    <x v="24"/>
    <s v="Curitiba"/>
    <x v="2"/>
    <n v="1200"/>
    <n v="12"/>
    <n v="14400"/>
    <n v="4320"/>
    <n v="0.3"/>
  </r>
  <r>
    <x v="1"/>
    <x v="0"/>
    <x v="18"/>
    <x v="4"/>
    <x v="24"/>
    <s v="Curitiba"/>
    <x v="12"/>
    <n v="4500"/>
    <n v="11"/>
    <n v="49500"/>
    <n v="12375"/>
    <n v="0.25"/>
  </r>
  <r>
    <x v="0"/>
    <x v="1"/>
    <x v="19"/>
    <x v="4"/>
    <x v="24"/>
    <s v="Curitiba"/>
    <x v="6"/>
    <n v="1500"/>
    <n v="8"/>
    <n v="12000"/>
    <n v="4800"/>
    <n v="0.4"/>
  </r>
  <r>
    <x v="3"/>
    <x v="0"/>
    <x v="20"/>
    <x v="4"/>
    <x v="24"/>
    <s v="Curitiba"/>
    <x v="2"/>
    <n v="1200"/>
    <n v="8"/>
    <n v="9600"/>
    <n v="2880"/>
    <n v="0.3"/>
  </r>
  <r>
    <x v="3"/>
    <x v="1"/>
    <x v="21"/>
    <x v="4"/>
    <x v="24"/>
    <s v="Curitiba"/>
    <x v="9"/>
    <n v="5300"/>
    <n v="2"/>
    <n v="10600"/>
    <n v="3180"/>
    <n v="0.3"/>
  </r>
  <r>
    <x v="2"/>
    <x v="0"/>
    <x v="22"/>
    <x v="4"/>
    <x v="24"/>
    <s v="Curitiba"/>
    <x v="3"/>
    <n v="5130"/>
    <n v="10"/>
    <n v="51300"/>
    <n v="20520"/>
    <n v="0.4"/>
  </r>
  <r>
    <x v="2"/>
    <x v="1"/>
    <x v="23"/>
    <x v="4"/>
    <x v="24"/>
    <s v="Curitiba"/>
    <x v="6"/>
    <n v="1500"/>
    <n v="12"/>
    <n v="18000"/>
    <n v="7200"/>
    <n v="0.4"/>
  </r>
  <r>
    <x v="2"/>
    <x v="1"/>
    <x v="24"/>
    <x v="4"/>
    <x v="24"/>
    <s v="Curitiba"/>
    <x v="0"/>
    <n v="8902"/>
    <n v="1"/>
    <n v="8902"/>
    <n v="3115.7"/>
    <n v="0.35"/>
  </r>
  <r>
    <x v="2"/>
    <x v="1"/>
    <x v="25"/>
    <x v="4"/>
    <x v="24"/>
    <s v="Curitiba"/>
    <x v="2"/>
    <n v="1200"/>
    <n v="4"/>
    <n v="4800"/>
    <n v="1440"/>
    <n v="0.3"/>
  </r>
  <r>
    <x v="3"/>
    <x v="1"/>
    <x v="26"/>
    <x v="4"/>
    <x v="24"/>
    <s v="Curitiba"/>
    <x v="9"/>
    <n v="5300"/>
    <n v="10"/>
    <n v="53000"/>
    <n v="15900"/>
    <n v="0.3"/>
  </r>
  <r>
    <x v="2"/>
    <x v="1"/>
    <x v="27"/>
    <x v="4"/>
    <x v="24"/>
    <s v="Curitiba"/>
    <x v="2"/>
    <n v="1200"/>
    <n v="9"/>
    <n v="10800"/>
    <n v="3240"/>
    <n v="0.3"/>
  </r>
  <r>
    <x v="3"/>
    <x v="0"/>
    <x v="28"/>
    <x v="4"/>
    <x v="24"/>
    <s v="Curitiba"/>
    <x v="2"/>
    <n v="1200"/>
    <n v="11"/>
    <n v="13200"/>
    <n v="3960"/>
    <n v="0.3"/>
  </r>
  <r>
    <x v="3"/>
    <x v="1"/>
    <x v="28"/>
    <x v="4"/>
    <x v="24"/>
    <s v="Curitiba"/>
    <x v="8"/>
    <n v="3400"/>
    <n v="5"/>
    <n v="17000"/>
    <n v="5950"/>
    <n v="0.35"/>
  </r>
  <r>
    <x v="3"/>
    <x v="1"/>
    <x v="29"/>
    <x v="4"/>
    <x v="24"/>
    <s v="Curitiba"/>
    <x v="8"/>
    <n v="3400"/>
    <n v="4"/>
    <n v="13600"/>
    <n v="4760"/>
    <n v="0.35"/>
  </r>
  <r>
    <x v="4"/>
    <x v="1"/>
    <x v="30"/>
    <x v="4"/>
    <x v="24"/>
    <s v="Curitiba"/>
    <x v="4"/>
    <n v="300"/>
    <n v="9"/>
    <n v="2700"/>
    <n v="405"/>
    <n v="0.15"/>
  </r>
  <r>
    <x v="0"/>
    <x v="1"/>
    <x v="31"/>
    <x v="4"/>
    <x v="24"/>
    <s v="Curitiba"/>
    <x v="2"/>
    <n v="1200"/>
    <n v="6"/>
    <n v="7200"/>
    <n v="2160"/>
    <n v="0.3"/>
  </r>
  <r>
    <x v="0"/>
    <x v="0"/>
    <x v="32"/>
    <x v="4"/>
    <x v="24"/>
    <s v="Curitiba"/>
    <x v="12"/>
    <n v="4500"/>
    <n v="6"/>
    <n v="27000"/>
    <n v="6750"/>
    <n v="0.25"/>
  </r>
  <r>
    <x v="3"/>
    <x v="0"/>
    <x v="33"/>
    <x v="4"/>
    <x v="24"/>
    <s v="Curitiba"/>
    <x v="1"/>
    <n v="500"/>
    <n v="10"/>
    <n v="5000"/>
    <n v="1250"/>
    <n v="0.25"/>
  </r>
  <r>
    <x v="3"/>
    <x v="1"/>
    <x v="34"/>
    <x v="4"/>
    <x v="24"/>
    <s v="Curitiba"/>
    <x v="0"/>
    <n v="8902"/>
    <n v="9"/>
    <n v="80118"/>
    <n v="28041.3"/>
    <n v="0.35"/>
  </r>
  <r>
    <x v="1"/>
    <x v="1"/>
    <x v="35"/>
    <x v="4"/>
    <x v="24"/>
    <s v="Curitiba"/>
    <x v="5"/>
    <n v="1700"/>
    <n v="4"/>
    <n v="6800"/>
    <n v="3400"/>
    <n v="0.5"/>
  </r>
  <r>
    <x v="1"/>
    <x v="0"/>
    <x v="36"/>
    <x v="4"/>
    <x v="24"/>
    <s v="Curitiba"/>
    <x v="0"/>
    <n v="8902"/>
    <n v="7"/>
    <n v="62314"/>
    <n v="21809.899999999998"/>
    <n v="0.35"/>
  </r>
  <r>
    <x v="4"/>
    <x v="1"/>
    <x v="37"/>
    <x v="4"/>
    <x v="24"/>
    <s v="Curitiba"/>
    <x v="10"/>
    <n v="3200"/>
    <n v="2"/>
    <n v="6400"/>
    <n v="1280"/>
    <n v="0.2"/>
  </r>
  <r>
    <x v="1"/>
    <x v="1"/>
    <x v="38"/>
    <x v="4"/>
    <x v="24"/>
    <s v="Curitiba"/>
    <x v="2"/>
    <n v="1200"/>
    <n v="7"/>
    <n v="8400"/>
    <n v="2520"/>
    <n v="0.3"/>
  </r>
  <r>
    <x v="1"/>
    <x v="1"/>
    <x v="39"/>
    <x v="4"/>
    <x v="24"/>
    <s v="Curitiba"/>
    <x v="8"/>
    <n v="3400"/>
    <n v="9"/>
    <n v="30600"/>
    <n v="10710"/>
    <n v="0.35"/>
  </r>
  <r>
    <x v="0"/>
    <x v="1"/>
    <x v="40"/>
    <x v="4"/>
    <x v="24"/>
    <s v="Curitiba"/>
    <x v="8"/>
    <n v="3400"/>
    <n v="7"/>
    <n v="23800"/>
    <n v="8330"/>
    <n v="0.35"/>
  </r>
  <r>
    <x v="0"/>
    <x v="1"/>
    <x v="41"/>
    <x v="4"/>
    <x v="24"/>
    <s v="Curitiba"/>
    <x v="11"/>
    <n v="4600"/>
    <n v="8"/>
    <n v="36800"/>
    <n v="9200"/>
    <n v="0.25"/>
  </r>
  <r>
    <x v="3"/>
    <x v="0"/>
    <x v="42"/>
    <x v="4"/>
    <x v="24"/>
    <s v="Curitiba"/>
    <x v="12"/>
    <n v="4500"/>
    <n v="12"/>
    <n v="54000"/>
    <n v="13500"/>
    <n v="0.25"/>
  </r>
  <r>
    <x v="3"/>
    <x v="1"/>
    <x v="43"/>
    <x v="4"/>
    <x v="24"/>
    <s v="Curitiba"/>
    <x v="12"/>
    <n v="4500"/>
    <n v="12"/>
    <n v="54000"/>
    <n v="13500"/>
    <n v="0.25"/>
  </r>
  <r>
    <x v="0"/>
    <x v="1"/>
    <x v="44"/>
    <x v="4"/>
    <x v="24"/>
    <s v="Curitiba"/>
    <x v="10"/>
    <n v="3200"/>
    <n v="1"/>
    <n v="3200"/>
    <n v="640"/>
    <n v="0.2"/>
  </r>
  <r>
    <x v="0"/>
    <x v="0"/>
    <x v="45"/>
    <x v="4"/>
    <x v="24"/>
    <s v="Curitiba"/>
    <x v="2"/>
    <n v="1200"/>
    <n v="10"/>
    <n v="12000"/>
    <n v="3600"/>
    <n v="0.3"/>
  </r>
  <r>
    <x v="3"/>
    <x v="1"/>
    <x v="46"/>
    <x v="4"/>
    <x v="24"/>
    <s v="Curitiba"/>
    <x v="5"/>
    <n v="1700"/>
    <n v="1"/>
    <n v="1700"/>
    <n v="850"/>
    <n v="0.5"/>
  </r>
  <r>
    <x v="2"/>
    <x v="1"/>
    <x v="47"/>
    <x v="4"/>
    <x v="24"/>
    <s v="Curitiba"/>
    <x v="3"/>
    <n v="5130"/>
    <n v="10"/>
    <n v="51300"/>
    <n v="20520"/>
    <n v="0.4"/>
  </r>
  <r>
    <x v="3"/>
    <x v="1"/>
    <x v="48"/>
    <x v="4"/>
    <x v="24"/>
    <s v="Curitiba"/>
    <x v="10"/>
    <n v="3200"/>
    <n v="5"/>
    <n v="16000"/>
    <n v="3200"/>
    <n v="0.2"/>
  </r>
  <r>
    <x v="0"/>
    <x v="1"/>
    <x v="49"/>
    <x v="4"/>
    <x v="24"/>
    <s v="Curitiba"/>
    <x v="1"/>
    <n v="500"/>
    <n v="5"/>
    <n v="2500"/>
    <n v="625"/>
    <n v="0.25"/>
  </r>
  <r>
    <x v="2"/>
    <x v="0"/>
    <x v="50"/>
    <x v="4"/>
    <x v="24"/>
    <s v="Curitiba"/>
    <x v="3"/>
    <n v="5130"/>
    <n v="7"/>
    <n v="35910"/>
    <n v="14364"/>
    <n v="0.4"/>
  </r>
  <r>
    <x v="3"/>
    <x v="0"/>
    <x v="51"/>
    <x v="4"/>
    <x v="24"/>
    <s v="Curitiba"/>
    <x v="1"/>
    <n v="500"/>
    <n v="21"/>
    <n v="10500"/>
    <n v="2625"/>
    <n v="0.25"/>
  </r>
  <r>
    <x v="1"/>
    <x v="1"/>
    <x v="52"/>
    <x v="4"/>
    <x v="24"/>
    <s v="Curitiba"/>
    <x v="4"/>
    <n v="300"/>
    <n v="3"/>
    <n v="900"/>
    <n v="135"/>
    <n v="0.15"/>
  </r>
  <r>
    <x v="1"/>
    <x v="1"/>
    <x v="53"/>
    <x v="4"/>
    <x v="24"/>
    <s v="Curitiba"/>
    <x v="2"/>
    <n v="1200"/>
    <n v="12"/>
    <n v="14400"/>
    <n v="4320"/>
    <n v="0.3"/>
  </r>
  <r>
    <x v="3"/>
    <x v="1"/>
    <x v="54"/>
    <x v="4"/>
    <x v="24"/>
    <s v="Curitiba"/>
    <x v="12"/>
    <n v="4500"/>
    <n v="8"/>
    <n v="36000"/>
    <n v="9000"/>
    <n v="0.25"/>
  </r>
  <r>
    <x v="0"/>
    <x v="1"/>
    <x v="55"/>
    <x v="4"/>
    <x v="24"/>
    <s v="Curitiba"/>
    <x v="11"/>
    <n v="4600"/>
    <n v="11"/>
    <n v="50600"/>
    <n v="12650"/>
    <n v="0.25"/>
  </r>
  <r>
    <x v="0"/>
    <x v="1"/>
    <x v="56"/>
    <x v="4"/>
    <x v="24"/>
    <s v="Curitiba"/>
    <x v="5"/>
    <n v="1700"/>
    <n v="12"/>
    <n v="20400"/>
    <n v="10200"/>
    <n v="0.5"/>
  </r>
  <r>
    <x v="2"/>
    <x v="0"/>
    <x v="57"/>
    <x v="4"/>
    <x v="24"/>
    <s v="Curitiba"/>
    <x v="10"/>
    <n v="3200"/>
    <n v="9"/>
    <n v="28800"/>
    <n v="5760"/>
    <n v="0.2"/>
  </r>
  <r>
    <x v="0"/>
    <x v="1"/>
    <x v="58"/>
    <x v="4"/>
    <x v="24"/>
    <s v="Curitiba"/>
    <x v="0"/>
    <n v="8902"/>
    <n v="9"/>
    <n v="80118"/>
    <n v="28041.3"/>
    <n v="0.35"/>
  </r>
  <r>
    <x v="2"/>
    <x v="1"/>
    <x v="59"/>
    <x v="4"/>
    <x v="24"/>
    <s v="Curitiba"/>
    <x v="12"/>
    <n v="4500"/>
    <n v="3"/>
    <n v="13500"/>
    <n v="3375"/>
    <n v="0.25"/>
  </r>
  <r>
    <x v="3"/>
    <x v="0"/>
    <x v="60"/>
    <x v="4"/>
    <x v="24"/>
    <s v="Curitiba"/>
    <x v="7"/>
    <n v="5340"/>
    <n v="1"/>
    <n v="5340"/>
    <n v="1602"/>
    <n v="0.3"/>
  </r>
  <r>
    <x v="0"/>
    <x v="1"/>
    <x v="61"/>
    <x v="4"/>
    <x v="24"/>
    <s v="Curitiba"/>
    <x v="12"/>
    <n v="4500"/>
    <n v="10"/>
    <n v="45000"/>
    <n v="11250"/>
    <n v="0.25"/>
  </r>
  <r>
    <x v="0"/>
    <x v="1"/>
    <x v="62"/>
    <x v="4"/>
    <x v="24"/>
    <s v="Curitiba"/>
    <x v="1"/>
    <n v="500"/>
    <n v="12"/>
    <n v="6000"/>
    <n v="1500"/>
    <n v="0.25"/>
  </r>
  <r>
    <x v="0"/>
    <x v="1"/>
    <x v="63"/>
    <x v="4"/>
    <x v="24"/>
    <s v="Curitiba"/>
    <x v="12"/>
    <n v="4500"/>
    <n v="12"/>
    <n v="54000"/>
    <n v="13500"/>
    <n v="0.25"/>
  </r>
  <r>
    <x v="1"/>
    <x v="1"/>
    <x v="64"/>
    <x v="4"/>
    <x v="24"/>
    <s v="Curitiba"/>
    <x v="3"/>
    <n v="5130"/>
    <n v="9"/>
    <n v="46170"/>
    <n v="18468"/>
    <n v="0.4"/>
  </r>
  <r>
    <x v="0"/>
    <x v="1"/>
    <x v="65"/>
    <x v="4"/>
    <x v="24"/>
    <s v="Curitiba"/>
    <x v="8"/>
    <n v="3400"/>
    <n v="11"/>
    <n v="37400"/>
    <n v="13090"/>
    <n v="0.35"/>
  </r>
  <r>
    <x v="0"/>
    <x v="0"/>
    <x v="66"/>
    <x v="4"/>
    <x v="24"/>
    <s v="Curitiba"/>
    <x v="2"/>
    <n v="1200"/>
    <n v="3"/>
    <n v="3600"/>
    <n v="1080"/>
    <n v="0.3"/>
  </r>
  <r>
    <x v="0"/>
    <x v="1"/>
    <x v="67"/>
    <x v="4"/>
    <x v="24"/>
    <s v="Curitiba"/>
    <x v="9"/>
    <n v="5300"/>
    <n v="12"/>
    <n v="63600"/>
    <n v="19080"/>
    <n v="0.3"/>
  </r>
  <r>
    <x v="3"/>
    <x v="1"/>
    <x v="68"/>
    <x v="4"/>
    <x v="24"/>
    <s v="Curitiba"/>
    <x v="4"/>
    <n v="300"/>
    <n v="7"/>
    <n v="2100"/>
    <n v="315"/>
    <n v="0.15"/>
  </r>
  <r>
    <x v="3"/>
    <x v="0"/>
    <x v="69"/>
    <x v="4"/>
    <x v="24"/>
    <s v="Curitiba"/>
    <x v="6"/>
    <n v="1500"/>
    <n v="3"/>
    <n v="4500"/>
    <n v="1800"/>
    <n v="0.4"/>
  </r>
  <r>
    <x v="3"/>
    <x v="1"/>
    <x v="70"/>
    <x v="4"/>
    <x v="24"/>
    <s v="Curitiba"/>
    <x v="10"/>
    <n v="3200"/>
    <n v="5"/>
    <n v="16000"/>
    <n v="3200"/>
    <n v="0.2"/>
  </r>
  <r>
    <x v="3"/>
    <x v="1"/>
    <x v="71"/>
    <x v="4"/>
    <x v="24"/>
    <s v="Curitiba"/>
    <x v="7"/>
    <n v="5340"/>
    <n v="5"/>
    <n v="26700"/>
    <n v="8010"/>
    <n v="0.3"/>
  </r>
  <r>
    <x v="0"/>
    <x v="1"/>
    <x v="72"/>
    <x v="4"/>
    <x v="24"/>
    <s v="Curitiba"/>
    <x v="8"/>
    <n v="3400"/>
    <n v="3"/>
    <n v="10200"/>
    <n v="3570"/>
    <n v="0.35"/>
  </r>
  <r>
    <x v="2"/>
    <x v="0"/>
    <x v="73"/>
    <x v="4"/>
    <x v="24"/>
    <s v="Curitiba"/>
    <x v="6"/>
    <n v="1500"/>
    <n v="20"/>
    <n v="30000"/>
    <n v="12000"/>
    <n v="0.4"/>
  </r>
  <r>
    <x v="3"/>
    <x v="1"/>
    <x v="74"/>
    <x v="4"/>
    <x v="24"/>
    <s v="Curitiba"/>
    <x v="2"/>
    <n v="1200"/>
    <n v="11"/>
    <n v="13200"/>
    <n v="3960"/>
    <n v="0.3"/>
  </r>
  <r>
    <x v="0"/>
    <x v="1"/>
    <x v="75"/>
    <x v="4"/>
    <x v="24"/>
    <s v="Curitiba"/>
    <x v="0"/>
    <n v="8902"/>
    <n v="20"/>
    <n v="178040"/>
    <n v="62313.999999999993"/>
    <n v="0.35"/>
  </r>
  <r>
    <x v="3"/>
    <x v="1"/>
    <x v="76"/>
    <x v="4"/>
    <x v="24"/>
    <s v="Curitiba"/>
    <x v="2"/>
    <n v="1200"/>
    <n v="4"/>
    <n v="4800"/>
    <n v="1440"/>
    <n v="0.3"/>
  </r>
  <r>
    <x v="3"/>
    <x v="0"/>
    <x v="77"/>
    <x v="4"/>
    <x v="24"/>
    <s v="Curitiba"/>
    <x v="10"/>
    <n v="3200"/>
    <n v="10"/>
    <n v="32000"/>
    <n v="6400"/>
    <n v="0.2"/>
  </r>
  <r>
    <x v="0"/>
    <x v="0"/>
    <x v="78"/>
    <x v="4"/>
    <x v="24"/>
    <s v="Curitiba"/>
    <x v="11"/>
    <n v="4600"/>
    <n v="3"/>
    <n v="13800"/>
    <n v="3450"/>
    <n v="0.25"/>
  </r>
  <r>
    <x v="3"/>
    <x v="0"/>
    <x v="79"/>
    <x v="4"/>
    <x v="24"/>
    <s v="Curitiba"/>
    <x v="5"/>
    <n v="1700"/>
    <n v="1"/>
    <n v="1700"/>
    <n v="850"/>
    <n v="0.5"/>
  </r>
  <r>
    <x v="4"/>
    <x v="1"/>
    <x v="80"/>
    <x v="4"/>
    <x v="24"/>
    <s v="Curitiba"/>
    <x v="12"/>
    <n v="4500"/>
    <n v="6"/>
    <n v="27000"/>
    <n v="6750"/>
    <n v="0.25"/>
  </r>
  <r>
    <x v="4"/>
    <x v="1"/>
    <x v="81"/>
    <x v="4"/>
    <x v="24"/>
    <s v="Curitiba"/>
    <x v="8"/>
    <n v="3400"/>
    <n v="11"/>
    <n v="37400"/>
    <n v="13090"/>
    <n v="0.35"/>
  </r>
  <r>
    <x v="0"/>
    <x v="1"/>
    <x v="82"/>
    <x v="4"/>
    <x v="24"/>
    <s v="Curitiba"/>
    <x v="11"/>
    <n v="4600"/>
    <n v="11"/>
    <n v="50600"/>
    <n v="12650"/>
    <n v="0.25"/>
  </r>
  <r>
    <x v="0"/>
    <x v="0"/>
    <x v="83"/>
    <x v="4"/>
    <x v="24"/>
    <s v="Curitiba"/>
    <x v="2"/>
    <n v="1200"/>
    <n v="11"/>
    <n v="13200"/>
    <n v="3960"/>
    <n v="0.3"/>
  </r>
  <r>
    <x v="2"/>
    <x v="0"/>
    <x v="84"/>
    <x v="4"/>
    <x v="24"/>
    <s v="Curitiba"/>
    <x v="3"/>
    <n v="5130"/>
    <n v="11"/>
    <n v="56430"/>
    <n v="22572"/>
    <n v="0.4"/>
  </r>
  <r>
    <x v="0"/>
    <x v="1"/>
    <x v="85"/>
    <x v="4"/>
    <x v="24"/>
    <s v="Curitiba"/>
    <x v="0"/>
    <n v="8902"/>
    <n v="9"/>
    <n v="80118"/>
    <n v="28041.3"/>
    <n v="0.35"/>
  </r>
  <r>
    <x v="0"/>
    <x v="0"/>
    <x v="0"/>
    <x v="4"/>
    <x v="25"/>
    <s v="Porto Alegre"/>
    <x v="3"/>
    <n v="5130"/>
    <n v="8"/>
    <n v="41040"/>
    <n v="16416"/>
    <n v="0.4"/>
  </r>
  <r>
    <x v="0"/>
    <x v="1"/>
    <x v="1"/>
    <x v="4"/>
    <x v="25"/>
    <s v="Porto Alegre"/>
    <x v="4"/>
    <n v="300"/>
    <n v="9"/>
    <n v="2700"/>
    <n v="405"/>
    <n v="0.15"/>
  </r>
  <r>
    <x v="1"/>
    <x v="0"/>
    <x v="2"/>
    <x v="4"/>
    <x v="25"/>
    <s v="Porto Alegre"/>
    <x v="12"/>
    <n v="4500"/>
    <n v="12"/>
    <n v="54000"/>
    <n v="13500"/>
    <n v="0.25"/>
  </r>
  <r>
    <x v="2"/>
    <x v="1"/>
    <x v="3"/>
    <x v="4"/>
    <x v="25"/>
    <s v="Porto Alegre"/>
    <x v="4"/>
    <n v="300"/>
    <n v="1"/>
    <n v="300"/>
    <n v="45"/>
    <n v="0.15"/>
  </r>
  <r>
    <x v="0"/>
    <x v="1"/>
    <x v="4"/>
    <x v="4"/>
    <x v="25"/>
    <s v="Porto Alegre"/>
    <x v="3"/>
    <n v="5130"/>
    <n v="2"/>
    <n v="10260"/>
    <n v="4104"/>
    <n v="0.4"/>
  </r>
  <r>
    <x v="0"/>
    <x v="1"/>
    <x v="5"/>
    <x v="4"/>
    <x v="25"/>
    <s v="Porto Alegre"/>
    <x v="12"/>
    <n v="4500"/>
    <n v="7"/>
    <n v="31500"/>
    <n v="7875"/>
    <n v="0.25"/>
  </r>
  <r>
    <x v="2"/>
    <x v="1"/>
    <x v="6"/>
    <x v="4"/>
    <x v="25"/>
    <s v="Porto Alegre"/>
    <x v="10"/>
    <n v="3200"/>
    <n v="12"/>
    <n v="38400"/>
    <n v="7680"/>
    <n v="0.2"/>
  </r>
  <r>
    <x v="1"/>
    <x v="1"/>
    <x v="7"/>
    <x v="4"/>
    <x v="25"/>
    <s v="Porto Alegre"/>
    <x v="1"/>
    <n v="500"/>
    <n v="15"/>
    <n v="7500"/>
    <n v="1875"/>
    <n v="0.25"/>
  </r>
  <r>
    <x v="0"/>
    <x v="1"/>
    <x v="8"/>
    <x v="4"/>
    <x v="25"/>
    <s v="Porto Alegre"/>
    <x v="4"/>
    <n v="300"/>
    <n v="3"/>
    <n v="900"/>
    <n v="135"/>
    <n v="0.15"/>
  </r>
  <r>
    <x v="3"/>
    <x v="0"/>
    <x v="9"/>
    <x v="4"/>
    <x v="25"/>
    <s v="Porto Alegre"/>
    <x v="3"/>
    <n v="5130"/>
    <n v="5"/>
    <n v="25650"/>
    <n v="10260"/>
    <n v="0.4"/>
  </r>
  <r>
    <x v="0"/>
    <x v="0"/>
    <x v="10"/>
    <x v="4"/>
    <x v="25"/>
    <s v="Porto Alegre"/>
    <x v="6"/>
    <n v="1500"/>
    <n v="4"/>
    <n v="6000"/>
    <n v="2400"/>
    <n v="0.4"/>
  </r>
  <r>
    <x v="2"/>
    <x v="1"/>
    <x v="11"/>
    <x v="4"/>
    <x v="25"/>
    <s v="Porto Alegre"/>
    <x v="0"/>
    <n v="8902"/>
    <n v="1"/>
    <n v="8902"/>
    <n v="3115.7"/>
    <n v="0.35"/>
  </r>
  <r>
    <x v="4"/>
    <x v="1"/>
    <x v="12"/>
    <x v="4"/>
    <x v="25"/>
    <s v="Porto Alegre"/>
    <x v="2"/>
    <n v="1200"/>
    <n v="9"/>
    <n v="10800"/>
    <n v="3240"/>
    <n v="0.3"/>
  </r>
  <r>
    <x v="0"/>
    <x v="1"/>
    <x v="13"/>
    <x v="4"/>
    <x v="25"/>
    <s v="Porto Alegre"/>
    <x v="1"/>
    <n v="500"/>
    <n v="10"/>
    <n v="5000"/>
    <n v="1250"/>
    <n v="0.25"/>
  </r>
  <r>
    <x v="4"/>
    <x v="1"/>
    <x v="14"/>
    <x v="4"/>
    <x v="25"/>
    <s v="Porto Alegre"/>
    <x v="12"/>
    <n v="4500"/>
    <n v="5"/>
    <n v="22500"/>
    <n v="5625"/>
    <n v="0.25"/>
  </r>
  <r>
    <x v="4"/>
    <x v="1"/>
    <x v="15"/>
    <x v="4"/>
    <x v="25"/>
    <s v="Porto Alegre"/>
    <x v="4"/>
    <n v="300"/>
    <n v="3"/>
    <n v="900"/>
    <n v="135"/>
    <n v="0.15"/>
  </r>
  <r>
    <x v="0"/>
    <x v="1"/>
    <x v="16"/>
    <x v="4"/>
    <x v="25"/>
    <s v="Porto Alegre"/>
    <x v="11"/>
    <n v="4600"/>
    <n v="12"/>
    <n v="55200"/>
    <n v="13800"/>
    <n v="0.25"/>
  </r>
  <r>
    <x v="0"/>
    <x v="1"/>
    <x v="17"/>
    <x v="4"/>
    <x v="25"/>
    <s v="Porto Alegre"/>
    <x v="4"/>
    <n v="300"/>
    <n v="8"/>
    <n v="2400"/>
    <n v="360"/>
    <n v="0.15"/>
  </r>
  <r>
    <x v="0"/>
    <x v="0"/>
    <x v="18"/>
    <x v="4"/>
    <x v="25"/>
    <s v="Porto Alegre"/>
    <x v="7"/>
    <n v="5340"/>
    <n v="3"/>
    <n v="16020"/>
    <n v="4806"/>
    <n v="0.3"/>
  </r>
  <r>
    <x v="1"/>
    <x v="0"/>
    <x v="19"/>
    <x v="4"/>
    <x v="25"/>
    <s v="Porto Alegre"/>
    <x v="10"/>
    <n v="3200"/>
    <n v="10"/>
    <n v="32000"/>
    <n v="6400"/>
    <n v="0.2"/>
  </r>
  <r>
    <x v="4"/>
    <x v="1"/>
    <x v="20"/>
    <x v="4"/>
    <x v="25"/>
    <s v="Porto Alegre"/>
    <x v="7"/>
    <n v="5340"/>
    <n v="9"/>
    <n v="48060"/>
    <n v="14418"/>
    <n v="0.3"/>
  </r>
  <r>
    <x v="0"/>
    <x v="1"/>
    <x v="21"/>
    <x v="4"/>
    <x v="25"/>
    <s v="Porto Alegre"/>
    <x v="8"/>
    <n v="3400"/>
    <n v="12"/>
    <n v="40800"/>
    <n v="14280"/>
    <n v="0.35"/>
  </r>
  <r>
    <x v="2"/>
    <x v="1"/>
    <x v="22"/>
    <x v="4"/>
    <x v="25"/>
    <s v="Porto Alegre"/>
    <x v="6"/>
    <n v="1500"/>
    <n v="7"/>
    <n v="10500"/>
    <n v="4200"/>
    <n v="0.4"/>
  </r>
  <r>
    <x v="2"/>
    <x v="0"/>
    <x v="23"/>
    <x v="4"/>
    <x v="25"/>
    <s v="Porto Alegre"/>
    <x v="2"/>
    <n v="1200"/>
    <n v="4"/>
    <n v="4800"/>
    <n v="1440"/>
    <n v="0.3"/>
  </r>
  <r>
    <x v="0"/>
    <x v="1"/>
    <x v="24"/>
    <x v="4"/>
    <x v="25"/>
    <s v="Porto Alegre"/>
    <x v="1"/>
    <n v="500"/>
    <n v="15"/>
    <n v="7500"/>
    <n v="1875"/>
    <n v="0.25"/>
  </r>
  <r>
    <x v="2"/>
    <x v="1"/>
    <x v="25"/>
    <x v="4"/>
    <x v="25"/>
    <s v="Porto Alegre"/>
    <x v="2"/>
    <n v="1200"/>
    <n v="12"/>
    <n v="14400"/>
    <n v="4320"/>
    <n v="0.3"/>
  </r>
  <r>
    <x v="0"/>
    <x v="0"/>
    <x v="26"/>
    <x v="4"/>
    <x v="25"/>
    <s v="Porto Alegre"/>
    <x v="8"/>
    <n v="3400"/>
    <n v="7"/>
    <n v="23800"/>
    <n v="8330"/>
    <n v="0.35"/>
  </r>
  <r>
    <x v="3"/>
    <x v="0"/>
    <x v="27"/>
    <x v="4"/>
    <x v="25"/>
    <s v="Porto Alegre"/>
    <x v="7"/>
    <n v="5340"/>
    <n v="7"/>
    <n v="37380"/>
    <n v="11214"/>
    <n v="0.3"/>
  </r>
  <r>
    <x v="0"/>
    <x v="1"/>
    <x v="28"/>
    <x v="4"/>
    <x v="25"/>
    <s v="Porto Alegre"/>
    <x v="10"/>
    <n v="3200"/>
    <n v="2"/>
    <n v="6400"/>
    <n v="1280"/>
    <n v="0.2"/>
  </r>
  <r>
    <x v="0"/>
    <x v="1"/>
    <x v="28"/>
    <x v="4"/>
    <x v="25"/>
    <s v="Porto Alegre"/>
    <x v="10"/>
    <n v="3200"/>
    <n v="2"/>
    <n v="6400"/>
    <n v="1280"/>
    <n v="0.2"/>
  </r>
  <r>
    <x v="1"/>
    <x v="1"/>
    <x v="29"/>
    <x v="4"/>
    <x v="25"/>
    <s v="Porto Alegre"/>
    <x v="4"/>
    <n v="300"/>
    <n v="1"/>
    <n v="300"/>
    <n v="45"/>
    <n v="0.15"/>
  </r>
  <r>
    <x v="0"/>
    <x v="1"/>
    <x v="30"/>
    <x v="4"/>
    <x v="25"/>
    <s v="Porto Alegre"/>
    <x v="0"/>
    <n v="8902"/>
    <n v="8"/>
    <n v="71216"/>
    <n v="24925.599999999999"/>
    <n v="0.35"/>
  </r>
  <r>
    <x v="0"/>
    <x v="1"/>
    <x v="31"/>
    <x v="4"/>
    <x v="25"/>
    <s v="Porto Alegre"/>
    <x v="4"/>
    <n v="300"/>
    <n v="4"/>
    <n v="1200"/>
    <n v="180"/>
    <n v="0.15"/>
  </r>
  <r>
    <x v="0"/>
    <x v="1"/>
    <x v="32"/>
    <x v="4"/>
    <x v="25"/>
    <s v="Porto Alegre"/>
    <x v="11"/>
    <n v="4600"/>
    <n v="8"/>
    <n v="36800"/>
    <n v="9200"/>
    <n v="0.25"/>
  </r>
  <r>
    <x v="0"/>
    <x v="1"/>
    <x v="33"/>
    <x v="4"/>
    <x v="25"/>
    <s v="Porto Alegre"/>
    <x v="9"/>
    <n v="5300"/>
    <n v="5"/>
    <n v="26500"/>
    <n v="7950"/>
    <n v="0.3"/>
  </r>
  <r>
    <x v="0"/>
    <x v="1"/>
    <x v="34"/>
    <x v="4"/>
    <x v="25"/>
    <s v="Porto Alegre"/>
    <x v="5"/>
    <n v="1700"/>
    <n v="12"/>
    <n v="20400"/>
    <n v="10200"/>
    <n v="0.5"/>
  </r>
  <r>
    <x v="0"/>
    <x v="0"/>
    <x v="35"/>
    <x v="4"/>
    <x v="25"/>
    <s v="Porto Alegre"/>
    <x v="5"/>
    <n v="1700"/>
    <n v="9"/>
    <n v="15300"/>
    <n v="7650"/>
    <n v="0.5"/>
  </r>
  <r>
    <x v="0"/>
    <x v="0"/>
    <x v="36"/>
    <x v="4"/>
    <x v="25"/>
    <s v="Porto Alegre"/>
    <x v="10"/>
    <n v="3200"/>
    <n v="3"/>
    <n v="9600"/>
    <n v="1920"/>
    <n v="0.2"/>
  </r>
  <r>
    <x v="3"/>
    <x v="1"/>
    <x v="37"/>
    <x v="4"/>
    <x v="25"/>
    <s v="Porto Alegre"/>
    <x v="12"/>
    <n v="4500"/>
    <n v="2"/>
    <n v="9000"/>
    <n v="2250"/>
    <n v="0.25"/>
  </r>
  <r>
    <x v="3"/>
    <x v="1"/>
    <x v="38"/>
    <x v="4"/>
    <x v="25"/>
    <s v="Porto Alegre"/>
    <x v="8"/>
    <n v="3400"/>
    <n v="10"/>
    <n v="34000"/>
    <n v="11900"/>
    <n v="0.35"/>
  </r>
  <r>
    <x v="0"/>
    <x v="1"/>
    <x v="39"/>
    <x v="4"/>
    <x v="25"/>
    <s v="Porto Alegre"/>
    <x v="2"/>
    <n v="1200"/>
    <n v="8"/>
    <n v="9600"/>
    <n v="2880"/>
    <n v="0.3"/>
  </r>
  <r>
    <x v="3"/>
    <x v="1"/>
    <x v="40"/>
    <x v="4"/>
    <x v="25"/>
    <s v="Porto Alegre"/>
    <x v="12"/>
    <n v="4500"/>
    <n v="9"/>
    <n v="40500"/>
    <n v="10125"/>
    <n v="0.25"/>
  </r>
  <r>
    <x v="0"/>
    <x v="1"/>
    <x v="41"/>
    <x v="4"/>
    <x v="25"/>
    <s v="Porto Alegre"/>
    <x v="5"/>
    <n v="1700"/>
    <n v="11"/>
    <n v="18700"/>
    <n v="9350"/>
    <n v="0.5"/>
  </r>
  <r>
    <x v="0"/>
    <x v="1"/>
    <x v="42"/>
    <x v="4"/>
    <x v="25"/>
    <s v="Porto Alegre"/>
    <x v="5"/>
    <n v="1700"/>
    <n v="5"/>
    <n v="8500"/>
    <n v="4250"/>
    <n v="0.5"/>
  </r>
  <r>
    <x v="0"/>
    <x v="1"/>
    <x v="43"/>
    <x v="4"/>
    <x v="25"/>
    <s v="Porto Alegre"/>
    <x v="12"/>
    <n v="4500"/>
    <n v="15"/>
    <n v="67500"/>
    <n v="16875"/>
    <n v="0.25"/>
  </r>
  <r>
    <x v="3"/>
    <x v="1"/>
    <x v="44"/>
    <x v="4"/>
    <x v="25"/>
    <s v="Porto Alegre"/>
    <x v="8"/>
    <n v="3400"/>
    <n v="10"/>
    <n v="34000"/>
    <n v="11900"/>
    <n v="0.35"/>
  </r>
  <r>
    <x v="4"/>
    <x v="1"/>
    <x v="45"/>
    <x v="4"/>
    <x v="25"/>
    <s v="Porto Alegre"/>
    <x v="9"/>
    <n v="5300"/>
    <n v="4"/>
    <n v="21200"/>
    <n v="6360"/>
    <n v="0.3"/>
  </r>
  <r>
    <x v="0"/>
    <x v="1"/>
    <x v="46"/>
    <x v="4"/>
    <x v="25"/>
    <s v="Porto Alegre"/>
    <x v="11"/>
    <n v="4600"/>
    <n v="6"/>
    <n v="27600"/>
    <n v="6900"/>
    <n v="0.25"/>
  </r>
  <r>
    <x v="3"/>
    <x v="0"/>
    <x v="47"/>
    <x v="4"/>
    <x v="25"/>
    <s v="Porto Alegre"/>
    <x v="8"/>
    <n v="3400"/>
    <n v="2"/>
    <n v="6800"/>
    <n v="2380"/>
    <n v="0.35"/>
  </r>
  <r>
    <x v="0"/>
    <x v="1"/>
    <x v="48"/>
    <x v="4"/>
    <x v="25"/>
    <s v="Porto Alegre"/>
    <x v="11"/>
    <n v="4600"/>
    <n v="7"/>
    <n v="32200"/>
    <n v="8050"/>
    <n v="0.25"/>
  </r>
  <r>
    <x v="3"/>
    <x v="1"/>
    <x v="49"/>
    <x v="4"/>
    <x v="25"/>
    <s v="Porto Alegre"/>
    <x v="9"/>
    <n v="5300"/>
    <n v="8"/>
    <n v="42400"/>
    <n v="12720"/>
    <n v="0.3"/>
  </r>
  <r>
    <x v="3"/>
    <x v="1"/>
    <x v="50"/>
    <x v="4"/>
    <x v="25"/>
    <s v="Porto Alegre"/>
    <x v="2"/>
    <n v="1200"/>
    <n v="5"/>
    <n v="6000"/>
    <n v="1800"/>
    <n v="0.3"/>
  </r>
  <r>
    <x v="1"/>
    <x v="0"/>
    <x v="51"/>
    <x v="4"/>
    <x v="25"/>
    <s v="Porto Alegre"/>
    <x v="3"/>
    <n v="5130"/>
    <n v="7"/>
    <n v="35910"/>
    <n v="14364"/>
    <n v="0.4"/>
  </r>
  <r>
    <x v="4"/>
    <x v="1"/>
    <x v="52"/>
    <x v="4"/>
    <x v="25"/>
    <s v="Porto Alegre"/>
    <x v="0"/>
    <n v="8902"/>
    <n v="6"/>
    <n v="53412"/>
    <n v="18694.199999999997"/>
    <n v="0.35"/>
  </r>
  <r>
    <x v="0"/>
    <x v="1"/>
    <x v="53"/>
    <x v="4"/>
    <x v="25"/>
    <s v="Porto Alegre"/>
    <x v="11"/>
    <n v="4600"/>
    <n v="11"/>
    <n v="50600"/>
    <n v="12650"/>
    <n v="0.25"/>
  </r>
  <r>
    <x v="2"/>
    <x v="1"/>
    <x v="54"/>
    <x v="4"/>
    <x v="25"/>
    <s v="Porto Alegre"/>
    <x v="1"/>
    <n v="500"/>
    <n v="1"/>
    <n v="500"/>
    <n v="125"/>
    <n v="0.25"/>
  </r>
  <r>
    <x v="3"/>
    <x v="1"/>
    <x v="55"/>
    <x v="4"/>
    <x v="25"/>
    <s v="Porto Alegre"/>
    <x v="0"/>
    <n v="8902"/>
    <n v="5"/>
    <n v="44510"/>
    <n v="15578.499999999998"/>
    <n v="0.35"/>
  </r>
  <r>
    <x v="0"/>
    <x v="0"/>
    <x v="56"/>
    <x v="4"/>
    <x v="25"/>
    <s v="Porto Alegre"/>
    <x v="5"/>
    <n v="1700"/>
    <n v="5"/>
    <n v="8500"/>
    <n v="4250"/>
    <n v="0.5"/>
  </r>
  <r>
    <x v="2"/>
    <x v="1"/>
    <x v="57"/>
    <x v="4"/>
    <x v="25"/>
    <s v="Porto Alegre"/>
    <x v="1"/>
    <n v="500"/>
    <n v="12"/>
    <n v="6000"/>
    <n v="1500"/>
    <n v="0.25"/>
  </r>
  <r>
    <x v="3"/>
    <x v="1"/>
    <x v="58"/>
    <x v="4"/>
    <x v="25"/>
    <s v="Porto Alegre"/>
    <x v="12"/>
    <n v="4500"/>
    <n v="12"/>
    <n v="54000"/>
    <n v="13500"/>
    <n v="0.25"/>
  </r>
  <r>
    <x v="0"/>
    <x v="1"/>
    <x v="59"/>
    <x v="4"/>
    <x v="25"/>
    <s v="Porto Alegre"/>
    <x v="9"/>
    <n v="5300"/>
    <n v="8"/>
    <n v="42400"/>
    <n v="12720"/>
    <n v="0.3"/>
  </r>
  <r>
    <x v="2"/>
    <x v="0"/>
    <x v="60"/>
    <x v="4"/>
    <x v="25"/>
    <s v="Porto Alegre"/>
    <x v="4"/>
    <n v="300"/>
    <n v="8"/>
    <n v="2400"/>
    <n v="360"/>
    <n v="0.15"/>
  </r>
  <r>
    <x v="2"/>
    <x v="1"/>
    <x v="61"/>
    <x v="4"/>
    <x v="25"/>
    <s v="Porto Alegre"/>
    <x v="10"/>
    <n v="3200"/>
    <n v="8"/>
    <n v="25600"/>
    <n v="5120"/>
    <n v="0.2"/>
  </r>
  <r>
    <x v="1"/>
    <x v="0"/>
    <x v="62"/>
    <x v="4"/>
    <x v="25"/>
    <s v="Porto Alegre"/>
    <x v="6"/>
    <n v="1500"/>
    <n v="15"/>
    <n v="22500"/>
    <n v="9000"/>
    <n v="0.4"/>
  </r>
  <r>
    <x v="0"/>
    <x v="1"/>
    <x v="63"/>
    <x v="4"/>
    <x v="25"/>
    <s v="Porto Alegre"/>
    <x v="4"/>
    <n v="300"/>
    <n v="12"/>
    <n v="3600"/>
    <n v="540"/>
    <n v="0.15"/>
  </r>
  <r>
    <x v="0"/>
    <x v="0"/>
    <x v="64"/>
    <x v="4"/>
    <x v="25"/>
    <s v="Porto Alegre"/>
    <x v="11"/>
    <n v="4600"/>
    <n v="1"/>
    <n v="4600"/>
    <n v="1150"/>
    <n v="0.25"/>
  </r>
  <r>
    <x v="0"/>
    <x v="1"/>
    <x v="65"/>
    <x v="4"/>
    <x v="25"/>
    <s v="Porto Alegre"/>
    <x v="1"/>
    <n v="500"/>
    <n v="3"/>
    <n v="1500"/>
    <n v="375"/>
    <n v="0.25"/>
  </r>
  <r>
    <x v="2"/>
    <x v="0"/>
    <x v="66"/>
    <x v="4"/>
    <x v="25"/>
    <s v="Porto Alegre"/>
    <x v="2"/>
    <n v="1200"/>
    <n v="10"/>
    <n v="12000"/>
    <n v="3600"/>
    <n v="0.3"/>
  </r>
  <r>
    <x v="2"/>
    <x v="0"/>
    <x v="67"/>
    <x v="4"/>
    <x v="25"/>
    <s v="Porto Alegre"/>
    <x v="6"/>
    <n v="1500"/>
    <n v="5"/>
    <n v="7500"/>
    <n v="3000"/>
    <n v="0.4"/>
  </r>
  <r>
    <x v="0"/>
    <x v="1"/>
    <x v="68"/>
    <x v="4"/>
    <x v="25"/>
    <s v="Porto Alegre"/>
    <x v="6"/>
    <n v="1500"/>
    <n v="6"/>
    <n v="9000"/>
    <n v="3600"/>
    <n v="0.4"/>
  </r>
  <r>
    <x v="0"/>
    <x v="1"/>
    <x v="69"/>
    <x v="4"/>
    <x v="25"/>
    <s v="Porto Alegre"/>
    <x v="10"/>
    <n v="3200"/>
    <n v="7"/>
    <n v="22400"/>
    <n v="4480"/>
    <n v="0.2"/>
  </r>
  <r>
    <x v="3"/>
    <x v="1"/>
    <x v="70"/>
    <x v="4"/>
    <x v="25"/>
    <s v="Porto Alegre"/>
    <x v="4"/>
    <n v="300"/>
    <n v="11"/>
    <n v="3300"/>
    <n v="495"/>
    <n v="0.15"/>
  </r>
  <r>
    <x v="1"/>
    <x v="1"/>
    <x v="71"/>
    <x v="4"/>
    <x v="25"/>
    <s v="Porto Alegre"/>
    <x v="11"/>
    <n v="4600"/>
    <n v="2"/>
    <n v="9200"/>
    <n v="2300"/>
    <n v="0.25"/>
  </r>
  <r>
    <x v="3"/>
    <x v="0"/>
    <x v="72"/>
    <x v="4"/>
    <x v="25"/>
    <s v="Porto Alegre"/>
    <x v="12"/>
    <n v="4500"/>
    <n v="1"/>
    <n v="4500"/>
    <n v="1125"/>
    <n v="0.25"/>
  </r>
  <r>
    <x v="0"/>
    <x v="1"/>
    <x v="73"/>
    <x v="4"/>
    <x v="25"/>
    <s v="Porto Alegre"/>
    <x v="2"/>
    <n v="1200"/>
    <n v="5"/>
    <n v="6000"/>
    <n v="1800"/>
    <n v="0.3"/>
  </r>
  <r>
    <x v="3"/>
    <x v="0"/>
    <x v="74"/>
    <x v="4"/>
    <x v="25"/>
    <s v="Porto Alegre"/>
    <x v="0"/>
    <n v="8902"/>
    <n v="15"/>
    <n v="133530"/>
    <n v="46735.5"/>
    <n v="0.35"/>
  </r>
  <r>
    <x v="2"/>
    <x v="1"/>
    <x v="75"/>
    <x v="4"/>
    <x v="25"/>
    <s v="Porto Alegre"/>
    <x v="11"/>
    <n v="4600"/>
    <n v="7"/>
    <n v="32200"/>
    <n v="8050"/>
    <n v="0.25"/>
  </r>
  <r>
    <x v="0"/>
    <x v="0"/>
    <x v="76"/>
    <x v="4"/>
    <x v="25"/>
    <s v="Porto Alegre"/>
    <x v="10"/>
    <n v="3200"/>
    <n v="11"/>
    <n v="35200"/>
    <n v="7040"/>
    <n v="0.2"/>
  </r>
  <r>
    <x v="2"/>
    <x v="1"/>
    <x v="77"/>
    <x v="4"/>
    <x v="25"/>
    <s v="Porto Alegre"/>
    <x v="10"/>
    <n v="3200"/>
    <n v="9"/>
    <n v="28800"/>
    <n v="5760"/>
    <n v="0.2"/>
  </r>
  <r>
    <x v="0"/>
    <x v="1"/>
    <x v="78"/>
    <x v="4"/>
    <x v="25"/>
    <s v="Porto Alegre"/>
    <x v="8"/>
    <n v="3400"/>
    <n v="5"/>
    <n v="17000"/>
    <n v="5950"/>
    <n v="0.35"/>
  </r>
  <r>
    <x v="0"/>
    <x v="1"/>
    <x v="79"/>
    <x v="4"/>
    <x v="25"/>
    <s v="Porto Alegre"/>
    <x v="11"/>
    <n v="4600"/>
    <n v="8"/>
    <n v="36800"/>
    <n v="9200"/>
    <n v="0.25"/>
  </r>
  <r>
    <x v="2"/>
    <x v="0"/>
    <x v="80"/>
    <x v="4"/>
    <x v="25"/>
    <s v="Porto Alegre"/>
    <x v="11"/>
    <n v="4600"/>
    <n v="7"/>
    <n v="32200"/>
    <n v="8050"/>
    <n v="0.25"/>
  </r>
  <r>
    <x v="2"/>
    <x v="1"/>
    <x v="81"/>
    <x v="4"/>
    <x v="25"/>
    <s v="Porto Alegre"/>
    <x v="0"/>
    <n v="8902"/>
    <n v="11"/>
    <n v="97922"/>
    <n v="34272.699999999997"/>
    <n v="0.35"/>
  </r>
  <r>
    <x v="0"/>
    <x v="1"/>
    <x v="82"/>
    <x v="4"/>
    <x v="25"/>
    <s v="Porto Alegre"/>
    <x v="4"/>
    <n v="300"/>
    <n v="7"/>
    <n v="2100"/>
    <n v="315"/>
    <n v="0.15"/>
  </r>
  <r>
    <x v="0"/>
    <x v="0"/>
    <x v="83"/>
    <x v="4"/>
    <x v="25"/>
    <s v="Porto Alegre"/>
    <x v="1"/>
    <n v="500"/>
    <n v="3"/>
    <n v="1500"/>
    <n v="375"/>
    <n v="0.25"/>
  </r>
  <r>
    <x v="1"/>
    <x v="1"/>
    <x v="84"/>
    <x v="4"/>
    <x v="25"/>
    <s v="Porto Alegre"/>
    <x v="4"/>
    <n v="300"/>
    <n v="8"/>
    <n v="2400"/>
    <n v="360"/>
    <n v="0.15"/>
  </r>
  <r>
    <x v="3"/>
    <x v="1"/>
    <x v="85"/>
    <x v="4"/>
    <x v="25"/>
    <s v="Porto Alegre"/>
    <x v="11"/>
    <n v="4600"/>
    <n v="2"/>
    <n v="9200"/>
    <n v="2300"/>
    <n v="0.25"/>
  </r>
  <r>
    <x v="4"/>
    <x v="0"/>
    <x v="0"/>
    <x v="4"/>
    <x v="26"/>
    <s v="Florianopolis"/>
    <x v="3"/>
    <n v="5130"/>
    <n v="10"/>
    <n v="51300"/>
    <n v="20520"/>
    <n v="0.4"/>
  </r>
  <r>
    <x v="0"/>
    <x v="0"/>
    <x v="1"/>
    <x v="4"/>
    <x v="26"/>
    <s v="Florianopolis"/>
    <x v="11"/>
    <n v="4600"/>
    <n v="2"/>
    <n v="9200"/>
    <n v="2300"/>
    <n v="0.25"/>
  </r>
  <r>
    <x v="3"/>
    <x v="1"/>
    <x v="2"/>
    <x v="4"/>
    <x v="26"/>
    <s v="Florianopolis"/>
    <x v="1"/>
    <n v="500"/>
    <n v="10"/>
    <n v="5000"/>
    <n v="1250"/>
    <n v="0.25"/>
  </r>
  <r>
    <x v="0"/>
    <x v="1"/>
    <x v="3"/>
    <x v="4"/>
    <x v="26"/>
    <s v="Florianopolis"/>
    <x v="3"/>
    <n v="5130"/>
    <n v="7"/>
    <n v="35910"/>
    <n v="14364"/>
    <n v="0.4"/>
  </r>
  <r>
    <x v="3"/>
    <x v="1"/>
    <x v="4"/>
    <x v="4"/>
    <x v="26"/>
    <s v="Florianopolis"/>
    <x v="2"/>
    <n v="1200"/>
    <n v="11"/>
    <n v="13200"/>
    <n v="3960"/>
    <n v="0.3"/>
  </r>
  <r>
    <x v="3"/>
    <x v="1"/>
    <x v="5"/>
    <x v="4"/>
    <x v="26"/>
    <s v="Florianopolis"/>
    <x v="7"/>
    <n v="5340"/>
    <n v="3"/>
    <n v="16020"/>
    <n v="4806"/>
    <n v="0.3"/>
  </r>
  <r>
    <x v="1"/>
    <x v="1"/>
    <x v="6"/>
    <x v="4"/>
    <x v="26"/>
    <s v="Florianopolis"/>
    <x v="12"/>
    <n v="4500"/>
    <n v="2"/>
    <n v="9000"/>
    <n v="2250"/>
    <n v="0.25"/>
  </r>
  <r>
    <x v="4"/>
    <x v="1"/>
    <x v="7"/>
    <x v="4"/>
    <x v="26"/>
    <s v="Florianopolis"/>
    <x v="0"/>
    <n v="8902"/>
    <n v="1"/>
    <n v="8902"/>
    <n v="3115.7"/>
    <n v="0.35"/>
  </r>
  <r>
    <x v="0"/>
    <x v="0"/>
    <x v="8"/>
    <x v="4"/>
    <x v="26"/>
    <s v="Florianopolis"/>
    <x v="11"/>
    <n v="4600"/>
    <n v="4"/>
    <n v="18400"/>
    <n v="4600"/>
    <n v="0.25"/>
  </r>
  <r>
    <x v="0"/>
    <x v="0"/>
    <x v="9"/>
    <x v="4"/>
    <x v="26"/>
    <s v="Florianopolis"/>
    <x v="7"/>
    <n v="5340"/>
    <n v="9"/>
    <n v="48060"/>
    <n v="14418"/>
    <n v="0.3"/>
  </r>
  <r>
    <x v="2"/>
    <x v="0"/>
    <x v="10"/>
    <x v="4"/>
    <x v="26"/>
    <s v="Florianopolis"/>
    <x v="9"/>
    <n v="5300"/>
    <n v="7"/>
    <n v="37100"/>
    <n v="11130"/>
    <n v="0.3"/>
  </r>
  <r>
    <x v="4"/>
    <x v="1"/>
    <x v="11"/>
    <x v="4"/>
    <x v="26"/>
    <s v="Florianopolis"/>
    <x v="3"/>
    <n v="5130"/>
    <n v="9"/>
    <n v="46170"/>
    <n v="18468"/>
    <n v="0.4"/>
  </r>
  <r>
    <x v="1"/>
    <x v="1"/>
    <x v="12"/>
    <x v="4"/>
    <x v="26"/>
    <s v="Florianopolis"/>
    <x v="1"/>
    <n v="500"/>
    <n v="12"/>
    <n v="6000"/>
    <n v="1500"/>
    <n v="0.25"/>
  </r>
  <r>
    <x v="1"/>
    <x v="0"/>
    <x v="13"/>
    <x v="4"/>
    <x v="26"/>
    <s v="Florianopolis"/>
    <x v="0"/>
    <n v="8902"/>
    <n v="9"/>
    <n v="80118"/>
    <n v="28041.3"/>
    <n v="0.35"/>
  </r>
  <r>
    <x v="4"/>
    <x v="0"/>
    <x v="14"/>
    <x v="4"/>
    <x v="26"/>
    <s v="Florianopolis"/>
    <x v="4"/>
    <n v="300"/>
    <n v="3"/>
    <n v="900"/>
    <n v="135"/>
    <n v="0.15"/>
  </r>
  <r>
    <x v="0"/>
    <x v="1"/>
    <x v="15"/>
    <x v="4"/>
    <x v="26"/>
    <s v="Florianopolis"/>
    <x v="3"/>
    <n v="5130"/>
    <n v="2"/>
    <n v="10260"/>
    <n v="4104"/>
    <n v="0.4"/>
  </r>
  <r>
    <x v="3"/>
    <x v="1"/>
    <x v="16"/>
    <x v="4"/>
    <x v="26"/>
    <s v="Florianopolis"/>
    <x v="3"/>
    <n v="5130"/>
    <n v="4"/>
    <n v="20520"/>
    <n v="8208"/>
    <n v="0.4"/>
  </r>
  <r>
    <x v="2"/>
    <x v="1"/>
    <x v="17"/>
    <x v="4"/>
    <x v="26"/>
    <s v="Florianopolis"/>
    <x v="2"/>
    <n v="1200"/>
    <n v="12"/>
    <n v="14400"/>
    <n v="4320"/>
    <n v="0.3"/>
  </r>
  <r>
    <x v="1"/>
    <x v="0"/>
    <x v="18"/>
    <x v="4"/>
    <x v="26"/>
    <s v="Florianopolis"/>
    <x v="12"/>
    <n v="4500"/>
    <n v="11"/>
    <n v="49500"/>
    <n v="12375"/>
    <n v="0.25"/>
  </r>
  <r>
    <x v="0"/>
    <x v="1"/>
    <x v="19"/>
    <x v="4"/>
    <x v="26"/>
    <s v="Florianopolis"/>
    <x v="6"/>
    <n v="1500"/>
    <n v="8"/>
    <n v="12000"/>
    <n v="4800"/>
    <n v="0.4"/>
  </r>
  <r>
    <x v="3"/>
    <x v="0"/>
    <x v="20"/>
    <x v="4"/>
    <x v="26"/>
    <s v="Florianopolis"/>
    <x v="2"/>
    <n v="1200"/>
    <n v="8"/>
    <n v="9600"/>
    <n v="2880"/>
    <n v="0.3"/>
  </r>
  <r>
    <x v="3"/>
    <x v="1"/>
    <x v="21"/>
    <x v="4"/>
    <x v="26"/>
    <s v="Florianopolis"/>
    <x v="9"/>
    <n v="5300"/>
    <n v="2"/>
    <n v="10600"/>
    <n v="3180"/>
    <n v="0.3"/>
  </r>
  <r>
    <x v="2"/>
    <x v="0"/>
    <x v="22"/>
    <x v="4"/>
    <x v="26"/>
    <s v="Florianopolis"/>
    <x v="3"/>
    <n v="5130"/>
    <n v="10"/>
    <n v="51300"/>
    <n v="20520"/>
    <n v="0.4"/>
  </r>
  <r>
    <x v="2"/>
    <x v="1"/>
    <x v="23"/>
    <x v="4"/>
    <x v="26"/>
    <s v="Florianopolis"/>
    <x v="6"/>
    <n v="1500"/>
    <n v="12"/>
    <n v="18000"/>
    <n v="7200"/>
    <n v="0.4"/>
  </r>
  <r>
    <x v="2"/>
    <x v="1"/>
    <x v="24"/>
    <x v="4"/>
    <x v="26"/>
    <s v="Florianopolis"/>
    <x v="0"/>
    <n v="8902"/>
    <n v="1"/>
    <n v="8902"/>
    <n v="3115.7"/>
    <n v="0.35"/>
  </r>
  <r>
    <x v="2"/>
    <x v="1"/>
    <x v="25"/>
    <x v="4"/>
    <x v="26"/>
    <s v="Florianopolis"/>
    <x v="2"/>
    <n v="1200"/>
    <n v="4"/>
    <n v="4800"/>
    <n v="1440"/>
    <n v="0.3"/>
  </r>
  <r>
    <x v="3"/>
    <x v="1"/>
    <x v="26"/>
    <x v="4"/>
    <x v="26"/>
    <s v="Florianopolis"/>
    <x v="9"/>
    <n v="5300"/>
    <n v="10"/>
    <n v="53000"/>
    <n v="15900"/>
    <n v="0.3"/>
  </r>
  <r>
    <x v="2"/>
    <x v="1"/>
    <x v="27"/>
    <x v="4"/>
    <x v="26"/>
    <s v="Florianopolis"/>
    <x v="2"/>
    <n v="1200"/>
    <n v="9"/>
    <n v="10800"/>
    <n v="3240"/>
    <n v="0.3"/>
  </r>
  <r>
    <x v="3"/>
    <x v="0"/>
    <x v="28"/>
    <x v="4"/>
    <x v="26"/>
    <s v="Florianopolis"/>
    <x v="2"/>
    <n v="1200"/>
    <n v="11"/>
    <n v="13200"/>
    <n v="3960"/>
    <n v="0.3"/>
  </r>
  <r>
    <x v="3"/>
    <x v="1"/>
    <x v="28"/>
    <x v="4"/>
    <x v="26"/>
    <s v="Florianopolis"/>
    <x v="8"/>
    <n v="3400"/>
    <n v="5"/>
    <n v="17000"/>
    <n v="5950"/>
    <n v="0.35"/>
  </r>
  <r>
    <x v="3"/>
    <x v="1"/>
    <x v="29"/>
    <x v="4"/>
    <x v="26"/>
    <s v="Florianopolis"/>
    <x v="8"/>
    <n v="3400"/>
    <n v="4"/>
    <n v="13600"/>
    <n v="4760"/>
    <n v="0.35"/>
  </r>
  <r>
    <x v="4"/>
    <x v="1"/>
    <x v="30"/>
    <x v="4"/>
    <x v="26"/>
    <s v="Florianopolis"/>
    <x v="4"/>
    <n v="300"/>
    <n v="9"/>
    <n v="2700"/>
    <n v="405"/>
    <n v="0.15"/>
  </r>
  <r>
    <x v="0"/>
    <x v="1"/>
    <x v="31"/>
    <x v="4"/>
    <x v="26"/>
    <s v="Florianopolis"/>
    <x v="2"/>
    <n v="1200"/>
    <n v="6"/>
    <n v="7200"/>
    <n v="2160"/>
    <n v="0.3"/>
  </r>
  <r>
    <x v="0"/>
    <x v="0"/>
    <x v="32"/>
    <x v="4"/>
    <x v="26"/>
    <s v="Florianopolis"/>
    <x v="12"/>
    <n v="4500"/>
    <n v="6"/>
    <n v="27000"/>
    <n v="6750"/>
    <n v="0.25"/>
  </r>
  <r>
    <x v="3"/>
    <x v="0"/>
    <x v="33"/>
    <x v="4"/>
    <x v="26"/>
    <s v="Florianopolis"/>
    <x v="1"/>
    <n v="500"/>
    <n v="10"/>
    <n v="5000"/>
    <n v="1250"/>
    <n v="0.25"/>
  </r>
  <r>
    <x v="3"/>
    <x v="1"/>
    <x v="34"/>
    <x v="4"/>
    <x v="26"/>
    <s v="Florianopolis"/>
    <x v="0"/>
    <n v="8902"/>
    <n v="9"/>
    <n v="80118"/>
    <n v="28041.3"/>
    <n v="0.35"/>
  </r>
  <r>
    <x v="1"/>
    <x v="1"/>
    <x v="35"/>
    <x v="4"/>
    <x v="26"/>
    <s v="Florianopolis"/>
    <x v="5"/>
    <n v="1700"/>
    <n v="4"/>
    <n v="6800"/>
    <n v="3400"/>
    <n v="0.5"/>
  </r>
  <r>
    <x v="1"/>
    <x v="0"/>
    <x v="36"/>
    <x v="4"/>
    <x v="26"/>
    <s v="Florianopolis"/>
    <x v="0"/>
    <n v="8902"/>
    <n v="7"/>
    <n v="62314"/>
    <n v="21809.899999999998"/>
    <n v="0.35"/>
  </r>
  <r>
    <x v="4"/>
    <x v="1"/>
    <x v="37"/>
    <x v="4"/>
    <x v="26"/>
    <s v="Florianopolis"/>
    <x v="10"/>
    <n v="3200"/>
    <n v="2"/>
    <n v="6400"/>
    <n v="1280"/>
    <n v="0.2"/>
  </r>
  <r>
    <x v="1"/>
    <x v="1"/>
    <x v="38"/>
    <x v="4"/>
    <x v="26"/>
    <s v="Florianopolis"/>
    <x v="2"/>
    <n v="1200"/>
    <n v="7"/>
    <n v="8400"/>
    <n v="2520"/>
    <n v="0.3"/>
  </r>
  <r>
    <x v="1"/>
    <x v="1"/>
    <x v="39"/>
    <x v="4"/>
    <x v="26"/>
    <s v="Florianopolis"/>
    <x v="8"/>
    <n v="3400"/>
    <n v="9"/>
    <n v="30600"/>
    <n v="10710"/>
    <n v="0.35"/>
  </r>
  <r>
    <x v="0"/>
    <x v="1"/>
    <x v="40"/>
    <x v="4"/>
    <x v="26"/>
    <s v="Florianopolis"/>
    <x v="8"/>
    <n v="3400"/>
    <n v="7"/>
    <n v="23800"/>
    <n v="8330"/>
    <n v="0.35"/>
  </r>
  <r>
    <x v="0"/>
    <x v="1"/>
    <x v="41"/>
    <x v="4"/>
    <x v="26"/>
    <s v="Florianopolis"/>
    <x v="11"/>
    <n v="4600"/>
    <n v="8"/>
    <n v="36800"/>
    <n v="9200"/>
    <n v="0.25"/>
  </r>
  <r>
    <x v="3"/>
    <x v="0"/>
    <x v="42"/>
    <x v="4"/>
    <x v="26"/>
    <s v="Florianopolis"/>
    <x v="12"/>
    <n v="4500"/>
    <n v="12"/>
    <n v="54000"/>
    <n v="13500"/>
    <n v="0.25"/>
  </r>
  <r>
    <x v="3"/>
    <x v="1"/>
    <x v="43"/>
    <x v="4"/>
    <x v="26"/>
    <s v="Florianopolis"/>
    <x v="12"/>
    <n v="4500"/>
    <n v="12"/>
    <n v="54000"/>
    <n v="13500"/>
    <n v="0.25"/>
  </r>
  <r>
    <x v="0"/>
    <x v="1"/>
    <x v="44"/>
    <x v="4"/>
    <x v="26"/>
    <s v="Florianopolis"/>
    <x v="10"/>
    <n v="3200"/>
    <n v="1"/>
    <n v="3200"/>
    <n v="640"/>
    <n v="0.2"/>
  </r>
  <r>
    <x v="0"/>
    <x v="0"/>
    <x v="45"/>
    <x v="4"/>
    <x v="26"/>
    <s v="Florianopolis"/>
    <x v="2"/>
    <n v="1200"/>
    <n v="10"/>
    <n v="12000"/>
    <n v="3600"/>
    <n v="0.3"/>
  </r>
  <r>
    <x v="3"/>
    <x v="1"/>
    <x v="46"/>
    <x v="4"/>
    <x v="26"/>
    <s v="Florianopolis"/>
    <x v="5"/>
    <n v="1700"/>
    <n v="1"/>
    <n v="1700"/>
    <n v="850"/>
    <n v="0.5"/>
  </r>
  <r>
    <x v="2"/>
    <x v="1"/>
    <x v="47"/>
    <x v="4"/>
    <x v="26"/>
    <s v="Florianopolis"/>
    <x v="3"/>
    <n v="5130"/>
    <n v="10"/>
    <n v="51300"/>
    <n v="20520"/>
    <n v="0.4"/>
  </r>
  <r>
    <x v="3"/>
    <x v="1"/>
    <x v="48"/>
    <x v="4"/>
    <x v="26"/>
    <s v="Florianopolis"/>
    <x v="10"/>
    <n v="3200"/>
    <n v="5"/>
    <n v="16000"/>
    <n v="3200"/>
    <n v="0.2"/>
  </r>
  <r>
    <x v="0"/>
    <x v="1"/>
    <x v="49"/>
    <x v="4"/>
    <x v="26"/>
    <s v="Florianopolis"/>
    <x v="1"/>
    <n v="500"/>
    <n v="5"/>
    <n v="2500"/>
    <n v="625"/>
    <n v="0.25"/>
  </r>
  <r>
    <x v="2"/>
    <x v="0"/>
    <x v="50"/>
    <x v="4"/>
    <x v="26"/>
    <s v="Florianopolis"/>
    <x v="3"/>
    <n v="5130"/>
    <n v="7"/>
    <n v="35910"/>
    <n v="14364"/>
    <n v="0.4"/>
  </r>
  <r>
    <x v="3"/>
    <x v="0"/>
    <x v="51"/>
    <x v="4"/>
    <x v="26"/>
    <s v="Florianopolis"/>
    <x v="1"/>
    <n v="500"/>
    <n v="21"/>
    <n v="10500"/>
    <n v="2625"/>
    <n v="0.25"/>
  </r>
  <r>
    <x v="1"/>
    <x v="1"/>
    <x v="52"/>
    <x v="4"/>
    <x v="26"/>
    <s v="Florianopolis"/>
    <x v="4"/>
    <n v="300"/>
    <n v="3"/>
    <n v="900"/>
    <n v="135"/>
    <n v="0.15"/>
  </r>
  <r>
    <x v="1"/>
    <x v="1"/>
    <x v="53"/>
    <x v="4"/>
    <x v="26"/>
    <s v="Florianopolis"/>
    <x v="2"/>
    <n v="1200"/>
    <n v="12"/>
    <n v="14400"/>
    <n v="4320"/>
    <n v="0.3"/>
  </r>
  <r>
    <x v="3"/>
    <x v="1"/>
    <x v="54"/>
    <x v="4"/>
    <x v="26"/>
    <s v="Florianopolis"/>
    <x v="12"/>
    <n v="4500"/>
    <n v="8"/>
    <n v="36000"/>
    <n v="9000"/>
    <n v="0.25"/>
  </r>
  <r>
    <x v="0"/>
    <x v="1"/>
    <x v="55"/>
    <x v="4"/>
    <x v="26"/>
    <s v="Florianopolis"/>
    <x v="11"/>
    <n v="4600"/>
    <n v="11"/>
    <n v="50600"/>
    <n v="12650"/>
    <n v="0.25"/>
  </r>
  <r>
    <x v="0"/>
    <x v="1"/>
    <x v="56"/>
    <x v="4"/>
    <x v="26"/>
    <s v="Florianopolis"/>
    <x v="5"/>
    <n v="1700"/>
    <n v="12"/>
    <n v="20400"/>
    <n v="10200"/>
    <n v="0.5"/>
  </r>
  <r>
    <x v="2"/>
    <x v="0"/>
    <x v="57"/>
    <x v="4"/>
    <x v="26"/>
    <s v="Florianopolis"/>
    <x v="10"/>
    <n v="3200"/>
    <n v="9"/>
    <n v="28800"/>
    <n v="5760"/>
    <n v="0.2"/>
  </r>
  <r>
    <x v="0"/>
    <x v="1"/>
    <x v="58"/>
    <x v="4"/>
    <x v="26"/>
    <s v="Florianopolis"/>
    <x v="0"/>
    <n v="8902"/>
    <n v="9"/>
    <n v="80118"/>
    <n v="28041.3"/>
    <n v="0.35"/>
  </r>
  <r>
    <x v="2"/>
    <x v="1"/>
    <x v="59"/>
    <x v="4"/>
    <x v="26"/>
    <s v="Florianopolis"/>
    <x v="12"/>
    <n v="4500"/>
    <n v="3"/>
    <n v="13500"/>
    <n v="3375"/>
    <n v="0.25"/>
  </r>
  <r>
    <x v="3"/>
    <x v="0"/>
    <x v="60"/>
    <x v="4"/>
    <x v="26"/>
    <s v="Florianopolis"/>
    <x v="7"/>
    <n v="5340"/>
    <n v="1"/>
    <n v="5340"/>
    <n v="1602"/>
    <n v="0.3"/>
  </r>
  <r>
    <x v="0"/>
    <x v="1"/>
    <x v="61"/>
    <x v="4"/>
    <x v="26"/>
    <s v="Florianopolis"/>
    <x v="12"/>
    <n v="4500"/>
    <n v="10"/>
    <n v="45000"/>
    <n v="11250"/>
    <n v="0.25"/>
  </r>
  <r>
    <x v="0"/>
    <x v="1"/>
    <x v="62"/>
    <x v="4"/>
    <x v="26"/>
    <s v="Florianopolis"/>
    <x v="1"/>
    <n v="500"/>
    <n v="12"/>
    <n v="6000"/>
    <n v="1500"/>
    <n v="0.25"/>
  </r>
  <r>
    <x v="0"/>
    <x v="1"/>
    <x v="63"/>
    <x v="4"/>
    <x v="26"/>
    <s v="Florianopolis"/>
    <x v="12"/>
    <n v="4500"/>
    <n v="12"/>
    <n v="54000"/>
    <n v="13500"/>
    <n v="0.25"/>
  </r>
  <r>
    <x v="1"/>
    <x v="1"/>
    <x v="64"/>
    <x v="4"/>
    <x v="26"/>
    <s v="Florianopolis"/>
    <x v="3"/>
    <n v="5130"/>
    <n v="9"/>
    <n v="46170"/>
    <n v="18468"/>
    <n v="0.4"/>
  </r>
  <r>
    <x v="0"/>
    <x v="1"/>
    <x v="65"/>
    <x v="4"/>
    <x v="26"/>
    <s v="Florianopolis"/>
    <x v="8"/>
    <n v="3400"/>
    <n v="11"/>
    <n v="37400"/>
    <n v="13090"/>
    <n v="0.35"/>
  </r>
  <r>
    <x v="0"/>
    <x v="0"/>
    <x v="66"/>
    <x v="4"/>
    <x v="26"/>
    <s v="Florianopolis"/>
    <x v="2"/>
    <n v="1200"/>
    <n v="3"/>
    <n v="3600"/>
    <n v="1080"/>
    <n v="0.3"/>
  </r>
  <r>
    <x v="0"/>
    <x v="1"/>
    <x v="67"/>
    <x v="4"/>
    <x v="26"/>
    <s v="Florianopolis"/>
    <x v="9"/>
    <n v="5300"/>
    <n v="12"/>
    <n v="63600"/>
    <n v="19080"/>
    <n v="0.3"/>
  </r>
  <r>
    <x v="3"/>
    <x v="1"/>
    <x v="68"/>
    <x v="4"/>
    <x v="26"/>
    <s v="Florianopolis"/>
    <x v="4"/>
    <n v="300"/>
    <n v="7"/>
    <n v="2100"/>
    <n v="315"/>
    <n v="0.15"/>
  </r>
  <r>
    <x v="3"/>
    <x v="0"/>
    <x v="69"/>
    <x v="4"/>
    <x v="26"/>
    <s v="Florianopolis"/>
    <x v="6"/>
    <n v="1500"/>
    <n v="3"/>
    <n v="4500"/>
    <n v="1800"/>
    <n v="0.4"/>
  </r>
  <r>
    <x v="3"/>
    <x v="1"/>
    <x v="70"/>
    <x v="4"/>
    <x v="26"/>
    <s v="Florianopolis"/>
    <x v="10"/>
    <n v="3200"/>
    <n v="5"/>
    <n v="16000"/>
    <n v="3200"/>
    <n v="0.2"/>
  </r>
  <r>
    <x v="3"/>
    <x v="1"/>
    <x v="71"/>
    <x v="4"/>
    <x v="26"/>
    <s v="Florianopolis"/>
    <x v="7"/>
    <n v="5340"/>
    <n v="5"/>
    <n v="26700"/>
    <n v="8010"/>
    <n v="0.3"/>
  </r>
  <r>
    <x v="0"/>
    <x v="1"/>
    <x v="72"/>
    <x v="4"/>
    <x v="26"/>
    <s v="Florianopolis"/>
    <x v="8"/>
    <n v="3400"/>
    <n v="3"/>
    <n v="10200"/>
    <n v="3570"/>
    <n v="0.35"/>
  </r>
  <r>
    <x v="2"/>
    <x v="0"/>
    <x v="73"/>
    <x v="4"/>
    <x v="26"/>
    <s v="Florianopolis"/>
    <x v="6"/>
    <n v="1500"/>
    <n v="20"/>
    <n v="30000"/>
    <n v="12000"/>
    <n v="0.4"/>
  </r>
  <r>
    <x v="3"/>
    <x v="1"/>
    <x v="74"/>
    <x v="4"/>
    <x v="26"/>
    <s v="Florianopolis"/>
    <x v="2"/>
    <n v="1200"/>
    <n v="11"/>
    <n v="13200"/>
    <n v="3960"/>
    <n v="0.3"/>
  </r>
  <r>
    <x v="0"/>
    <x v="1"/>
    <x v="75"/>
    <x v="4"/>
    <x v="26"/>
    <s v="Florianopolis"/>
    <x v="0"/>
    <n v="8902"/>
    <n v="20"/>
    <n v="178040"/>
    <n v="62313.999999999993"/>
    <n v="0.35"/>
  </r>
  <r>
    <x v="3"/>
    <x v="1"/>
    <x v="76"/>
    <x v="4"/>
    <x v="26"/>
    <s v="Florianopolis"/>
    <x v="2"/>
    <n v="1200"/>
    <n v="4"/>
    <n v="4800"/>
    <n v="1440"/>
    <n v="0.3"/>
  </r>
  <r>
    <x v="3"/>
    <x v="0"/>
    <x v="77"/>
    <x v="4"/>
    <x v="26"/>
    <s v="Florianopolis"/>
    <x v="10"/>
    <n v="3200"/>
    <n v="10"/>
    <n v="32000"/>
    <n v="6400"/>
    <n v="0.2"/>
  </r>
  <r>
    <x v="0"/>
    <x v="0"/>
    <x v="78"/>
    <x v="4"/>
    <x v="26"/>
    <s v="Florianopolis"/>
    <x v="11"/>
    <n v="4600"/>
    <n v="3"/>
    <n v="13800"/>
    <n v="3450"/>
    <n v="0.25"/>
  </r>
  <r>
    <x v="3"/>
    <x v="0"/>
    <x v="79"/>
    <x v="4"/>
    <x v="26"/>
    <s v="Florianopolis"/>
    <x v="5"/>
    <n v="1700"/>
    <n v="1"/>
    <n v="1700"/>
    <n v="850"/>
    <n v="0.5"/>
  </r>
  <r>
    <x v="4"/>
    <x v="1"/>
    <x v="80"/>
    <x v="4"/>
    <x v="26"/>
    <s v="Florianopolis"/>
    <x v="12"/>
    <n v="4500"/>
    <n v="6"/>
    <n v="27000"/>
    <n v="6750"/>
    <n v="0.25"/>
  </r>
  <r>
    <x v="4"/>
    <x v="1"/>
    <x v="81"/>
    <x v="4"/>
    <x v="26"/>
    <s v="Florianopolis"/>
    <x v="8"/>
    <n v="3400"/>
    <n v="11"/>
    <n v="37400"/>
    <n v="13090"/>
    <n v="0.35"/>
  </r>
  <r>
    <x v="0"/>
    <x v="1"/>
    <x v="82"/>
    <x v="4"/>
    <x v="26"/>
    <s v="Florianopolis"/>
    <x v="11"/>
    <n v="4600"/>
    <n v="11"/>
    <n v="50600"/>
    <n v="12650"/>
    <n v="0.25"/>
  </r>
  <r>
    <x v="0"/>
    <x v="0"/>
    <x v="83"/>
    <x v="4"/>
    <x v="26"/>
    <s v="Florianopolis"/>
    <x v="2"/>
    <n v="1200"/>
    <n v="11"/>
    <n v="13200"/>
    <n v="3960"/>
    <n v="0.3"/>
  </r>
  <r>
    <x v="2"/>
    <x v="0"/>
    <x v="84"/>
    <x v="4"/>
    <x v="26"/>
    <s v="Florianopolis"/>
    <x v="3"/>
    <n v="5130"/>
    <n v="11"/>
    <n v="56430"/>
    <n v="22572"/>
    <n v="0.4"/>
  </r>
  <r>
    <x v="0"/>
    <x v="1"/>
    <x v="85"/>
    <x v="4"/>
    <x v="26"/>
    <s v="Florianopolis"/>
    <x v="0"/>
    <n v="8902"/>
    <n v="9"/>
    <n v="80118"/>
    <n v="28041.3"/>
    <n v="0.35"/>
  </r>
  <r>
    <x v="0"/>
    <x v="0"/>
    <x v="0"/>
    <x v="4"/>
    <x v="26"/>
    <s v="Florianopolis"/>
    <x v="3"/>
    <n v="5130"/>
    <n v="8"/>
    <n v="41040"/>
    <n v="16416"/>
    <n v="0.4"/>
  </r>
  <r>
    <x v="0"/>
    <x v="1"/>
    <x v="1"/>
    <x v="4"/>
    <x v="26"/>
    <s v="Florianopolis"/>
    <x v="4"/>
    <n v="300"/>
    <n v="9"/>
    <n v="2700"/>
    <n v="405"/>
    <n v="0.15"/>
  </r>
  <r>
    <x v="1"/>
    <x v="0"/>
    <x v="2"/>
    <x v="4"/>
    <x v="26"/>
    <s v="Florianopolis"/>
    <x v="12"/>
    <n v="4500"/>
    <n v="12"/>
    <n v="54000"/>
    <n v="13500"/>
    <n v="0.25"/>
  </r>
  <r>
    <x v="2"/>
    <x v="1"/>
    <x v="3"/>
    <x v="4"/>
    <x v="26"/>
    <s v="Florianopolis"/>
    <x v="4"/>
    <n v="300"/>
    <n v="1"/>
    <n v="300"/>
    <n v="45"/>
    <n v="0.15"/>
  </r>
  <r>
    <x v="0"/>
    <x v="1"/>
    <x v="4"/>
    <x v="4"/>
    <x v="26"/>
    <s v="Florianopolis"/>
    <x v="3"/>
    <n v="5130"/>
    <n v="2"/>
    <n v="10260"/>
    <n v="4104"/>
    <n v="0.4"/>
  </r>
  <r>
    <x v="0"/>
    <x v="1"/>
    <x v="5"/>
    <x v="4"/>
    <x v="26"/>
    <s v="Florianopolis"/>
    <x v="12"/>
    <n v="4500"/>
    <n v="7"/>
    <n v="31500"/>
    <n v="7875"/>
    <n v="0.25"/>
  </r>
  <r>
    <x v="2"/>
    <x v="1"/>
    <x v="6"/>
    <x v="4"/>
    <x v="26"/>
    <s v="Florianopolis"/>
    <x v="10"/>
    <n v="3200"/>
    <n v="12"/>
    <n v="38400"/>
    <n v="7680"/>
    <n v="0.2"/>
  </r>
  <r>
    <x v="1"/>
    <x v="1"/>
    <x v="7"/>
    <x v="4"/>
    <x v="26"/>
    <s v="Florianopolis"/>
    <x v="1"/>
    <n v="500"/>
    <n v="15"/>
    <n v="7500"/>
    <n v="1875"/>
    <n v="0.25"/>
  </r>
  <r>
    <x v="0"/>
    <x v="1"/>
    <x v="8"/>
    <x v="4"/>
    <x v="26"/>
    <s v="Florianopolis"/>
    <x v="4"/>
    <n v="300"/>
    <n v="3"/>
    <n v="900"/>
    <n v="135"/>
    <n v="0.15"/>
  </r>
  <r>
    <x v="3"/>
    <x v="0"/>
    <x v="9"/>
    <x v="4"/>
    <x v="26"/>
    <s v="Florianopolis"/>
    <x v="3"/>
    <n v="5130"/>
    <n v="5"/>
    <n v="25650"/>
    <n v="10260"/>
    <n v="0.4"/>
  </r>
  <r>
    <x v="0"/>
    <x v="0"/>
    <x v="10"/>
    <x v="4"/>
    <x v="26"/>
    <s v="Florianopolis"/>
    <x v="6"/>
    <n v="1500"/>
    <n v="4"/>
    <n v="6000"/>
    <n v="2400"/>
    <n v="0.4"/>
  </r>
  <r>
    <x v="2"/>
    <x v="1"/>
    <x v="11"/>
    <x v="4"/>
    <x v="26"/>
    <s v="Florianopolis"/>
    <x v="0"/>
    <n v="8902"/>
    <n v="1"/>
    <n v="8902"/>
    <n v="3115.7"/>
    <n v="0.35"/>
  </r>
  <r>
    <x v="4"/>
    <x v="1"/>
    <x v="12"/>
    <x v="4"/>
    <x v="26"/>
    <s v="Florianopolis"/>
    <x v="2"/>
    <n v="1200"/>
    <n v="9"/>
    <n v="10800"/>
    <n v="3240"/>
    <n v="0.3"/>
  </r>
  <r>
    <x v="0"/>
    <x v="1"/>
    <x v="13"/>
    <x v="4"/>
    <x v="26"/>
    <s v="Florianopolis"/>
    <x v="1"/>
    <n v="500"/>
    <n v="10"/>
    <n v="5000"/>
    <n v="1250"/>
    <n v="0.25"/>
  </r>
  <r>
    <x v="4"/>
    <x v="1"/>
    <x v="14"/>
    <x v="4"/>
    <x v="26"/>
    <s v="Florianopolis"/>
    <x v="12"/>
    <n v="4500"/>
    <n v="5"/>
    <n v="22500"/>
    <n v="5625"/>
    <n v="0.25"/>
  </r>
  <r>
    <x v="4"/>
    <x v="1"/>
    <x v="15"/>
    <x v="4"/>
    <x v="26"/>
    <s v="Florianopolis"/>
    <x v="4"/>
    <n v="300"/>
    <n v="3"/>
    <n v="900"/>
    <n v="135"/>
    <n v="0.15"/>
  </r>
  <r>
    <x v="0"/>
    <x v="1"/>
    <x v="16"/>
    <x v="4"/>
    <x v="26"/>
    <s v="Florianopolis"/>
    <x v="11"/>
    <n v="4600"/>
    <n v="12"/>
    <n v="55200"/>
    <n v="13800"/>
    <n v="0.25"/>
  </r>
  <r>
    <x v="0"/>
    <x v="1"/>
    <x v="17"/>
    <x v="4"/>
    <x v="26"/>
    <s v="Florianopolis"/>
    <x v="4"/>
    <n v="300"/>
    <n v="8"/>
    <n v="2400"/>
    <n v="360"/>
    <n v="0.15"/>
  </r>
  <r>
    <x v="0"/>
    <x v="0"/>
    <x v="18"/>
    <x v="4"/>
    <x v="26"/>
    <s v="Florianopolis"/>
    <x v="7"/>
    <n v="5340"/>
    <n v="3"/>
    <n v="16020"/>
    <n v="4806"/>
    <n v="0.3"/>
  </r>
  <r>
    <x v="1"/>
    <x v="0"/>
    <x v="19"/>
    <x v="4"/>
    <x v="26"/>
    <s v="Florianopolis"/>
    <x v="10"/>
    <n v="3200"/>
    <n v="10"/>
    <n v="32000"/>
    <n v="6400"/>
    <n v="0.2"/>
  </r>
  <r>
    <x v="4"/>
    <x v="1"/>
    <x v="20"/>
    <x v="4"/>
    <x v="26"/>
    <s v="Florianopolis"/>
    <x v="7"/>
    <n v="5340"/>
    <n v="9"/>
    <n v="48060"/>
    <n v="14418"/>
    <n v="0.3"/>
  </r>
  <r>
    <x v="0"/>
    <x v="1"/>
    <x v="21"/>
    <x v="4"/>
    <x v="26"/>
    <s v="Florianopolis"/>
    <x v="8"/>
    <n v="3400"/>
    <n v="12"/>
    <n v="40800"/>
    <n v="14280"/>
    <n v="0.35"/>
  </r>
  <r>
    <x v="2"/>
    <x v="1"/>
    <x v="22"/>
    <x v="4"/>
    <x v="26"/>
    <s v="Florianopolis"/>
    <x v="6"/>
    <n v="1500"/>
    <n v="7"/>
    <n v="10500"/>
    <n v="4200"/>
    <n v="0.4"/>
  </r>
  <r>
    <x v="2"/>
    <x v="0"/>
    <x v="23"/>
    <x v="4"/>
    <x v="26"/>
    <s v="Florianopolis"/>
    <x v="2"/>
    <n v="1200"/>
    <n v="4"/>
    <n v="4800"/>
    <n v="1440"/>
    <n v="0.3"/>
  </r>
  <r>
    <x v="0"/>
    <x v="1"/>
    <x v="24"/>
    <x v="4"/>
    <x v="26"/>
    <s v="Florianopolis"/>
    <x v="1"/>
    <n v="500"/>
    <n v="15"/>
    <n v="7500"/>
    <n v="1875"/>
    <n v="0.25"/>
  </r>
  <r>
    <x v="2"/>
    <x v="1"/>
    <x v="25"/>
    <x v="4"/>
    <x v="26"/>
    <s v="Florianopolis"/>
    <x v="2"/>
    <n v="1200"/>
    <n v="12"/>
    <n v="14400"/>
    <n v="4320"/>
    <n v="0.3"/>
  </r>
  <r>
    <x v="0"/>
    <x v="0"/>
    <x v="26"/>
    <x v="4"/>
    <x v="26"/>
    <s v="Florianopolis"/>
    <x v="8"/>
    <n v="3400"/>
    <n v="7"/>
    <n v="23800"/>
    <n v="8330"/>
    <n v="0.35"/>
  </r>
  <r>
    <x v="3"/>
    <x v="0"/>
    <x v="27"/>
    <x v="4"/>
    <x v="26"/>
    <s v="Florianopolis"/>
    <x v="7"/>
    <n v="5340"/>
    <n v="7"/>
    <n v="37380"/>
    <n v="11214"/>
    <n v="0.3"/>
  </r>
  <r>
    <x v="0"/>
    <x v="1"/>
    <x v="28"/>
    <x v="4"/>
    <x v="26"/>
    <s v="Florianopolis"/>
    <x v="10"/>
    <n v="3200"/>
    <n v="2"/>
    <n v="6400"/>
    <n v="1280"/>
    <n v="0.2"/>
  </r>
  <r>
    <x v="0"/>
    <x v="1"/>
    <x v="28"/>
    <x v="4"/>
    <x v="26"/>
    <s v="Florianopolis"/>
    <x v="10"/>
    <n v="3200"/>
    <n v="2"/>
    <n v="6400"/>
    <n v="1280"/>
    <n v="0.2"/>
  </r>
  <r>
    <x v="1"/>
    <x v="1"/>
    <x v="29"/>
    <x v="4"/>
    <x v="26"/>
    <s v="Florianopolis"/>
    <x v="4"/>
    <n v="300"/>
    <n v="1"/>
    <n v="300"/>
    <n v="45"/>
    <n v="0.15"/>
  </r>
  <r>
    <x v="0"/>
    <x v="1"/>
    <x v="30"/>
    <x v="4"/>
    <x v="26"/>
    <s v="Florianopolis"/>
    <x v="0"/>
    <n v="8902"/>
    <n v="8"/>
    <n v="71216"/>
    <n v="24925.599999999999"/>
    <n v="0.35"/>
  </r>
  <r>
    <x v="0"/>
    <x v="1"/>
    <x v="31"/>
    <x v="4"/>
    <x v="26"/>
    <s v="Florianopolis"/>
    <x v="4"/>
    <n v="300"/>
    <n v="4"/>
    <n v="1200"/>
    <n v="180"/>
    <n v="0.15"/>
  </r>
  <r>
    <x v="0"/>
    <x v="1"/>
    <x v="32"/>
    <x v="4"/>
    <x v="26"/>
    <s v="Florianopolis"/>
    <x v="11"/>
    <n v="4600"/>
    <n v="8"/>
    <n v="36800"/>
    <n v="9200"/>
    <n v="0.25"/>
  </r>
  <r>
    <x v="0"/>
    <x v="1"/>
    <x v="33"/>
    <x v="4"/>
    <x v="26"/>
    <s v="Florianopolis"/>
    <x v="9"/>
    <n v="5300"/>
    <n v="5"/>
    <n v="26500"/>
    <n v="7950"/>
    <n v="0.3"/>
  </r>
  <r>
    <x v="0"/>
    <x v="1"/>
    <x v="34"/>
    <x v="4"/>
    <x v="26"/>
    <s v="Florianopolis"/>
    <x v="5"/>
    <n v="1700"/>
    <n v="12"/>
    <n v="20400"/>
    <n v="10200"/>
    <n v="0.5"/>
  </r>
  <r>
    <x v="0"/>
    <x v="0"/>
    <x v="35"/>
    <x v="4"/>
    <x v="26"/>
    <s v="Florianopolis"/>
    <x v="5"/>
    <n v="1700"/>
    <n v="9"/>
    <n v="15300"/>
    <n v="7650"/>
    <n v="0.5"/>
  </r>
  <r>
    <x v="0"/>
    <x v="0"/>
    <x v="36"/>
    <x v="4"/>
    <x v="26"/>
    <s v="Florianopolis"/>
    <x v="10"/>
    <n v="3200"/>
    <n v="3"/>
    <n v="9600"/>
    <n v="1920"/>
    <n v="0.2"/>
  </r>
  <r>
    <x v="3"/>
    <x v="1"/>
    <x v="37"/>
    <x v="4"/>
    <x v="26"/>
    <s v="Florianopolis"/>
    <x v="12"/>
    <n v="4500"/>
    <n v="2"/>
    <n v="9000"/>
    <n v="2250"/>
    <n v="0.25"/>
  </r>
  <r>
    <x v="3"/>
    <x v="1"/>
    <x v="38"/>
    <x v="4"/>
    <x v="26"/>
    <s v="Florianopolis"/>
    <x v="8"/>
    <n v="3400"/>
    <n v="10"/>
    <n v="34000"/>
    <n v="11900"/>
    <n v="0.35"/>
  </r>
  <r>
    <x v="0"/>
    <x v="1"/>
    <x v="39"/>
    <x v="4"/>
    <x v="26"/>
    <s v="Florianopolis"/>
    <x v="2"/>
    <n v="1200"/>
    <n v="8"/>
    <n v="9600"/>
    <n v="2880"/>
    <n v="0.3"/>
  </r>
  <r>
    <x v="3"/>
    <x v="1"/>
    <x v="40"/>
    <x v="4"/>
    <x v="26"/>
    <s v="Florianopolis"/>
    <x v="12"/>
    <n v="4500"/>
    <n v="9"/>
    <n v="40500"/>
    <n v="10125"/>
    <n v="0.25"/>
  </r>
  <r>
    <x v="0"/>
    <x v="1"/>
    <x v="41"/>
    <x v="4"/>
    <x v="26"/>
    <s v="Florianopolis"/>
    <x v="5"/>
    <n v="1700"/>
    <n v="11"/>
    <n v="18700"/>
    <n v="9350"/>
    <n v="0.5"/>
  </r>
  <r>
    <x v="0"/>
    <x v="1"/>
    <x v="42"/>
    <x v="4"/>
    <x v="26"/>
    <s v="Florianopolis"/>
    <x v="5"/>
    <n v="1700"/>
    <n v="5"/>
    <n v="8500"/>
    <n v="4250"/>
    <n v="0.5"/>
  </r>
  <r>
    <x v="0"/>
    <x v="1"/>
    <x v="43"/>
    <x v="4"/>
    <x v="26"/>
    <s v="Florianopolis"/>
    <x v="12"/>
    <n v="4500"/>
    <n v="15"/>
    <n v="67500"/>
    <n v="16875"/>
    <n v="0.25"/>
  </r>
  <r>
    <x v="3"/>
    <x v="1"/>
    <x v="44"/>
    <x v="4"/>
    <x v="26"/>
    <s v="Florianopolis"/>
    <x v="8"/>
    <n v="3400"/>
    <n v="10"/>
    <n v="34000"/>
    <n v="11900"/>
    <n v="0.35"/>
  </r>
  <r>
    <x v="4"/>
    <x v="1"/>
    <x v="45"/>
    <x v="4"/>
    <x v="26"/>
    <s v="Florianopolis"/>
    <x v="9"/>
    <n v="5300"/>
    <n v="4"/>
    <n v="21200"/>
    <n v="6360"/>
    <n v="0.3"/>
  </r>
  <r>
    <x v="0"/>
    <x v="1"/>
    <x v="46"/>
    <x v="4"/>
    <x v="26"/>
    <s v="Florianopolis"/>
    <x v="11"/>
    <n v="4600"/>
    <n v="6"/>
    <n v="27600"/>
    <n v="6900"/>
    <n v="0.25"/>
  </r>
  <r>
    <x v="3"/>
    <x v="0"/>
    <x v="47"/>
    <x v="4"/>
    <x v="26"/>
    <s v="Florianopolis"/>
    <x v="8"/>
    <n v="3400"/>
    <n v="2"/>
    <n v="6800"/>
    <n v="2380"/>
    <n v="0.35"/>
  </r>
  <r>
    <x v="0"/>
    <x v="1"/>
    <x v="48"/>
    <x v="4"/>
    <x v="26"/>
    <s v="Florianopolis"/>
    <x v="11"/>
    <n v="4600"/>
    <n v="7"/>
    <n v="32200"/>
    <n v="8050"/>
    <n v="0.25"/>
  </r>
  <r>
    <x v="3"/>
    <x v="1"/>
    <x v="49"/>
    <x v="4"/>
    <x v="26"/>
    <s v="Florianopolis"/>
    <x v="9"/>
    <n v="5300"/>
    <n v="8"/>
    <n v="42400"/>
    <n v="12720"/>
    <n v="0.3"/>
  </r>
  <r>
    <x v="3"/>
    <x v="1"/>
    <x v="50"/>
    <x v="4"/>
    <x v="26"/>
    <s v="Florianopolis"/>
    <x v="2"/>
    <n v="1200"/>
    <n v="5"/>
    <n v="6000"/>
    <n v="1800"/>
    <n v="0.3"/>
  </r>
  <r>
    <x v="1"/>
    <x v="0"/>
    <x v="51"/>
    <x v="4"/>
    <x v="26"/>
    <s v="Florianopolis"/>
    <x v="3"/>
    <n v="5130"/>
    <n v="7"/>
    <n v="35910"/>
    <n v="14364"/>
    <n v="0.4"/>
  </r>
  <r>
    <x v="4"/>
    <x v="1"/>
    <x v="52"/>
    <x v="4"/>
    <x v="26"/>
    <s v="Florianopolis"/>
    <x v="0"/>
    <n v="8902"/>
    <n v="6"/>
    <n v="53412"/>
    <n v="18694.199999999997"/>
    <n v="0.35"/>
  </r>
  <r>
    <x v="0"/>
    <x v="1"/>
    <x v="53"/>
    <x v="4"/>
    <x v="26"/>
    <s v="Florianopolis"/>
    <x v="11"/>
    <n v="4600"/>
    <n v="11"/>
    <n v="50600"/>
    <n v="12650"/>
    <n v="0.25"/>
  </r>
  <r>
    <x v="2"/>
    <x v="1"/>
    <x v="54"/>
    <x v="4"/>
    <x v="26"/>
    <s v="Florianopolis"/>
    <x v="1"/>
    <n v="500"/>
    <n v="1"/>
    <n v="500"/>
    <n v="125"/>
    <n v="0.25"/>
  </r>
  <r>
    <x v="3"/>
    <x v="1"/>
    <x v="55"/>
    <x v="4"/>
    <x v="26"/>
    <s v="Florianopolis"/>
    <x v="0"/>
    <n v="8902"/>
    <n v="5"/>
    <n v="44510"/>
    <n v="15578.499999999998"/>
    <n v="0.35"/>
  </r>
  <r>
    <x v="0"/>
    <x v="0"/>
    <x v="56"/>
    <x v="4"/>
    <x v="26"/>
    <s v="Florianopolis"/>
    <x v="5"/>
    <n v="1700"/>
    <n v="5"/>
    <n v="8500"/>
    <n v="4250"/>
    <n v="0.5"/>
  </r>
  <r>
    <x v="2"/>
    <x v="1"/>
    <x v="57"/>
    <x v="4"/>
    <x v="26"/>
    <s v="Florianopolis"/>
    <x v="1"/>
    <n v="500"/>
    <n v="12"/>
    <n v="6000"/>
    <n v="1500"/>
    <n v="0.25"/>
  </r>
  <r>
    <x v="3"/>
    <x v="1"/>
    <x v="58"/>
    <x v="4"/>
    <x v="26"/>
    <s v="Florianopolis"/>
    <x v="12"/>
    <n v="4500"/>
    <n v="12"/>
    <n v="54000"/>
    <n v="13500"/>
    <n v="0.25"/>
  </r>
  <r>
    <x v="0"/>
    <x v="1"/>
    <x v="59"/>
    <x v="4"/>
    <x v="26"/>
    <s v="Florianopolis"/>
    <x v="9"/>
    <n v="5300"/>
    <n v="8"/>
    <n v="42400"/>
    <n v="12720"/>
    <n v="0.3"/>
  </r>
  <r>
    <x v="2"/>
    <x v="0"/>
    <x v="60"/>
    <x v="4"/>
    <x v="26"/>
    <s v="Florianopolis"/>
    <x v="4"/>
    <n v="300"/>
    <n v="8"/>
    <n v="2400"/>
    <n v="360"/>
    <n v="0.15"/>
  </r>
  <r>
    <x v="2"/>
    <x v="1"/>
    <x v="61"/>
    <x v="4"/>
    <x v="26"/>
    <s v="Florianopolis"/>
    <x v="10"/>
    <n v="3200"/>
    <n v="8"/>
    <n v="25600"/>
    <n v="5120"/>
    <n v="0.2"/>
  </r>
  <r>
    <x v="1"/>
    <x v="0"/>
    <x v="62"/>
    <x v="4"/>
    <x v="26"/>
    <s v="Florianopolis"/>
    <x v="6"/>
    <n v="1500"/>
    <n v="15"/>
    <n v="22500"/>
    <n v="9000"/>
    <n v="0.4"/>
  </r>
  <r>
    <x v="0"/>
    <x v="1"/>
    <x v="63"/>
    <x v="4"/>
    <x v="26"/>
    <s v="Florianopolis"/>
    <x v="4"/>
    <n v="300"/>
    <n v="12"/>
    <n v="3600"/>
    <n v="540"/>
    <n v="0.15"/>
  </r>
  <r>
    <x v="0"/>
    <x v="0"/>
    <x v="64"/>
    <x v="4"/>
    <x v="26"/>
    <s v="Florianopolis"/>
    <x v="11"/>
    <n v="4600"/>
    <n v="1"/>
    <n v="4600"/>
    <n v="1150"/>
    <n v="0.25"/>
  </r>
  <r>
    <x v="0"/>
    <x v="1"/>
    <x v="65"/>
    <x v="4"/>
    <x v="26"/>
    <s v="Florianopolis"/>
    <x v="1"/>
    <n v="500"/>
    <n v="3"/>
    <n v="1500"/>
    <n v="375"/>
    <n v="0.25"/>
  </r>
  <r>
    <x v="2"/>
    <x v="0"/>
    <x v="66"/>
    <x v="4"/>
    <x v="26"/>
    <s v="Florianopolis"/>
    <x v="2"/>
    <n v="1200"/>
    <n v="10"/>
    <n v="12000"/>
    <n v="3600"/>
    <n v="0.3"/>
  </r>
  <r>
    <x v="2"/>
    <x v="0"/>
    <x v="67"/>
    <x v="4"/>
    <x v="26"/>
    <s v="Florianopolis"/>
    <x v="6"/>
    <n v="1500"/>
    <n v="5"/>
    <n v="7500"/>
    <n v="3000"/>
    <n v="0.4"/>
  </r>
  <r>
    <x v="0"/>
    <x v="1"/>
    <x v="68"/>
    <x v="4"/>
    <x v="26"/>
    <s v="Florianopolis"/>
    <x v="6"/>
    <n v="1500"/>
    <n v="6"/>
    <n v="9000"/>
    <n v="3600"/>
    <n v="0.4"/>
  </r>
  <r>
    <x v="0"/>
    <x v="1"/>
    <x v="69"/>
    <x v="4"/>
    <x v="26"/>
    <s v="Florianopolis"/>
    <x v="10"/>
    <n v="3200"/>
    <n v="7"/>
    <n v="22400"/>
    <n v="4480"/>
    <n v="0.2"/>
  </r>
  <r>
    <x v="3"/>
    <x v="1"/>
    <x v="70"/>
    <x v="4"/>
    <x v="26"/>
    <s v="Florianopolis"/>
    <x v="4"/>
    <n v="300"/>
    <n v="11"/>
    <n v="3300"/>
    <n v="495"/>
    <n v="0.15"/>
  </r>
  <r>
    <x v="1"/>
    <x v="1"/>
    <x v="71"/>
    <x v="4"/>
    <x v="26"/>
    <s v="Florianopolis"/>
    <x v="11"/>
    <n v="4600"/>
    <n v="2"/>
    <n v="9200"/>
    <n v="2300"/>
    <n v="0.25"/>
  </r>
  <r>
    <x v="3"/>
    <x v="0"/>
    <x v="72"/>
    <x v="4"/>
    <x v="26"/>
    <s v="Florianopolis"/>
    <x v="12"/>
    <n v="4500"/>
    <n v="1"/>
    <n v="4500"/>
    <n v="1125"/>
    <n v="0.25"/>
  </r>
  <r>
    <x v="0"/>
    <x v="1"/>
    <x v="73"/>
    <x v="4"/>
    <x v="26"/>
    <s v="Florianopolis"/>
    <x v="2"/>
    <n v="1200"/>
    <n v="5"/>
    <n v="6000"/>
    <n v="1800"/>
    <n v="0.3"/>
  </r>
  <r>
    <x v="3"/>
    <x v="0"/>
    <x v="74"/>
    <x v="4"/>
    <x v="26"/>
    <s v="Florianopolis"/>
    <x v="0"/>
    <n v="8902"/>
    <n v="15"/>
    <n v="133530"/>
    <n v="46735.5"/>
    <n v="0.35"/>
  </r>
  <r>
    <x v="2"/>
    <x v="1"/>
    <x v="75"/>
    <x v="4"/>
    <x v="26"/>
    <s v="Florianopolis"/>
    <x v="11"/>
    <n v="4600"/>
    <n v="7"/>
    <n v="32200"/>
    <n v="8050"/>
    <n v="0.25"/>
  </r>
  <r>
    <x v="0"/>
    <x v="0"/>
    <x v="76"/>
    <x v="4"/>
    <x v="26"/>
    <s v="Florianopolis"/>
    <x v="10"/>
    <n v="3200"/>
    <n v="11"/>
    <n v="35200"/>
    <n v="7040"/>
    <n v="0.2"/>
  </r>
  <r>
    <x v="2"/>
    <x v="1"/>
    <x v="77"/>
    <x v="4"/>
    <x v="26"/>
    <s v="Florianopolis"/>
    <x v="10"/>
    <n v="3200"/>
    <n v="9"/>
    <n v="28800"/>
    <n v="5760"/>
    <n v="0.2"/>
  </r>
  <r>
    <x v="0"/>
    <x v="1"/>
    <x v="78"/>
    <x v="4"/>
    <x v="26"/>
    <s v="Florianopolis"/>
    <x v="8"/>
    <n v="3400"/>
    <n v="5"/>
    <n v="17000"/>
    <n v="5950"/>
    <n v="0.35"/>
  </r>
  <r>
    <x v="0"/>
    <x v="1"/>
    <x v="79"/>
    <x v="4"/>
    <x v="26"/>
    <s v="Florianopolis"/>
    <x v="11"/>
    <n v="4600"/>
    <n v="8"/>
    <n v="36800"/>
    <n v="9200"/>
    <n v="0.25"/>
  </r>
  <r>
    <x v="2"/>
    <x v="0"/>
    <x v="80"/>
    <x v="4"/>
    <x v="26"/>
    <s v="Florianopolis"/>
    <x v="11"/>
    <n v="4600"/>
    <n v="7"/>
    <n v="32200"/>
    <n v="8050"/>
    <n v="0.25"/>
  </r>
  <r>
    <x v="2"/>
    <x v="1"/>
    <x v="81"/>
    <x v="4"/>
    <x v="26"/>
    <s v="Florianopolis"/>
    <x v="0"/>
    <n v="8902"/>
    <n v="11"/>
    <n v="97922"/>
    <n v="34272.699999999997"/>
    <n v="0.35"/>
  </r>
  <r>
    <x v="0"/>
    <x v="1"/>
    <x v="82"/>
    <x v="4"/>
    <x v="26"/>
    <s v="Florianopolis"/>
    <x v="4"/>
    <n v="300"/>
    <n v="7"/>
    <n v="2100"/>
    <n v="315"/>
    <n v="0.15"/>
  </r>
  <r>
    <x v="0"/>
    <x v="0"/>
    <x v="83"/>
    <x v="4"/>
    <x v="26"/>
    <s v="Florianopolis"/>
    <x v="1"/>
    <n v="500"/>
    <n v="3"/>
    <n v="1500"/>
    <n v="375"/>
    <n v="0.25"/>
  </r>
  <r>
    <x v="1"/>
    <x v="1"/>
    <x v="84"/>
    <x v="4"/>
    <x v="26"/>
    <s v="Florianopolis"/>
    <x v="4"/>
    <n v="300"/>
    <n v="8"/>
    <n v="2400"/>
    <n v="360"/>
    <n v="0.15"/>
  </r>
  <r>
    <x v="3"/>
    <x v="1"/>
    <x v="85"/>
    <x v="4"/>
    <x v="26"/>
    <s v="Florianopolis"/>
    <x v="11"/>
    <n v="4600"/>
    <n v="2"/>
    <n v="9200"/>
    <n v="2300"/>
    <n v="0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C1738-C613-4C80-99C9-E21E0266C173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4">
    <pivotField axis="axisRow" showAll="0">
      <items count="6">
        <item x="0"/>
        <item x="3"/>
        <item x="2"/>
        <item x="1"/>
        <item x="4"/>
        <item t="default"/>
      </items>
    </pivotField>
    <pivotField showAll="0">
      <items count="3">
        <item x="1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>
      <items count="14">
        <item x="11"/>
        <item x="7"/>
        <item x="0"/>
        <item x="2"/>
        <item x="6"/>
        <item x="5"/>
        <item x="10"/>
        <item x="12"/>
        <item x="9"/>
        <item x="4"/>
        <item x="1"/>
        <item x="8"/>
        <item x="3"/>
        <item t="default"/>
      </items>
    </pivotField>
    <pivotField numFmtId="165" showAll="0"/>
    <pivotField showAll="0"/>
    <pivotField dataField="1" numFmtId="165" showAll="0"/>
    <pivotField numFmtId="165" showAll="0"/>
    <pivotField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Receita Bruta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B6C5B-3577-4F9F-B285-20BB03F9C3BD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B6" firstHeaderRow="1" firstDataRow="1" firstDataCol="1"/>
  <pivotFields count="14">
    <pivotField showAll="0"/>
    <pivotField axis="axisRow" showAll="0">
      <items count="3">
        <item x="1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>
      <items count="14">
        <item x="11"/>
        <item x="7"/>
        <item x="0"/>
        <item x="2"/>
        <item x="6"/>
        <item x="5"/>
        <item x="10"/>
        <item x="12"/>
        <item x="9"/>
        <item x="4"/>
        <item x="1"/>
        <item x="8"/>
        <item x="3"/>
        <item t="default"/>
      </items>
    </pivotField>
    <pivotField numFmtId="165" showAll="0"/>
    <pivotField showAll="0"/>
    <pivotField dataField="1" numFmtId="165" showAll="0"/>
    <pivotField numFmtId="165" showAll="0"/>
    <pivotField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Receita Bruta" fld="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FE5F6-75C1-4779-B2CB-C7ABE0D35903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26" firstHeaderRow="1" firstDataRow="1" firstDataCol="1"/>
  <pivotFields count="14">
    <pivotField showAll="0"/>
    <pivotField showAll="0">
      <items count="3">
        <item x="1"/>
        <item x="0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>
      <items count="14">
        <item x="11"/>
        <item x="7"/>
        <item x="0"/>
        <item x="2"/>
        <item x="6"/>
        <item x="5"/>
        <item x="10"/>
        <item x="12"/>
        <item x="9"/>
        <item x="4"/>
        <item x="1"/>
        <item x="8"/>
        <item x="3"/>
        <item t="default"/>
      </items>
    </pivotField>
    <pivotField numFmtId="165" showAll="0"/>
    <pivotField showAll="0"/>
    <pivotField dataField="1" numFmtId="165" showAll="0"/>
    <pivotField numFmtId="165" showAll="0"/>
    <pivotField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3"/>
    <field x="2"/>
  </rowFields>
  <rowItems count="2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oma de Receita Bruta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6211E-64CD-4971-BBFD-234DA5F65C21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1" firstHeaderRow="1" firstDataRow="1" firstDataCol="1"/>
  <pivotFields count="14">
    <pivotField showAll="0"/>
    <pivotField showAll="0">
      <items count="3">
        <item x="1"/>
        <item x="0"/>
        <item t="default"/>
      </items>
    </pivotField>
    <pivotField numFmtId="14"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28">
        <item x="16"/>
        <item x="11"/>
        <item x="18"/>
        <item x="13"/>
        <item x="4"/>
        <item x="5"/>
        <item x="0"/>
        <item x="21"/>
        <item x="1"/>
        <item x="9"/>
        <item x="2"/>
        <item x="3"/>
        <item x="20"/>
        <item x="14"/>
        <item x="10"/>
        <item x="24"/>
        <item x="6"/>
        <item x="8"/>
        <item x="22"/>
        <item x="12"/>
        <item x="25"/>
        <item x="19"/>
        <item x="17"/>
        <item x="26"/>
        <item x="23"/>
        <item x="7"/>
        <item x="15"/>
        <item t="default"/>
      </items>
    </pivotField>
    <pivotField showAll="0"/>
    <pivotField showAll="0">
      <items count="14">
        <item x="11"/>
        <item x="7"/>
        <item x="0"/>
        <item x="2"/>
        <item x="6"/>
        <item x="5"/>
        <item x="10"/>
        <item x="12"/>
        <item x="9"/>
        <item x="4"/>
        <item x="1"/>
        <item x="8"/>
        <item x="3"/>
        <item t="default"/>
      </items>
    </pivotField>
    <pivotField numFmtId="165" showAll="0"/>
    <pivotField showAll="0"/>
    <pivotField dataField="1" numFmtId="165" showAll="0"/>
    <pivotField numFmtId="165" showAll="0"/>
    <pivotField numFmtId="164"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a de Receita Bruta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6B39F270-0B35-4FED-9E16-710B835152E2}" sourceName="Produto">
  <pivotTables>
    <pivotTable tabId="30" name="Tabela dinâmica3"/>
    <pivotTable tabId="28" name="Tabela dinâmica1"/>
    <pivotTable tabId="29" name="Tabela dinâmica2"/>
    <pivotTable tabId="31" name="Tabela dinâmica4"/>
  </pivotTables>
  <data>
    <tabular pivotCacheId="2073290924">
      <items count="13">
        <i x="11" s="1"/>
        <i x="7" s="1"/>
        <i x="0" s="1"/>
        <i x="2" s="1"/>
        <i x="6" s="1"/>
        <i x="5" s="1"/>
        <i x="10" s="1"/>
        <i x="12" s="1"/>
        <i x="9" s="1"/>
        <i x="4" s="1"/>
        <i x="1" s="1"/>
        <i x="8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" xr10:uid="{28252BFB-B8C6-4F36-904D-8038B1C7DAB3}" sourceName="Anos">
  <pivotTables>
    <pivotTable tabId="30" name="Tabela dinâmica3"/>
    <pivotTable tabId="28" name="Tabela dinâmica1"/>
    <pivotTable tabId="29" name="Tabela dinâmica2"/>
    <pivotTable tabId="31" name="Tabela dinâmica4"/>
  </pivotTables>
  <data>
    <tabular pivotCacheId="2073290924">
      <items count="4">
        <i x="1" s="1"/>
        <i x="2" s="1"/>
        <i x="0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" xr10:uid="{400CDBBD-DAA4-4100-A071-262C25708E65}" cache="SegmentaçãodeDados_Produto" caption="Produto" columnCount="2" style="estilo" rowHeight="234000"/>
  <slicer name="Anos" xr10:uid="{1F5A4A7D-F55A-4EDE-AF05-0FB4513491F4}" cache="SegmentaçãodeDados_Anos" caption="Anos" columnCount="2" style="estilo" rowHeight="234950"/>
</slicers>
</file>

<file path=xl/theme/theme1.xml><?xml version="1.0" encoding="utf-8"?>
<a:theme xmlns:a="http://schemas.openxmlformats.org/drawingml/2006/main" name="Tema do Office">
  <a:themeElements>
    <a:clrScheme name="YT">
      <a:dk1>
        <a:sysClr val="windowText" lastClr="000000"/>
      </a:dk1>
      <a:lt1>
        <a:srgbClr val="F8FFFE"/>
      </a:lt1>
      <a:dk2>
        <a:srgbClr val="282A36"/>
      </a:dk2>
      <a:lt2>
        <a:srgbClr val="5E74A1"/>
      </a:lt2>
      <a:accent1>
        <a:srgbClr val="282A36"/>
      </a:accent1>
      <a:accent2>
        <a:srgbClr val="4AFF7C"/>
      </a:accent2>
      <a:accent3>
        <a:srgbClr val="FF83D9"/>
      </a:accent3>
      <a:accent4>
        <a:srgbClr val="FFFF9A"/>
      </a:accent4>
      <a:accent5>
        <a:srgbClr val="5E74A1"/>
      </a:accent5>
      <a:accent6>
        <a:srgbClr val="F8FFFE"/>
      </a:accent6>
      <a:hlink>
        <a:srgbClr val="4AFF7C"/>
      </a:hlink>
      <a:folHlink>
        <a:srgbClr val="FFFF9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5D48-61FC-490B-98B1-D56267B33684}">
  <dimension ref="B1:M2111"/>
  <sheetViews>
    <sheetView showGridLines="0" zoomScale="115" zoomScaleNormal="115" workbookViewId="0">
      <pane xSplit="1" ySplit="6" topLeftCell="B2094" activePane="bottomRight" state="frozen"/>
      <selection pane="topRight" activeCell="B1" sqref="B1"/>
      <selection pane="bottomLeft" activeCell="A8" sqref="A8"/>
      <selection pane="bottomRight" activeCell="D2096" sqref="B6:M2111"/>
    </sheetView>
  </sheetViews>
  <sheetFormatPr defaultRowHeight="14.4" x14ac:dyDescent="0.3"/>
  <cols>
    <col min="1" max="1" width="2.109375" customWidth="1"/>
    <col min="2" max="2" width="13.44140625" bestFit="1" customWidth="1"/>
    <col min="3" max="3" width="13" customWidth="1"/>
    <col min="4" max="4" width="11" customWidth="1"/>
    <col min="5" max="5" width="11.77734375" bestFit="1" customWidth="1"/>
    <col min="6" max="6" width="15.44140625" bestFit="1" customWidth="1"/>
    <col min="7" max="7" width="13.21875" bestFit="1" customWidth="1"/>
    <col min="8" max="8" width="13.44140625" bestFit="1" customWidth="1"/>
    <col min="9" max="9" width="16.33203125" customWidth="1"/>
    <col min="10" max="10" width="16.5546875" bestFit="1" customWidth="1"/>
    <col min="11" max="11" width="15.88671875" customWidth="1"/>
    <col min="12" max="12" width="14.88671875" customWidth="1"/>
    <col min="13" max="13" width="13.109375" customWidth="1"/>
    <col min="14" max="14" width="11.44140625" customWidth="1"/>
  </cols>
  <sheetData>
    <row r="1" spans="2:13" ht="10.199999999999999" customHeight="1" x14ac:dyDescent="0.3"/>
    <row r="2" spans="2:13" ht="14.4" customHeight="1" x14ac:dyDescent="0.3">
      <c r="B2" s="11"/>
      <c r="C2" s="11"/>
      <c r="D2" s="11"/>
      <c r="E2" s="13" t="s">
        <v>67</v>
      </c>
      <c r="F2" s="13"/>
      <c r="G2" s="13"/>
      <c r="H2" s="13"/>
      <c r="I2" s="13"/>
      <c r="J2" s="13"/>
      <c r="K2" s="13"/>
      <c r="L2" s="13"/>
      <c r="M2" s="13"/>
    </row>
    <row r="3" spans="2:13" ht="14.4" customHeight="1" x14ac:dyDescent="0.3">
      <c r="B3" s="11"/>
      <c r="C3" s="11"/>
      <c r="D3" s="11"/>
      <c r="E3" s="13"/>
      <c r="F3" s="13"/>
      <c r="G3" s="13"/>
      <c r="H3" s="13"/>
      <c r="I3" s="13"/>
      <c r="J3" s="13"/>
      <c r="K3" s="13"/>
      <c r="L3" s="13"/>
      <c r="M3" s="13"/>
    </row>
    <row r="4" spans="2:13" ht="14.4" customHeight="1" x14ac:dyDescent="0.3">
      <c r="B4" s="11"/>
      <c r="C4" s="11"/>
      <c r="D4" s="11"/>
      <c r="E4" s="13"/>
      <c r="F4" s="13"/>
      <c r="G4" s="13"/>
      <c r="H4" s="13"/>
      <c r="I4" s="13"/>
      <c r="J4" s="13"/>
      <c r="K4" s="13"/>
      <c r="L4" s="13"/>
      <c r="M4" s="13"/>
    </row>
    <row r="5" spans="2:13" ht="7.8" customHeight="1" x14ac:dyDescent="0.3"/>
    <row r="6" spans="2:13" ht="30.6" customHeight="1" x14ac:dyDescent="0.3">
      <c r="B6" s="9" t="s">
        <v>106</v>
      </c>
      <c r="C6" s="9" t="s">
        <v>105</v>
      </c>
      <c r="D6" s="10" t="s">
        <v>70</v>
      </c>
      <c r="E6" s="9" t="s">
        <v>0</v>
      </c>
      <c r="F6" s="9" t="s">
        <v>1</v>
      </c>
      <c r="G6" s="9" t="s">
        <v>2</v>
      </c>
      <c r="H6" s="9" t="s">
        <v>3</v>
      </c>
      <c r="I6" s="9" t="s">
        <v>4</v>
      </c>
      <c r="J6" s="9" t="s">
        <v>5</v>
      </c>
      <c r="K6" s="9" t="s">
        <v>33</v>
      </c>
      <c r="L6" s="9" t="s">
        <v>34</v>
      </c>
      <c r="M6" s="9" t="s">
        <v>35</v>
      </c>
    </row>
    <row r="7" spans="2:13" x14ac:dyDescent="0.3">
      <c r="B7" t="s">
        <v>65</v>
      </c>
      <c r="C7" s="1" t="s">
        <v>64</v>
      </c>
      <c r="D7" s="2">
        <v>44562</v>
      </c>
      <c r="E7" s="8" t="s">
        <v>25</v>
      </c>
      <c r="F7" s="8" t="s">
        <v>55</v>
      </c>
      <c r="G7" s="8" t="s">
        <v>26</v>
      </c>
      <c r="H7" t="s">
        <v>20</v>
      </c>
      <c r="I7" s="4">
        <v>8902</v>
      </c>
      <c r="J7" s="8">
        <v>4</v>
      </c>
      <c r="K7" s="4">
        <f t="shared" ref="K7:K38" si="0">I7*J7</f>
        <v>35608</v>
      </c>
      <c r="L7" s="4">
        <f t="shared" ref="L7:L38" si="1">K7*M7</f>
        <v>12462.8</v>
      </c>
      <c r="M7" s="3">
        <v>0.35</v>
      </c>
    </row>
    <row r="8" spans="2:13" x14ac:dyDescent="0.3">
      <c r="B8" t="s">
        <v>65</v>
      </c>
      <c r="C8" s="1" t="s">
        <v>64</v>
      </c>
      <c r="D8" s="2">
        <v>44577</v>
      </c>
      <c r="E8" s="8" t="s">
        <v>25</v>
      </c>
      <c r="F8" s="8" t="s">
        <v>55</v>
      </c>
      <c r="G8" s="8" t="s">
        <v>26</v>
      </c>
      <c r="H8" t="s">
        <v>12</v>
      </c>
      <c r="I8" s="4">
        <v>500</v>
      </c>
      <c r="J8" s="8">
        <v>4</v>
      </c>
      <c r="K8" s="4">
        <f t="shared" si="0"/>
        <v>2000</v>
      </c>
      <c r="L8" s="4">
        <f t="shared" si="1"/>
        <v>500</v>
      </c>
      <c r="M8" s="3">
        <v>0.25</v>
      </c>
    </row>
    <row r="9" spans="2:13" x14ac:dyDescent="0.3">
      <c r="B9" t="s">
        <v>65</v>
      </c>
      <c r="C9" s="1" t="s">
        <v>63</v>
      </c>
      <c r="D9" s="2">
        <v>44584</v>
      </c>
      <c r="E9" s="8" t="s">
        <v>25</v>
      </c>
      <c r="F9" s="8" t="s">
        <v>55</v>
      </c>
      <c r="G9" s="8" t="s">
        <v>26</v>
      </c>
      <c r="H9" t="s">
        <v>8</v>
      </c>
      <c r="I9" s="4">
        <v>1200</v>
      </c>
      <c r="J9" s="8">
        <v>5</v>
      </c>
      <c r="K9" s="4">
        <f t="shared" si="0"/>
        <v>6000</v>
      </c>
      <c r="L9" s="4">
        <f t="shared" si="1"/>
        <v>1800</v>
      </c>
      <c r="M9" s="3">
        <v>0.3</v>
      </c>
    </row>
    <row r="10" spans="2:13" x14ac:dyDescent="0.3">
      <c r="B10" t="s">
        <v>65</v>
      </c>
      <c r="C10" s="1" t="s">
        <v>63</v>
      </c>
      <c r="D10" s="2">
        <v>44591</v>
      </c>
      <c r="E10" s="8" t="s">
        <v>25</v>
      </c>
      <c r="F10" s="8" t="s">
        <v>55</v>
      </c>
      <c r="G10" s="8" t="s">
        <v>26</v>
      </c>
      <c r="H10" t="s">
        <v>12</v>
      </c>
      <c r="I10" s="4">
        <v>500</v>
      </c>
      <c r="J10" s="8">
        <v>12</v>
      </c>
      <c r="K10" s="4">
        <f t="shared" si="0"/>
        <v>6000</v>
      </c>
      <c r="L10" s="4">
        <f t="shared" si="1"/>
        <v>1500</v>
      </c>
      <c r="M10" s="3">
        <v>0.25</v>
      </c>
    </row>
    <row r="11" spans="2:13" x14ac:dyDescent="0.3">
      <c r="B11" t="s">
        <v>62</v>
      </c>
      <c r="C11" s="1" t="s">
        <v>63</v>
      </c>
      <c r="D11" s="2">
        <v>44598</v>
      </c>
      <c r="E11" s="8" t="s">
        <v>25</v>
      </c>
      <c r="F11" s="8" t="s">
        <v>55</v>
      </c>
      <c r="G11" s="8" t="s">
        <v>26</v>
      </c>
      <c r="H11" t="s">
        <v>20</v>
      </c>
      <c r="I11" s="4">
        <v>8902</v>
      </c>
      <c r="J11" s="8">
        <v>21</v>
      </c>
      <c r="K11" s="4">
        <f t="shared" si="0"/>
        <v>186942</v>
      </c>
      <c r="L11" s="4">
        <f t="shared" si="1"/>
        <v>65429.7</v>
      </c>
      <c r="M11" s="3">
        <v>0.35</v>
      </c>
    </row>
    <row r="12" spans="2:13" x14ac:dyDescent="0.3">
      <c r="B12" t="s">
        <v>65</v>
      </c>
      <c r="C12" s="1" t="s">
        <v>64</v>
      </c>
      <c r="D12" s="2">
        <v>44605</v>
      </c>
      <c r="E12" s="8" t="s">
        <v>25</v>
      </c>
      <c r="F12" s="8" t="s">
        <v>55</v>
      </c>
      <c r="G12" s="8" t="s">
        <v>26</v>
      </c>
      <c r="H12" t="s">
        <v>17</v>
      </c>
      <c r="I12" s="4">
        <v>5130</v>
      </c>
      <c r="J12" s="8">
        <v>2</v>
      </c>
      <c r="K12" s="4">
        <f t="shared" si="0"/>
        <v>10260</v>
      </c>
      <c r="L12" s="4">
        <f t="shared" si="1"/>
        <v>4104</v>
      </c>
      <c r="M12" s="3">
        <v>0.4</v>
      </c>
    </row>
    <row r="13" spans="2:13" x14ac:dyDescent="0.3">
      <c r="B13" t="s">
        <v>65</v>
      </c>
      <c r="C13" s="1" t="s">
        <v>63</v>
      </c>
      <c r="D13" s="2">
        <v>44612</v>
      </c>
      <c r="E13" s="8" t="s">
        <v>25</v>
      </c>
      <c r="F13" s="8" t="s">
        <v>55</v>
      </c>
      <c r="G13" s="8" t="s">
        <v>26</v>
      </c>
      <c r="H13" t="s">
        <v>20</v>
      </c>
      <c r="I13" s="4">
        <v>8902</v>
      </c>
      <c r="J13" s="8">
        <v>6</v>
      </c>
      <c r="K13" s="4">
        <f t="shared" si="0"/>
        <v>53412</v>
      </c>
      <c r="L13" s="4">
        <f t="shared" si="1"/>
        <v>18694.199999999997</v>
      </c>
      <c r="M13" s="3">
        <v>0.35</v>
      </c>
    </row>
    <row r="14" spans="2:13" x14ac:dyDescent="0.3">
      <c r="B14" t="s">
        <v>66</v>
      </c>
      <c r="C14" s="1" t="s">
        <v>63</v>
      </c>
      <c r="D14" s="2">
        <v>44619</v>
      </c>
      <c r="E14" s="8" t="s">
        <v>25</v>
      </c>
      <c r="F14" s="8" t="s">
        <v>55</v>
      </c>
      <c r="G14" s="8" t="s">
        <v>26</v>
      </c>
      <c r="H14" t="s">
        <v>11</v>
      </c>
      <c r="I14" s="4">
        <v>300</v>
      </c>
      <c r="J14" s="8">
        <v>1</v>
      </c>
      <c r="K14" s="4">
        <f t="shared" si="0"/>
        <v>300</v>
      </c>
      <c r="L14" s="4">
        <f t="shared" si="1"/>
        <v>45</v>
      </c>
      <c r="M14" s="3">
        <v>0.15</v>
      </c>
    </row>
    <row r="15" spans="2:13" x14ac:dyDescent="0.3">
      <c r="B15" t="s">
        <v>62</v>
      </c>
      <c r="C15" s="1" t="s">
        <v>64</v>
      </c>
      <c r="D15" s="2">
        <v>44626</v>
      </c>
      <c r="E15" s="8" t="s">
        <v>25</v>
      </c>
      <c r="F15" s="8" t="s">
        <v>55</v>
      </c>
      <c r="G15" s="8" t="s">
        <v>26</v>
      </c>
      <c r="H15" t="s">
        <v>10</v>
      </c>
      <c r="I15" s="4">
        <v>1700</v>
      </c>
      <c r="J15" s="8">
        <v>10</v>
      </c>
      <c r="K15" s="4">
        <f t="shared" si="0"/>
        <v>17000</v>
      </c>
      <c r="L15" s="4">
        <f t="shared" si="1"/>
        <v>8500</v>
      </c>
      <c r="M15" s="3">
        <v>0.5</v>
      </c>
    </row>
    <row r="16" spans="2:13" x14ac:dyDescent="0.3">
      <c r="B16" t="s">
        <v>60</v>
      </c>
      <c r="C16" s="1" t="s">
        <v>64</v>
      </c>
      <c r="D16" s="2">
        <v>44633</v>
      </c>
      <c r="E16" s="8" t="s">
        <v>25</v>
      </c>
      <c r="F16" s="8" t="s">
        <v>55</v>
      </c>
      <c r="G16" s="8" t="s">
        <v>26</v>
      </c>
      <c r="H16" t="s">
        <v>9</v>
      </c>
      <c r="I16" s="4">
        <v>1500</v>
      </c>
      <c r="J16" s="8">
        <v>3</v>
      </c>
      <c r="K16" s="4">
        <f t="shared" si="0"/>
        <v>4500</v>
      </c>
      <c r="L16" s="4">
        <f t="shared" si="1"/>
        <v>1800</v>
      </c>
      <c r="M16" s="3">
        <v>0.4</v>
      </c>
    </row>
    <row r="17" spans="2:13" x14ac:dyDescent="0.3">
      <c r="B17" t="s">
        <v>62</v>
      </c>
      <c r="C17" s="1" t="s">
        <v>63</v>
      </c>
      <c r="D17" s="2">
        <v>44640</v>
      </c>
      <c r="E17" s="8" t="s">
        <v>25</v>
      </c>
      <c r="F17" s="8" t="s">
        <v>55</v>
      </c>
      <c r="G17" s="8" t="s">
        <v>26</v>
      </c>
      <c r="H17" t="s">
        <v>19</v>
      </c>
      <c r="I17" s="4">
        <v>5340</v>
      </c>
      <c r="J17" s="8">
        <v>12</v>
      </c>
      <c r="K17" s="4">
        <f t="shared" si="0"/>
        <v>64080</v>
      </c>
      <c r="L17" s="4">
        <f t="shared" si="1"/>
        <v>19224</v>
      </c>
      <c r="M17" s="3">
        <v>0.3</v>
      </c>
    </row>
    <row r="18" spans="2:13" x14ac:dyDescent="0.3">
      <c r="B18" t="s">
        <v>65</v>
      </c>
      <c r="C18" s="1" t="s">
        <v>63</v>
      </c>
      <c r="D18" s="2">
        <v>44647</v>
      </c>
      <c r="E18" s="8" t="s">
        <v>25</v>
      </c>
      <c r="F18" s="8" t="s">
        <v>55</v>
      </c>
      <c r="G18" s="8" t="s">
        <v>26</v>
      </c>
      <c r="H18" t="s">
        <v>20</v>
      </c>
      <c r="I18" s="4">
        <v>8902</v>
      </c>
      <c r="J18" s="8">
        <v>2</v>
      </c>
      <c r="K18" s="4">
        <f t="shared" si="0"/>
        <v>17804</v>
      </c>
      <c r="L18" s="4">
        <f t="shared" si="1"/>
        <v>6231.4</v>
      </c>
      <c r="M18" s="3">
        <v>0.35</v>
      </c>
    </row>
    <row r="19" spans="2:13" x14ac:dyDescent="0.3">
      <c r="B19" t="s">
        <v>65</v>
      </c>
      <c r="C19" s="1" t="s">
        <v>63</v>
      </c>
      <c r="D19" s="2">
        <v>44654</v>
      </c>
      <c r="E19" s="8" t="s">
        <v>25</v>
      </c>
      <c r="F19" s="8" t="s">
        <v>55</v>
      </c>
      <c r="G19" s="8" t="s">
        <v>26</v>
      </c>
      <c r="H19" t="s">
        <v>17</v>
      </c>
      <c r="I19" s="4">
        <v>5130</v>
      </c>
      <c r="J19" s="8">
        <v>8</v>
      </c>
      <c r="K19" s="4">
        <f t="shared" si="0"/>
        <v>41040</v>
      </c>
      <c r="L19" s="4">
        <f t="shared" si="1"/>
        <v>16416</v>
      </c>
      <c r="M19" s="3">
        <v>0.4</v>
      </c>
    </row>
    <row r="20" spans="2:13" x14ac:dyDescent="0.3">
      <c r="B20" t="s">
        <v>60</v>
      </c>
      <c r="C20" s="1" t="s">
        <v>63</v>
      </c>
      <c r="D20" s="2">
        <v>44661</v>
      </c>
      <c r="E20" s="8" t="s">
        <v>25</v>
      </c>
      <c r="F20" s="8" t="s">
        <v>55</v>
      </c>
      <c r="G20" s="8" t="s">
        <v>26</v>
      </c>
      <c r="H20" t="s">
        <v>20</v>
      </c>
      <c r="I20" s="4">
        <v>8902</v>
      </c>
      <c r="J20" s="8">
        <v>3</v>
      </c>
      <c r="K20" s="4">
        <f t="shared" si="0"/>
        <v>26706</v>
      </c>
      <c r="L20" s="4">
        <f t="shared" si="1"/>
        <v>9347.0999999999985</v>
      </c>
      <c r="M20" s="3">
        <v>0.35</v>
      </c>
    </row>
    <row r="21" spans="2:13" x14ac:dyDescent="0.3">
      <c r="B21" t="s">
        <v>62</v>
      </c>
      <c r="C21" s="1" t="s">
        <v>64</v>
      </c>
      <c r="D21" s="2">
        <v>44668</v>
      </c>
      <c r="E21" s="8" t="s">
        <v>25</v>
      </c>
      <c r="F21" s="8" t="s">
        <v>55</v>
      </c>
      <c r="G21" s="8" t="s">
        <v>26</v>
      </c>
      <c r="H21" t="s">
        <v>16</v>
      </c>
      <c r="I21" s="4">
        <v>3400</v>
      </c>
      <c r="J21" s="8">
        <v>8</v>
      </c>
      <c r="K21" s="4">
        <f t="shared" si="0"/>
        <v>27200</v>
      </c>
      <c r="L21" s="4">
        <f t="shared" si="1"/>
        <v>9520</v>
      </c>
      <c r="M21" s="3">
        <v>0.35</v>
      </c>
    </row>
    <row r="22" spans="2:13" x14ac:dyDescent="0.3">
      <c r="B22" t="s">
        <v>62</v>
      </c>
      <c r="C22" s="1" t="s">
        <v>63</v>
      </c>
      <c r="D22" s="2">
        <v>44675</v>
      </c>
      <c r="E22" s="8" t="s">
        <v>25</v>
      </c>
      <c r="F22" s="8" t="s">
        <v>55</v>
      </c>
      <c r="G22" s="8" t="s">
        <v>26</v>
      </c>
      <c r="H22" t="s">
        <v>15</v>
      </c>
      <c r="I22" s="4">
        <v>5300</v>
      </c>
      <c r="J22" s="8">
        <v>10</v>
      </c>
      <c r="K22" s="4">
        <f t="shared" si="0"/>
        <v>53000</v>
      </c>
      <c r="L22" s="4">
        <f t="shared" si="1"/>
        <v>15900</v>
      </c>
      <c r="M22" s="3">
        <v>0.3</v>
      </c>
    </row>
    <row r="23" spans="2:13" x14ac:dyDescent="0.3">
      <c r="B23" t="s">
        <v>65</v>
      </c>
      <c r="C23" s="1" t="s">
        <v>64</v>
      </c>
      <c r="D23" s="2">
        <v>44682</v>
      </c>
      <c r="E23" s="8" t="s">
        <v>25</v>
      </c>
      <c r="F23" s="8" t="s">
        <v>55</v>
      </c>
      <c r="G23" s="8" t="s">
        <v>26</v>
      </c>
      <c r="H23" t="s">
        <v>20</v>
      </c>
      <c r="I23" s="4">
        <v>8902</v>
      </c>
      <c r="J23" s="8">
        <v>11</v>
      </c>
      <c r="K23" s="4">
        <f t="shared" si="0"/>
        <v>97922</v>
      </c>
      <c r="L23" s="4">
        <f t="shared" si="1"/>
        <v>34272.699999999997</v>
      </c>
      <c r="M23" s="3">
        <v>0.35</v>
      </c>
    </row>
    <row r="24" spans="2:13" x14ac:dyDescent="0.3">
      <c r="B24" t="s">
        <v>65</v>
      </c>
      <c r="C24" s="1" t="s">
        <v>63</v>
      </c>
      <c r="D24" s="2">
        <v>44689</v>
      </c>
      <c r="E24" s="8" t="s">
        <v>25</v>
      </c>
      <c r="F24" s="8" t="s">
        <v>55</v>
      </c>
      <c r="G24" s="8" t="s">
        <v>26</v>
      </c>
      <c r="H24" t="s">
        <v>17</v>
      </c>
      <c r="I24" s="4">
        <v>5130</v>
      </c>
      <c r="J24" s="8">
        <v>2</v>
      </c>
      <c r="K24" s="4">
        <f t="shared" si="0"/>
        <v>10260</v>
      </c>
      <c r="L24" s="4">
        <f t="shared" si="1"/>
        <v>4104</v>
      </c>
      <c r="M24" s="3">
        <v>0.4</v>
      </c>
    </row>
    <row r="25" spans="2:13" x14ac:dyDescent="0.3">
      <c r="B25" t="s">
        <v>66</v>
      </c>
      <c r="C25" s="1" t="s">
        <v>64</v>
      </c>
      <c r="D25" s="2">
        <v>44696</v>
      </c>
      <c r="E25" s="8" t="s">
        <v>25</v>
      </c>
      <c r="F25" s="8" t="s">
        <v>55</v>
      </c>
      <c r="G25" s="8" t="s">
        <v>26</v>
      </c>
      <c r="H25" t="s">
        <v>11</v>
      </c>
      <c r="I25" s="4">
        <v>300</v>
      </c>
      <c r="J25" s="8">
        <v>11</v>
      </c>
      <c r="K25" s="4">
        <f t="shared" si="0"/>
        <v>3300</v>
      </c>
      <c r="L25" s="4">
        <f t="shared" si="1"/>
        <v>495</v>
      </c>
      <c r="M25" s="3">
        <v>0.15</v>
      </c>
    </row>
    <row r="26" spans="2:13" x14ac:dyDescent="0.3">
      <c r="B26" t="s">
        <v>60</v>
      </c>
      <c r="C26" s="1" t="s">
        <v>63</v>
      </c>
      <c r="D26" s="2">
        <v>44703</v>
      </c>
      <c r="E26" s="8" t="s">
        <v>25</v>
      </c>
      <c r="F26" s="8" t="s">
        <v>55</v>
      </c>
      <c r="G26" s="8" t="s">
        <v>26</v>
      </c>
      <c r="H26" t="s">
        <v>13</v>
      </c>
      <c r="I26" s="4">
        <v>3200</v>
      </c>
      <c r="J26" s="8">
        <v>5</v>
      </c>
      <c r="K26" s="4">
        <f t="shared" si="0"/>
        <v>16000</v>
      </c>
      <c r="L26" s="4">
        <f t="shared" si="1"/>
        <v>3200</v>
      </c>
      <c r="M26" s="3">
        <v>0.2</v>
      </c>
    </row>
    <row r="27" spans="2:13" x14ac:dyDescent="0.3">
      <c r="B27" t="s">
        <v>65</v>
      </c>
      <c r="C27" s="1" t="s">
        <v>63</v>
      </c>
      <c r="D27" s="2">
        <v>44710</v>
      </c>
      <c r="E27" s="8" t="s">
        <v>25</v>
      </c>
      <c r="F27" s="8" t="s">
        <v>55</v>
      </c>
      <c r="G27" s="8" t="s">
        <v>26</v>
      </c>
      <c r="H27" t="s">
        <v>20</v>
      </c>
      <c r="I27" s="4">
        <v>8902</v>
      </c>
      <c r="J27" s="8">
        <v>2</v>
      </c>
      <c r="K27" s="4">
        <f t="shared" si="0"/>
        <v>17804</v>
      </c>
      <c r="L27" s="4">
        <f t="shared" si="1"/>
        <v>6231.4</v>
      </c>
      <c r="M27" s="3">
        <v>0.35</v>
      </c>
    </row>
    <row r="28" spans="2:13" x14ac:dyDescent="0.3">
      <c r="B28" t="s">
        <v>62</v>
      </c>
      <c r="C28" s="1" t="s">
        <v>63</v>
      </c>
      <c r="D28" s="2">
        <v>44717</v>
      </c>
      <c r="E28" s="8" t="s">
        <v>25</v>
      </c>
      <c r="F28" s="8" t="s">
        <v>55</v>
      </c>
      <c r="G28" s="8" t="s">
        <v>26</v>
      </c>
      <c r="H28" t="s">
        <v>11</v>
      </c>
      <c r="I28" s="4">
        <v>300</v>
      </c>
      <c r="J28" s="8">
        <v>10</v>
      </c>
      <c r="K28" s="4">
        <f t="shared" si="0"/>
        <v>3000</v>
      </c>
      <c r="L28" s="4">
        <f t="shared" si="1"/>
        <v>450</v>
      </c>
      <c r="M28" s="3">
        <v>0.15</v>
      </c>
    </row>
    <row r="29" spans="2:13" x14ac:dyDescent="0.3">
      <c r="B29" t="s">
        <v>66</v>
      </c>
      <c r="C29" s="1" t="s">
        <v>64</v>
      </c>
      <c r="D29" s="2">
        <v>44724</v>
      </c>
      <c r="E29" s="8" t="s">
        <v>25</v>
      </c>
      <c r="F29" s="8" t="s">
        <v>55</v>
      </c>
      <c r="G29" s="8" t="s">
        <v>26</v>
      </c>
      <c r="H29" t="s">
        <v>13</v>
      </c>
      <c r="I29" s="4">
        <v>3200</v>
      </c>
      <c r="J29" s="8">
        <v>12</v>
      </c>
      <c r="K29" s="4">
        <f t="shared" si="0"/>
        <v>38400</v>
      </c>
      <c r="L29" s="4">
        <f t="shared" si="1"/>
        <v>7680</v>
      </c>
      <c r="M29" s="3">
        <v>0.2</v>
      </c>
    </row>
    <row r="30" spans="2:13" x14ac:dyDescent="0.3">
      <c r="B30" t="s">
        <v>65</v>
      </c>
      <c r="C30" s="1" t="s">
        <v>63</v>
      </c>
      <c r="D30" s="2">
        <v>44731</v>
      </c>
      <c r="E30" s="8" t="s">
        <v>25</v>
      </c>
      <c r="F30" s="8" t="s">
        <v>55</v>
      </c>
      <c r="G30" s="8" t="s">
        <v>26</v>
      </c>
      <c r="H30" t="s">
        <v>18</v>
      </c>
      <c r="I30" s="4">
        <v>4600</v>
      </c>
      <c r="J30" s="8">
        <v>7</v>
      </c>
      <c r="K30" s="4">
        <f t="shared" si="0"/>
        <v>32200</v>
      </c>
      <c r="L30" s="4">
        <f t="shared" si="1"/>
        <v>8050</v>
      </c>
      <c r="M30" s="3">
        <v>0.25</v>
      </c>
    </row>
    <row r="31" spans="2:13" x14ac:dyDescent="0.3">
      <c r="B31" t="s">
        <v>66</v>
      </c>
      <c r="C31" s="1" t="s">
        <v>64</v>
      </c>
      <c r="D31" s="2">
        <v>44738</v>
      </c>
      <c r="E31" s="8" t="s">
        <v>25</v>
      </c>
      <c r="F31" s="8" t="s">
        <v>55</v>
      </c>
      <c r="G31" s="8" t="s">
        <v>26</v>
      </c>
      <c r="H31" t="s">
        <v>8</v>
      </c>
      <c r="I31" s="4">
        <v>1200</v>
      </c>
      <c r="J31" s="8">
        <v>9</v>
      </c>
      <c r="K31" s="4">
        <f t="shared" si="0"/>
        <v>10800</v>
      </c>
      <c r="L31" s="4">
        <f t="shared" si="1"/>
        <v>3240</v>
      </c>
      <c r="M31" s="3">
        <v>0.3</v>
      </c>
    </row>
    <row r="32" spans="2:13" x14ac:dyDescent="0.3">
      <c r="B32" t="s">
        <v>60</v>
      </c>
      <c r="C32" s="1" t="s">
        <v>64</v>
      </c>
      <c r="D32" s="2">
        <v>44745</v>
      </c>
      <c r="E32" s="8" t="s">
        <v>25</v>
      </c>
      <c r="F32" s="8" t="s">
        <v>55</v>
      </c>
      <c r="G32" s="8" t="s">
        <v>26</v>
      </c>
      <c r="H32" t="s">
        <v>18</v>
      </c>
      <c r="I32" s="4">
        <v>4600</v>
      </c>
      <c r="J32" s="8">
        <v>11</v>
      </c>
      <c r="K32" s="4">
        <f t="shared" si="0"/>
        <v>50600</v>
      </c>
      <c r="L32" s="4">
        <f t="shared" si="1"/>
        <v>12650</v>
      </c>
      <c r="M32" s="3">
        <v>0.25</v>
      </c>
    </row>
    <row r="33" spans="2:13" x14ac:dyDescent="0.3">
      <c r="B33" t="s">
        <v>61</v>
      </c>
      <c r="C33" s="1" t="s">
        <v>63</v>
      </c>
      <c r="D33" s="2">
        <v>44752</v>
      </c>
      <c r="E33" s="8" t="s">
        <v>25</v>
      </c>
      <c r="F33" s="8" t="s">
        <v>55</v>
      </c>
      <c r="G33" s="8" t="s">
        <v>26</v>
      </c>
      <c r="H33" t="s">
        <v>19</v>
      </c>
      <c r="I33" s="4">
        <v>5340</v>
      </c>
      <c r="J33" s="8">
        <v>9</v>
      </c>
      <c r="K33" s="4">
        <f t="shared" si="0"/>
        <v>48060</v>
      </c>
      <c r="L33" s="4">
        <f t="shared" si="1"/>
        <v>14418</v>
      </c>
      <c r="M33" s="3">
        <v>0.3</v>
      </c>
    </row>
    <row r="34" spans="2:13" x14ac:dyDescent="0.3">
      <c r="B34" t="s">
        <v>65</v>
      </c>
      <c r="C34" s="1" t="s">
        <v>63</v>
      </c>
      <c r="D34" s="2">
        <v>44759</v>
      </c>
      <c r="E34" s="8" t="s">
        <v>25</v>
      </c>
      <c r="F34" s="8" t="s">
        <v>55</v>
      </c>
      <c r="G34" s="8" t="s">
        <v>26</v>
      </c>
      <c r="H34" t="s">
        <v>15</v>
      </c>
      <c r="I34" s="4">
        <v>5300</v>
      </c>
      <c r="J34" s="8">
        <v>5</v>
      </c>
      <c r="K34" s="4">
        <f t="shared" si="0"/>
        <v>26500</v>
      </c>
      <c r="L34" s="4">
        <f t="shared" si="1"/>
        <v>7950</v>
      </c>
      <c r="M34" s="3">
        <v>0.3</v>
      </c>
    </row>
    <row r="35" spans="2:13" x14ac:dyDescent="0.3">
      <c r="B35" t="s">
        <v>65</v>
      </c>
      <c r="C35" s="1" t="s">
        <v>63</v>
      </c>
      <c r="D35" s="2">
        <v>44766</v>
      </c>
      <c r="E35" s="8" t="s">
        <v>25</v>
      </c>
      <c r="F35" s="8" t="s">
        <v>55</v>
      </c>
      <c r="G35" s="8" t="s">
        <v>26</v>
      </c>
      <c r="H35" t="s">
        <v>9</v>
      </c>
      <c r="I35" s="4">
        <v>1500</v>
      </c>
      <c r="J35" s="8">
        <v>3</v>
      </c>
      <c r="K35" s="4">
        <f t="shared" si="0"/>
        <v>4500</v>
      </c>
      <c r="L35" s="4">
        <f t="shared" si="1"/>
        <v>1800</v>
      </c>
      <c r="M35" s="3">
        <v>0.4</v>
      </c>
    </row>
    <row r="36" spans="2:13" x14ac:dyDescent="0.3">
      <c r="B36" t="s">
        <v>62</v>
      </c>
      <c r="C36" s="1" t="s">
        <v>63</v>
      </c>
      <c r="D36" s="2">
        <v>44766</v>
      </c>
      <c r="E36" s="8" t="s">
        <v>25</v>
      </c>
      <c r="F36" s="8" t="s">
        <v>55</v>
      </c>
      <c r="G36" s="8" t="s">
        <v>26</v>
      </c>
      <c r="H36" t="s">
        <v>13</v>
      </c>
      <c r="I36" s="4">
        <v>3200</v>
      </c>
      <c r="J36" s="8">
        <v>10</v>
      </c>
      <c r="K36" s="4">
        <f t="shared" si="0"/>
        <v>32000</v>
      </c>
      <c r="L36" s="4">
        <f t="shared" si="1"/>
        <v>6400</v>
      </c>
      <c r="M36" s="3">
        <v>0.2</v>
      </c>
    </row>
    <row r="37" spans="2:13" x14ac:dyDescent="0.3">
      <c r="B37" t="s">
        <v>65</v>
      </c>
      <c r="C37" s="1" t="s">
        <v>64</v>
      </c>
      <c r="D37" s="2">
        <v>44773</v>
      </c>
      <c r="E37" s="8" t="s">
        <v>25</v>
      </c>
      <c r="F37" s="8" t="s">
        <v>55</v>
      </c>
      <c r="G37" s="8" t="s">
        <v>26</v>
      </c>
      <c r="H37" t="s">
        <v>9</v>
      </c>
      <c r="I37" s="4">
        <v>1500</v>
      </c>
      <c r="J37" s="8">
        <v>8</v>
      </c>
      <c r="K37" s="4">
        <f t="shared" si="0"/>
        <v>12000</v>
      </c>
      <c r="L37" s="4">
        <f t="shared" si="1"/>
        <v>4800</v>
      </c>
      <c r="M37" s="3">
        <v>0.4</v>
      </c>
    </row>
    <row r="38" spans="2:13" x14ac:dyDescent="0.3">
      <c r="B38" t="s">
        <v>66</v>
      </c>
      <c r="C38" s="1" t="s">
        <v>64</v>
      </c>
      <c r="D38" s="2">
        <v>44780</v>
      </c>
      <c r="E38" s="8" t="s">
        <v>25</v>
      </c>
      <c r="F38" s="8" t="s">
        <v>55</v>
      </c>
      <c r="G38" s="8" t="s">
        <v>26</v>
      </c>
      <c r="H38" t="s">
        <v>12</v>
      </c>
      <c r="I38" s="4">
        <v>500</v>
      </c>
      <c r="J38" s="8">
        <v>12</v>
      </c>
      <c r="K38" s="4">
        <f t="shared" si="0"/>
        <v>6000</v>
      </c>
      <c r="L38" s="4">
        <f t="shared" si="1"/>
        <v>1500</v>
      </c>
      <c r="M38" s="3">
        <v>0.25</v>
      </c>
    </row>
    <row r="39" spans="2:13" x14ac:dyDescent="0.3">
      <c r="B39" t="s">
        <v>65</v>
      </c>
      <c r="C39" s="1" t="s">
        <v>63</v>
      </c>
      <c r="D39" s="2">
        <v>44787</v>
      </c>
      <c r="E39" s="8" t="s">
        <v>25</v>
      </c>
      <c r="F39" s="8" t="s">
        <v>55</v>
      </c>
      <c r="G39" s="8" t="s">
        <v>26</v>
      </c>
      <c r="H39" t="s">
        <v>11</v>
      </c>
      <c r="I39" s="4">
        <v>300</v>
      </c>
      <c r="J39" s="8">
        <v>8</v>
      </c>
      <c r="K39" s="4">
        <f t="shared" ref="K39:K70" si="2">I39*J39</f>
        <v>2400</v>
      </c>
      <c r="L39" s="4">
        <f t="shared" ref="L39:L70" si="3">K39*M39</f>
        <v>360</v>
      </c>
      <c r="M39" s="3">
        <v>0.15</v>
      </c>
    </row>
    <row r="40" spans="2:13" x14ac:dyDescent="0.3">
      <c r="B40" t="s">
        <v>60</v>
      </c>
      <c r="C40" s="1" t="s">
        <v>64</v>
      </c>
      <c r="D40" s="2">
        <v>44794</v>
      </c>
      <c r="E40" s="8" t="s">
        <v>25</v>
      </c>
      <c r="F40" s="8" t="s">
        <v>55</v>
      </c>
      <c r="G40" s="8" t="s">
        <v>26</v>
      </c>
      <c r="H40" t="s">
        <v>10</v>
      </c>
      <c r="I40" s="4">
        <v>1700</v>
      </c>
      <c r="J40" s="8">
        <v>10</v>
      </c>
      <c r="K40" s="4">
        <f t="shared" si="2"/>
        <v>17000</v>
      </c>
      <c r="L40" s="4">
        <f t="shared" si="3"/>
        <v>8500</v>
      </c>
      <c r="M40" s="3">
        <v>0.5</v>
      </c>
    </row>
    <row r="41" spans="2:13" x14ac:dyDescent="0.3">
      <c r="B41" t="s">
        <v>65</v>
      </c>
      <c r="C41" s="1" t="s">
        <v>63</v>
      </c>
      <c r="D41" s="2">
        <v>44801</v>
      </c>
      <c r="E41" s="8" t="s">
        <v>25</v>
      </c>
      <c r="F41" s="8" t="s">
        <v>55</v>
      </c>
      <c r="G41" s="8" t="s">
        <v>26</v>
      </c>
      <c r="H41" t="s">
        <v>16</v>
      </c>
      <c r="I41" s="4">
        <v>3400</v>
      </c>
      <c r="J41" s="8">
        <v>6</v>
      </c>
      <c r="K41" s="4">
        <f t="shared" si="2"/>
        <v>20400</v>
      </c>
      <c r="L41" s="4">
        <f t="shared" si="3"/>
        <v>7140</v>
      </c>
      <c r="M41" s="3">
        <v>0.35</v>
      </c>
    </row>
    <row r="42" spans="2:13" x14ac:dyDescent="0.3">
      <c r="B42" t="s">
        <v>65</v>
      </c>
      <c r="C42" s="1" t="s">
        <v>63</v>
      </c>
      <c r="D42" s="2">
        <v>44808</v>
      </c>
      <c r="E42" s="8" t="s">
        <v>25</v>
      </c>
      <c r="F42" s="8" t="s">
        <v>55</v>
      </c>
      <c r="G42" s="8" t="s">
        <v>26</v>
      </c>
      <c r="H42" t="s">
        <v>11</v>
      </c>
      <c r="I42" s="4">
        <v>300</v>
      </c>
      <c r="J42" s="8">
        <v>4</v>
      </c>
      <c r="K42" s="4">
        <f t="shared" si="2"/>
        <v>1200</v>
      </c>
      <c r="L42" s="4">
        <f t="shared" si="3"/>
        <v>180</v>
      </c>
      <c r="M42" s="3">
        <v>0.15</v>
      </c>
    </row>
    <row r="43" spans="2:13" x14ac:dyDescent="0.3">
      <c r="B43" t="s">
        <v>65</v>
      </c>
      <c r="C43" s="1" t="s">
        <v>63</v>
      </c>
      <c r="D43" s="2">
        <v>44815</v>
      </c>
      <c r="E43" s="8" t="s">
        <v>25</v>
      </c>
      <c r="F43" s="8" t="s">
        <v>55</v>
      </c>
      <c r="G43" s="8" t="s">
        <v>26</v>
      </c>
      <c r="H43" t="s">
        <v>12</v>
      </c>
      <c r="I43" s="4">
        <v>500</v>
      </c>
      <c r="J43" s="8">
        <v>9</v>
      </c>
      <c r="K43" s="4">
        <f t="shared" si="2"/>
        <v>4500</v>
      </c>
      <c r="L43" s="4">
        <f t="shared" si="3"/>
        <v>1125</v>
      </c>
      <c r="M43" s="3">
        <v>0.25</v>
      </c>
    </row>
    <row r="44" spans="2:13" x14ac:dyDescent="0.3">
      <c r="B44" t="s">
        <v>60</v>
      </c>
      <c r="C44" s="1" t="s">
        <v>63</v>
      </c>
      <c r="D44" s="2">
        <v>44822</v>
      </c>
      <c r="E44" s="8" t="s">
        <v>25</v>
      </c>
      <c r="F44" s="8" t="s">
        <v>55</v>
      </c>
      <c r="G44" s="8" t="s">
        <v>26</v>
      </c>
      <c r="H44" t="s">
        <v>13</v>
      </c>
      <c r="I44" s="4">
        <v>3200</v>
      </c>
      <c r="J44" s="8">
        <v>5</v>
      </c>
      <c r="K44" s="4">
        <f t="shared" si="2"/>
        <v>16000</v>
      </c>
      <c r="L44" s="4">
        <f t="shared" si="3"/>
        <v>3200</v>
      </c>
      <c r="M44" s="3">
        <v>0.2</v>
      </c>
    </row>
    <row r="45" spans="2:13" x14ac:dyDescent="0.3">
      <c r="B45" t="s">
        <v>65</v>
      </c>
      <c r="C45" s="1" t="s">
        <v>63</v>
      </c>
      <c r="D45" s="2">
        <v>44829</v>
      </c>
      <c r="E45" s="8" t="s">
        <v>25</v>
      </c>
      <c r="F45" s="8" t="s">
        <v>55</v>
      </c>
      <c r="G45" s="8" t="s">
        <v>26</v>
      </c>
      <c r="H45" t="s">
        <v>12</v>
      </c>
      <c r="I45" s="4">
        <v>500</v>
      </c>
      <c r="J45" s="8">
        <v>1</v>
      </c>
      <c r="K45" s="4">
        <f t="shared" si="2"/>
        <v>500</v>
      </c>
      <c r="L45" s="4">
        <f t="shared" si="3"/>
        <v>125</v>
      </c>
      <c r="M45" s="3">
        <v>0.25</v>
      </c>
    </row>
    <row r="46" spans="2:13" x14ac:dyDescent="0.3">
      <c r="B46" t="s">
        <v>60</v>
      </c>
      <c r="C46" s="1" t="s">
        <v>63</v>
      </c>
      <c r="D46" s="2">
        <v>44836</v>
      </c>
      <c r="E46" s="8" t="s">
        <v>25</v>
      </c>
      <c r="F46" s="8" t="s">
        <v>55</v>
      </c>
      <c r="G46" s="8" t="s">
        <v>26</v>
      </c>
      <c r="H46" t="s">
        <v>10</v>
      </c>
      <c r="I46" s="4">
        <v>1700</v>
      </c>
      <c r="J46" s="8">
        <v>6</v>
      </c>
      <c r="K46" s="4">
        <f t="shared" si="2"/>
        <v>10200</v>
      </c>
      <c r="L46" s="4">
        <f t="shared" si="3"/>
        <v>5100</v>
      </c>
      <c r="M46" s="3">
        <v>0.5</v>
      </c>
    </row>
    <row r="47" spans="2:13" x14ac:dyDescent="0.3">
      <c r="B47" t="s">
        <v>65</v>
      </c>
      <c r="C47" s="1" t="s">
        <v>63</v>
      </c>
      <c r="D47" s="2">
        <v>44843</v>
      </c>
      <c r="E47" s="8" t="s">
        <v>25</v>
      </c>
      <c r="F47" s="8" t="s">
        <v>55</v>
      </c>
      <c r="G47" s="8" t="s">
        <v>26</v>
      </c>
      <c r="H47" t="s">
        <v>20</v>
      </c>
      <c r="I47" s="4">
        <v>8902</v>
      </c>
      <c r="J47" s="8">
        <v>4</v>
      </c>
      <c r="K47" s="4">
        <f t="shared" si="2"/>
        <v>35608</v>
      </c>
      <c r="L47" s="4">
        <f t="shared" si="3"/>
        <v>12462.8</v>
      </c>
      <c r="M47" s="3">
        <v>0.35</v>
      </c>
    </row>
    <row r="48" spans="2:13" x14ac:dyDescent="0.3">
      <c r="B48" t="s">
        <v>62</v>
      </c>
      <c r="C48" s="1" t="s">
        <v>63</v>
      </c>
      <c r="D48" s="2">
        <v>44850</v>
      </c>
      <c r="E48" s="8" t="s">
        <v>25</v>
      </c>
      <c r="F48" s="8" t="s">
        <v>55</v>
      </c>
      <c r="G48" s="8" t="s">
        <v>26</v>
      </c>
      <c r="H48" t="s">
        <v>19</v>
      </c>
      <c r="I48" s="4">
        <v>5340</v>
      </c>
      <c r="J48" s="8">
        <v>1</v>
      </c>
      <c r="K48" s="4">
        <f t="shared" si="2"/>
        <v>5340</v>
      </c>
      <c r="L48" s="4">
        <f t="shared" si="3"/>
        <v>1602</v>
      </c>
      <c r="M48" s="3">
        <v>0.3</v>
      </c>
    </row>
    <row r="49" spans="2:13" x14ac:dyDescent="0.3">
      <c r="B49" t="s">
        <v>65</v>
      </c>
      <c r="C49" s="1" t="s">
        <v>63</v>
      </c>
      <c r="D49" s="2">
        <v>44857</v>
      </c>
      <c r="E49" s="8" t="s">
        <v>25</v>
      </c>
      <c r="F49" s="8" t="s">
        <v>55</v>
      </c>
      <c r="G49" s="8" t="s">
        <v>26</v>
      </c>
      <c r="H49" t="s">
        <v>20</v>
      </c>
      <c r="I49" s="4">
        <v>8902</v>
      </c>
      <c r="J49" s="8">
        <v>8</v>
      </c>
      <c r="K49" s="4">
        <f t="shared" si="2"/>
        <v>71216</v>
      </c>
      <c r="L49" s="4">
        <f t="shared" si="3"/>
        <v>24925.599999999999</v>
      </c>
      <c r="M49" s="3">
        <v>0.35</v>
      </c>
    </row>
    <row r="50" spans="2:13" x14ac:dyDescent="0.3">
      <c r="B50" t="s">
        <v>60</v>
      </c>
      <c r="C50" s="1" t="s">
        <v>64</v>
      </c>
      <c r="D50" s="2">
        <v>44864</v>
      </c>
      <c r="E50" s="8" t="s">
        <v>25</v>
      </c>
      <c r="F50" s="8" t="s">
        <v>55</v>
      </c>
      <c r="G50" s="8" t="s">
        <v>26</v>
      </c>
      <c r="H50" t="s">
        <v>12</v>
      </c>
      <c r="I50" s="4">
        <v>500</v>
      </c>
      <c r="J50" s="8">
        <v>5</v>
      </c>
      <c r="K50" s="4">
        <f t="shared" si="2"/>
        <v>2500</v>
      </c>
      <c r="L50" s="4">
        <f t="shared" si="3"/>
        <v>625</v>
      </c>
      <c r="M50" s="3">
        <v>0.25</v>
      </c>
    </row>
    <row r="51" spans="2:13" x14ac:dyDescent="0.3">
      <c r="B51" t="s">
        <v>61</v>
      </c>
      <c r="C51" s="1" t="s">
        <v>63</v>
      </c>
      <c r="D51" s="2">
        <v>44871</v>
      </c>
      <c r="E51" s="8" t="s">
        <v>25</v>
      </c>
      <c r="F51" s="8" t="s">
        <v>55</v>
      </c>
      <c r="G51" s="8" t="s">
        <v>26</v>
      </c>
      <c r="H51" t="s">
        <v>8</v>
      </c>
      <c r="I51" s="4">
        <v>1200</v>
      </c>
      <c r="J51" s="8">
        <v>2</v>
      </c>
      <c r="K51" s="4">
        <f t="shared" si="2"/>
        <v>2400</v>
      </c>
      <c r="L51" s="4">
        <f t="shared" si="3"/>
        <v>720</v>
      </c>
      <c r="M51" s="3">
        <v>0.3</v>
      </c>
    </row>
    <row r="52" spans="2:13" x14ac:dyDescent="0.3">
      <c r="B52" t="s">
        <v>66</v>
      </c>
      <c r="C52" s="1" t="s">
        <v>64</v>
      </c>
      <c r="D52" s="2">
        <v>44878</v>
      </c>
      <c r="E52" s="8" t="s">
        <v>25</v>
      </c>
      <c r="F52" s="8" t="s">
        <v>55</v>
      </c>
      <c r="G52" s="8" t="s">
        <v>26</v>
      </c>
      <c r="H52" t="s">
        <v>14</v>
      </c>
      <c r="I52" s="4">
        <v>4500</v>
      </c>
      <c r="J52" s="8">
        <v>5</v>
      </c>
      <c r="K52" s="4">
        <f t="shared" si="2"/>
        <v>22500</v>
      </c>
      <c r="L52" s="4">
        <f t="shared" si="3"/>
        <v>5625</v>
      </c>
      <c r="M52" s="3">
        <v>0.25</v>
      </c>
    </row>
    <row r="53" spans="2:13" x14ac:dyDescent="0.3">
      <c r="B53" t="s">
        <v>65</v>
      </c>
      <c r="C53" s="1" t="s">
        <v>63</v>
      </c>
      <c r="D53" s="2">
        <v>44885</v>
      </c>
      <c r="E53" s="8" t="s">
        <v>25</v>
      </c>
      <c r="F53" s="8" t="s">
        <v>55</v>
      </c>
      <c r="G53" s="8" t="s">
        <v>26</v>
      </c>
      <c r="H53" t="s">
        <v>20</v>
      </c>
      <c r="I53" s="4">
        <v>8902</v>
      </c>
      <c r="J53" s="8">
        <v>8</v>
      </c>
      <c r="K53" s="4">
        <f t="shared" si="2"/>
        <v>71216</v>
      </c>
      <c r="L53" s="4">
        <f t="shared" si="3"/>
        <v>24925.599999999999</v>
      </c>
      <c r="M53" s="3">
        <v>0.35</v>
      </c>
    </row>
    <row r="54" spans="2:13" x14ac:dyDescent="0.3">
      <c r="B54" t="s">
        <v>61</v>
      </c>
      <c r="C54" s="1" t="s">
        <v>63</v>
      </c>
      <c r="D54" s="2">
        <v>44892</v>
      </c>
      <c r="E54" s="8" t="s">
        <v>25</v>
      </c>
      <c r="F54" s="8" t="s">
        <v>55</v>
      </c>
      <c r="G54" s="8" t="s">
        <v>26</v>
      </c>
      <c r="H54" t="s">
        <v>15</v>
      </c>
      <c r="I54" s="4">
        <v>5300</v>
      </c>
      <c r="J54" s="8">
        <v>1</v>
      </c>
      <c r="K54" s="4">
        <f t="shared" si="2"/>
        <v>5300</v>
      </c>
      <c r="L54" s="4">
        <f t="shared" si="3"/>
        <v>1590</v>
      </c>
      <c r="M54" s="3">
        <v>0.3</v>
      </c>
    </row>
    <row r="55" spans="2:13" x14ac:dyDescent="0.3">
      <c r="B55" t="s">
        <v>66</v>
      </c>
      <c r="C55" s="1" t="s">
        <v>63</v>
      </c>
      <c r="D55" s="2">
        <v>44899</v>
      </c>
      <c r="E55" s="8" t="s">
        <v>25</v>
      </c>
      <c r="F55" s="8" t="s">
        <v>55</v>
      </c>
      <c r="G55" s="8" t="s">
        <v>26</v>
      </c>
      <c r="H55" t="s">
        <v>15</v>
      </c>
      <c r="I55" s="4">
        <v>5300</v>
      </c>
      <c r="J55" s="8">
        <v>1</v>
      </c>
      <c r="K55" s="4">
        <f t="shared" si="2"/>
        <v>5300</v>
      </c>
      <c r="L55" s="4">
        <f t="shared" si="3"/>
        <v>1590</v>
      </c>
      <c r="M55" s="3">
        <v>0.3</v>
      </c>
    </row>
    <row r="56" spans="2:13" x14ac:dyDescent="0.3">
      <c r="B56" t="s">
        <v>65</v>
      </c>
      <c r="C56" s="1" t="s">
        <v>63</v>
      </c>
      <c r="D56" s="2">
        <v>44906</v>
      </c>
      <c r="E56" s="8" t="s">
        <v>25</v>
      </c>
      <c r="F56" s="8" t="s">
        <v>55</v>
      </c>
      <c r="G56" s="8" t="s">
        <v>26</v>
      </c>
      <c r="H56" t="s">
        <v>18</v>
      </c>
      <c r="I56" s="4">
        <v>4600</v>
      </c>
      <c r="J56" s="8">
        <v>8</v>
      </c>
      <c r="K56" s="4">
        <f t="shared" si="2"/>
        <v>36800</v>
      </c>
      <c r="L56" s="4">
        <f t="shared" si="3"/>
        <v>9200</v>
      </c>
      <c r="M56" s="3">
        <v>0.25</v>
      </c>
    </row>
    <row r="57" spans="2:13" x14ac:dyDescent="0.3">
      <c r="B57" t="s">
        <v>62</v>
      </c>
      <c r="C57" s="1" t="s">
        <v>64</v>
      </c>
      <c r="D57" s="2">
        <v>44913</v>
      </c>
      <c r="E57" s="8" t="s">
        <v>25</v>
      </c>
      <c r="F57" s="8" t="s">
        <v>55</v>
      </c>
      <c r="G57" s="8" t="s">
        <v>26</v>
      </c>
      <c r="H57" t="s">
        <v>13</v>
      </c>
      <c r="I57" s="4">
        <v>3200</v>
      </c>
      <c r="J57" s="8">
        <v>6</v>
      </c>
      <c r="K57" s="4">
        <f t="shared" si="2"/>
        <v>19200</v>
      </c>
      <c r="L57" s="4">
        <f t="shared" si="3"/>
        <v>3840</v>
      </c>
      <c r="M57" s="3">
        <v>0.2</v>
      </c>
    </row>
    <row r="58" spans="2:13" x14ac:dyDescent="0.3">
      <c r="B58" t="s">
        <v>65</v>
      </c>
      <c r="C58" s="1" t="s">
        <v>64</v>
      </c>
      <c r="D58" s="2">
        <v>44920</v>
      </c>
      <c r="E58" s="8" t="s">
        <v>25</v>
      </c>
      <c r="F58" s="8" t="s">
        <v>55</v>
      </c>
      <c r="G58" s="8" t="s">
        <v>26</v>
      </c>
      <c r="H58" t="s">
        <v>17</v>
      </c>
      <c r="I58" s="4">
        <v>5130</v>
      </c>
      <c r="J58" s="8">
        <v>5</v>
      </c>
      <c r="K58" s="4">
        <f t="shared" si="2"/>
        <v>25650</v>
      </c>
      <c r="L58" s="4">
        <f t="shared" si="3"/>
        <v>10260</v>
      </c>
      <c r="M58" s="3">
        <v>0.4</v>
      </c>
    </row>
    <row r="59" spans="2:13" x14ac:dyDescent="0.3">
      <c r="B59" t="s">
        <v>62</v>
      </c>
      <c r="C59" s="1" t="s">
        <v>63</v>
      </c>
      <c r="D59" s="2">
        <v>44927</v>
      </c>
      <c r="E59" s="8" t="s">
        <v>25</v>
      </c>
      <c r="F59" s="8" t="s">
        <v>55</v>
      </c>
      <c r="G59" s="8" t="s">
        <v>26</v>
      </c>
      <c r="H59" t="s">
        <v>14</v>
      </c>
      <c r="I59" s="4">
        <v>4500</v>
      </c>
      <c r="J59" s="8">
        <v>11</v>
      </c>
      <c r="K59" s="4">
        <f t="shared" si="2"/>
        <v>49500</v>
      </c>
      <c r="L59" s="4">
        <f t="shared" si="3"/>
        <v>12375</v>
      </c>
      <c r="M59" s="3">
        <v>0.25</v>
      </c>
    </row>
    <row r="60" spans="2:13" x14ac:dyDescent="0.3">
      <c r="B60" t="s">
        <v>61</v>
      </c>
      <c r="C60" s="1" t="s">
        <v>63</v>
      </c>
      <c r="D60" s="2">
        <v>44934</v>
      </c>
      <c r="E60" s="8" t="s">
        <v>25</v>
      </c>
      <c r="F60" s="8" t="s">
        <v>55</v>
      </c>
      <c r="G60" s="8" t="s">
        <v>26</v>
      </c>
      <c r="H60" t="s">
        <v>11</v>
      </c>
      <c r="I60" s="4">
        <v>300</v>
      </c>
      <c r="J60" s="8">
        <v>4</v>
      </c>
      <c r="K60" s="4">
        <f t="shared" si="2"/>
        <v>1200</v>
      </c>
      <c r="L60" s="4">
        <f t="shared" si="3"/>
        <v>180</v>
      </c>
      <c r="M60" s="3">
        <v>0.15</v>
      </c>
    </row>
    <row r="61" spans="2:13" x14ac:dyDescent="0.3">
      <c r="B61" t="s">
        <v>65</v>
      </c>
      <c r="C61" s="1" t="s">
        <v>64</v>
      </c>
      <c r="D61" s="2">
        <v>44941</v>
      </c>
      <c r="E61" s="8" t="s">
        <v>25</v>
      </c>
      <c r="F61" s="8" t="s">
        <v>55</v>
      </c>
      <c r="G61" s="8" t="s">
        <v>26</v>
      </c>
      <c r="H61" t="s">
        <v>20</v>
      </c>
      <c r="I61" s="4">
        <v>8902</v>
      </c>
      <c r="J61" s="8">
        <v>3</v>
      </c>
      <c r="K61" s="4">
        <f t="shared" si="2"/>
        <v>26706</v>
      </c>
      <c r="L61" s="4">
        <f t="shared" si="3"/>
        <v>9347.0999999999985</v>
      </c>
      <c r="M61" s="3">
        <v>0.35</v>
      </c>
    </row>
    <row r="62" spans="2:13" x14ac:dyDescent="0.3">
      <c r="B62" t="s">
        <v>65</v>
      </c>
      <c r="C62" s="1" t="s">
        <v>64</v>
      </c>
      <c r="D62" s="2">
        <v>44948</v>
      </c>
      <c r="E62" s="8" t="s">
        <v>25</v>
      </c>
      <c r="F62" s="8" t="s">
        <v>55</v>
      </c>
      <c r="G62" s="8" t="s">
        <v>26</v>
      </c>
      <c r="H62" t="s">
        <v>18</v>
      </c>
      <c r="I62" s="4">
        <v>4600</v>
      </c>
      <c r="J62" s="8">
        <v>12</v>
      </c>
      <c r="K62" s="4">
        <f t="shared" si="2"/>
        <v>55200</v>
      </c>
      <c r="L62" s="4">
        <f t="shared" si="3"/>
        <v>13800</v>
      </c>
      <c r="M62" s="3">
        <v>0.25</v>
      </c>
    </row>
    <row r="63" spans="2:13" x14ac:dyDescent="0.3">
      <c r="B63" t="s">
        <v>65</v>
      </c>
      <c r="C63" s="1" t="s">
        <v>64</v>
      </c>
      <c r="D63" s="2">
        <v>44955</v>
      </c>
      <c r="E63" s="8" t="s">
        <v>25</v>
      </c>
      <c r="F63" s="8" t="s">
        <v>55</v>
      </c>
      <c r="G63" s="8" t="s">
        <v>26</v>
      </c>
      <c r="H63" t="s">
        <v>16</v>
      </c>
      <c r="I63" s="4">
        <v>3400</v>
      </c>
      <c r="J63" s="8">
        <v>1</v>
      </c>
      <c r="K63" s="4">
        <f t="shared" si="2"/>
        <v>3400</v>
      </c>
      <c r="L63" s="4">
        <f t="shared" si="3"/>
        <v>1190</v>
      </c>
      <c r="M63" s="3">
        <v>0.35</v>
      </c>
    </row>
    <row r="64" spans="2:13" x14ac:dyDescent="0.3">
      <c r="B64" t="s">
        <v>61</v>
      </c>
      <c r="C64" s="1" t="s">
        <v>63</v>
      </c>
      <c r="D64" s="2">
        <v>44962</v>
      </c>
      <c r="E64" s="8" t="s">
        <v>25</v>
      </c>
      <c r="F64" s="8" t="s">
        <v>55</v>
      </c>
      <c r="G64" s="8" t="s">
        <v>26</v>
      </c>
      <c r="H64" t="s">
        <v>19</v>
      </c>
      <c r="I64" s="4">
        <v>5340</v>
      </c>
      <c r="J64" s="8">
        <v>8</v>
      </c>
      <c r="K64" s="4">
        <f t="shared" si="2"/>
        <v>42720</v>
      </c>
      <c r="L64" s="4">
        <f t="shared" si="3"/>
        <v>12816</v>
      </c>
      <c r="M64" s="3">
        <v>0.3</v>
      </c>
    </row>
    <row r="65" spans="2:13" x14ac:dyDescent="0.3">
      <c r="B65" t="s">
        <v>65</v>
      </c>
      <c r="C65" s="1" t="s">
        <v>64</v>
      </c>
      <c r="D65" s="2">
        <v>44969</v>
      </c>
      <c r="E65" s="8" t="s">
        <v>25</v>
      </c>
      <c r="F65" s="8" t="s">
        <v>55</v>
      </c>
      <c r="G65" s="8" t="s">
        <v>26</v>
      </c>
      <c r="H65" t="s">
        <v>10</v>
      </c>
      <c r="I65" s="4">
        <v>1700</v>
      </c>
      <c r="J65" s="8">
        <v>12</v>
      </c>
      <c r="K65" s="4">
        <f t="shared" si="2"/>
        <v>20400</v>
      </c>
      <c r="L65" s="4">
        <f t="shared" si="3"/>
        <v>10200</v>
      </c>
      <c r="M65" s="3">
        <v>0.5</v>
      </c>
    </row>
    <row r="66" spans="2:13" x14ac:dyDescent="0.3">
      <c r="B66" t="s">
        <v>60</v>
      </c>
      <c r="C66" s="1" t="s">
        <v>64</v>
      </c>
      <c r="D66" s="2">
        <v>44976</v>
      </c>
      <c r="E66" s="8" t="s">
        <v>25</v>
      </c>
      <c r="F66" s="8" t="s">
        <v>55</v>
      </c>
      <c r="G66" s="8" t="s">
        <v>26</v>
      </c>
      <c r="H66" t="s">
        <v>13</v>
      </c>
      <c r="I66" s="4">
        <v>3200</v>
      </c>
      <c r="J66" s="8">
        <v>12</v>
      </c>
      <c r="K66" s="4">
        <f t="shared" si="2"/>
        <v>38400</v>
      </c>
      <c r="L66" s="4">
        <f t="shared" si="3"/>
        <v>7680</v>
      </c>
      <c r="M66" s="3">
        <v>0.2</v>
      </c>
    </row>
    <row r="67" spans="2:13" x14ac:dyDescent="0.3">
      <c r="B67" t="s">
        <v>60</v>
      </c>
      <c r="C67" s="1" t="s">
        <v>63</v>
      </c>
      <c r="D67" s="2">
        <v>44983</v>
      </c>
      <c r="E67" s="8" t="s">
        <v>25</v>
      </c>
      <c r="F67" s="8" t="s">
        <v>55</v>
      </c>
      <c r="G67" s="8" t="s">
        <v>26</v>
      </c>
      <c r="H67" t="s">
        <v>12</v>
      </c>
      <c r="I67" s="4">
        <v>500</v>
      </c>
      <c r="J67" s="8">
        <v>10</v>
      </c>
      <c r="K67" s="4">
        <f t="shared" si="2"/>
        <v>5000</v>
      </c>
      <c r="L67" s="4">
        <f t="shared" si="3"/>
        <v>1250</v>
      </c>
      <c r="M67" s="3">
        <v>0.25</v>
      </c>
    </row>
    <row r="68" spans="2:13" x14ac:dyDescent="0.3">
      <c r="B68" t="s">
        <v>60</v>
      </c>
      <c r="C68" s="1" t="s">
        <v>63</v>
      </c>
      <c r="D68" s="2">
        <v>44990</v>
      </c>
      <c r="E68" s="8" t="s">
        <v>25</v>
      </c>
      <c r="F68" s="8" t="s">
        <v>55</v>
      </c>
      <c r="G68" s="8" t="s">
        <v>26</v>
      </c>
      <c r="H68" t="s">
        <v>15</v>
      </c>
      <c r="I68" s="4">
        <v>5300</v>
      </c>
      <c r="J68" s="8">
        <v>10</v>
      </c>
      <c r="K68" s="4">
        <f t="shared" si="2"/>
        <v>53000</v>
      </c>
      <c r="L68" s="4">
        <f t="shared" si="3"/>
        <v>15900</v>
      </c>
      <c r="M68" s="3">
        <v>0.3</v>
      </c>
    </row>
    <row r="69" spans="2:13" x14ac:dyDescent="0.3">
      <c r="B69" t="s">
        <v>65</v>
      </c>
      <c r="C69" s="1" t="s">
        <v>63</v>
      </c>
      <c r="D69" s="2">
        <v>44997</v>
      </c>
      <c r="E69" s="8" t="s">
        <v>25</v>
      </c>
      <c r="F69" s="8" t="s">
        <v>55</v>
      </c>
      <c r="G69" s="8" t="s">
        <v>26</v>
      </c>
      <c r="H69" t="s">
        <v>13</v>
      </c>
      <c r="I69" s="4">
        <v>3200</v>
      </c>
      <c r="J69" s="8">
        <v>7</v>
      </c>
      <c r="K69" s="4">
        <f t="shared" si="2"/>
        <v>22400</v>
      </c>
      <c r="L69" s="4">
        <f t="shared" si="3"/>
        <v>4480</v>
      </c>
      <c r="M69" s="3">
        <v>0.2</v>
      </c>
    </row>
    <row r="70" spans="2:13" x14ac:dyDescent="0.3">
      <c r="B70" t="s">
        <v>61</v>
      </c>
      <c r="C70" s="1" t="s">
        <v>64</v>
      </c>
      <c r="D70" s="2">
        <v>45004</v>
      </c>
      <c r="E70" s="8" t="s">
        <v>25</v>
      </c>
      <c r="F70" s="8" t="s">
        <v>55</v>
      </c>
      <c r="G70" s="8" t="s">
        <v>26</v>
      </c>
      <c r="H70" t="s">
        <v>12</v>
      </c>
      <c r="I70" s="4">
        <v>500</v>
      </c>
      <c r="J70" s="8">
        <v>15</v>
      </c>
      <c r="K70" s="4">
        <f t="shared" si="2"/>
        <v>7500</v>
      </c>
      <c r="L70" s="4">
        <f t="shared" si="3"/>
        <v>1875</v>
      </c>
      <c r="M70" s="3">
        <v>0.25</v>
      </c>
    </row>
    <row r="71" spans="2:13" x14ac:dyDescent="0.3">
      <c r="B71" t="s">
        <v>60</v>
      </c>
      <c r="C71" s="1" t="s">
        <v>64</v>
      </c>
      <c r="D71" s="2">
        <v>45011</v>
      </c>
      <c r="E71" s="8" t="s">
        <v>25</v>
      </c>
      <c r="F71" s="8" t="s">
        <v>55</v>
      </c>
      <c r="G71" s="8" t="s">
        <v>26</v>
      </c>
      <c r="H71" t="s">
        <v>13</v>
      </c>
      <c r="I71" s="4">
        <v>3200</v>
      </c>
      <c r="J71" s="8">
        <v>10</v>
      </c>
      <c r="K71" s="4">
        <f t="shared" ref="K71:K93" si="4">I71*J71</f>
        <v>32000</v>
      </c>
      <c r="L71" s="4">
        <f t="shared" ref="L71:L93" si="5">K71*M71</f>
        <v>6400</v>
      </c>
      <c r="M71" s="3">
        <v>0.2</v>
      </c>
    </row>
    <row r="72" spans="2:13" x14ac:dyDescent="0.3">
      <c r="B72" t="s">
        <v>65</v>
      </c>
      <c r="C72" s="1" t="s">
        <v>63</v>
      </c>
      <c r="D72" s="2">
        <v>45018</v>
      </c>
      <c r="E72" s="8" t="s">
        <v>25</v>
      </c>
      <c r="F72" s="8" t="s">
        <v>55</v>
      </c>
      <c r="G72" s="8" t="s">
        <v>26</v>
      </c>
      <c r="H72" t="s">
        <v>14</v>
      </c>
      <c r="I72" s="4">
        <v>4500</v>
      </c>
      <c r="J72" s="8">
        <v>8</v>
      </c>
      <c r="K72" s="4">
        <f t="shared" si="4"/>
        <v>36000</v>
      </c>
      <c r="L72" s="4">
        <f t="shared" si="5"/>
        <v>9000</v>
      </c>
      <c r="M72" s="3">
        <v>0.25</v>
      </c>
    </row>
    <row r="73" spans="2:13" x14ac:dyDescent="0.3">
      <c r="B73" t="s">
        <v>60</v>
      </c>
      <c r="C73" s="1" t="s">
        <v>63</v>
      </c>
      <c r="D73" s="2">
        <v>45025</v>
      </c>
      <c r="E73" s="8" t="s">
        <v>25</v>
      </c>
      <c r="F73" s="8" t="s">
        <v>55</v>
      </c>
      <c r="G73" s="8" t="s">
        <v>26</v>
      </c>
      <c r="H73" t="s">
        <v>14</v>
      </c>
      <c r="I73" s="4">
        <v>4500</v>
      </c>
      <c r="J73" s="8">
        <v>4</v>
      </c>
      <c r="K73" s="4">
        <f t="shared" si="4"/>
        <v>18000</v>
      </c>
      <c r="L73" s="4">
        <f t="shared" si="5"/>
        <v>4500</v>
      </c>
      <c r="M73" s="3">
        <v>0.25</v>
      </c>
    </row>
    <row r="74" spans="2:13" x14ac:dyDescent="0.3">
      <c r="B74" t="s">
        <v>62</v>
      </c>
      <c r="C74" s="1" t="s">
        <v>63</v>
      </c>
      <c r="D74" s="2">
        <v>45032</v>
      </c>
      <c r="E74" s="8" t="s">
        <v>25</v>
      </c>
      <c r="F74" s="8" t="s">
        <v>55</v>
      </c>
      <c r="G74" s="8" t="s">
        <v>26</v>
      </c>
      <c r="H74" t="s">
        <v>14</v>
      </c>
      <c r="I74" s="4">
        <v>4500</v>
      </c>
      <c r="J74" s="8">
        <v>5</v>
      </c>
      <c r="K74" s="4">
        <f t="shared" si="4"/>
        <v>22500</v>
      </c>
      <c r="L74" s="4">
        <f t="shared" si="5"/>
        <v>5625</v>
      </c>
      <c r="M74" s="3">
        <v>0.25</v>
      </c>
    </row>
    <row r="75" spans="2:13" x14ac:dyDescent="0.3">
      <c r="B75" t="s">
        <v>61</v>
      </c>
      <c r="C75" s="1" t="s">
        <v>63</v>
      </c>
      <c r="D75" s="2">
        <v>45039</v>
      </c>
      <c r="E75" s="8" t="s">
        <v>25</v>
      </c>
      <c r="F75" s="8" t="s">
        <v>55</v>
      </c>
      <c r="G75" s="8" t="s">
        <v>26</v>
      </c>
      <c r="H75" t="s">
        <v>14</v>
      </c>
      <c r="I75" s="4">
        <v>4500</v>
      </c>
      <c r="J75" s="8">
        <v>6</v>
      </c>
      <c r="K75" s="4">
        <f t="shared" si="4"/>
        <v>27000</v>
      </c>
      <c r="L75" s="4">
        <f t="shared" si="5"/>
        <v>6750</v>
      </c>
      <c r="M75" s="3">
        <v>0.25</v>
      </c>
    </row>
    <row r="76" spans="2:13" x14ac:dyDescent="0.3">
      <c r="B76" t="s">
        <v>62</v>
      </c>
      <c r="C76" s="1" t="s">
        <v>63</v>
      </c>
      <c r="D76" s="2">
        <v>45046</v>
      </c>
      <c r="E76" s="8" t="s">
        <v>25</v>
      </c>
      <c r="F76" s="8" t="s">
        <v>55</v>
      </c>
      <c r="G76" s="8" t="s">
        <v>26</v>
      </c>
      <c r="H76" t="s">
        <v>8</v>
      </c>
      <c r="I76" s="4">
        <v>1200</v>
      </c>
      <c r="J76" s="8">
        <v>4</v>
      </c>
      <c r="K76" s="4">
        <f t="shared" si="4"/>
        <v>4800</v>
      </c>
      <c r="L76" s="4">
        <f t="shared" si="5"/>
        <v>1440</v>
      </c>
      <c r="M76" s="3">
        <v>0.3</v>
      </c>
    </row>
    <row r="77" spans="2:13" x14ac:dyDescent="0.3">
      <c r="B77" t="s">
        <v>66</v>
      </c>
      <c r="C77" s="1" t="s">
        <v>63</v>
      </c>
      <c r="D77" s="2">
        <v>45053</v>
      </c>
      <c r="E77" s="8" t="s">
        <v>25</v>
      </c>
      <c r="F77" s="8" t="s">
        <v>55</v>
      </c>
      <c r="G77" s="8" t="s">
        <v>26</v>
      </c>
      <c r="H77" t="s">
        <v>16</v>
      </c>
      <c r="I77" s="4">
        <v>3400</v>
      </c>
      <c r="J77" s="8">
        <v>1</v>
      </c>
      <c r="K77" s="4">
        <f t="shared" si="4"/>
        <v>3400</v>
      </c>
      <c r="L77" s="4">
        <f t="shared" si="5"/>
        <v>1190</v>
      </c>
      <c r="M77" s="3">
        <v>0.35</v>
      </c>
    </row>
    <row r="78" spans="2:13" x14ac:dyDescent="0.3">
      <c r="B78" t="s">
        <v>60</v>
      </c>
      <c r="C78" s="1" t="s">
        <v>64</v>
      </c>
      <c r="D78" s="2">
        <v>45060</v>
      </c>
      <c r="E78" s="8" t="s">
        <v>25</v>
      </c>
      <c r="F78" s="8" t="s">
        <v>55</v>
      </c>
      <c r="G78" s="8" t="s">
        <v>26</v>
      </c>
      <c r="H78" t="s">
        <v>12</v>
      </c>
      <c r="I78" s="4">
        <v>500</v>
      </c>
      <c r="J78" s="8">
        <v>10</v>
      </c>
      <c r="K78" s="4">
        <f t="shared" si="4"/>
        <v>5000</v>
      </c>
      <c r="L78" s="4">
        <f t="shared" si="5"/>
        <v>1250</v>
      </c>
      <c r="M78" s="3">
        <v>0.25</v>
      </c>
    </row>
    <row r="79" spans="2:13" x14ac:dyDescent="0.3">
      <c r="B79" t="s">
        <v>60</v>
      </c>
      <c r="C79" s="1" t="s">
        <v>63</v>
      </c>
      <c r="D79" s="2">
        <v>45067</v>
      </c>
      <c r="E79" s="8" t="s">
        <v>25</v>
      </c>
      <c r="F79" s="8" t="s">
        <v>55</v>
      </c>
      <c r="G79" s="8" t="s">
        <v>26</v>
      </c>
      <c r="H79" t="s">
        <v>16</v>
      </c>
      <c r="I79" s="4">
        <v>3400</v>
      </c>
      <c r="J79" s="8">
        <v>8</v>
      </c>
      <c r="K79" s="4">
        <f t="shared" si="4"/>
        <v>27200</v>
      </c>
      <c r="L79" s="4">
        <f t="shared" si="5"/>
        <v>9520</v>
      </c>
      <c r="M79" s="3">
        <v>0.35</v>
      </c>
    </row>
    <row r="80" spans="2:13" x14ac:dyDescent="0.3">
      <c r="B80" t="s">
        <v>65</v>
      </c>
      <c r="C80" s="1" t="s">
        <v>63</v>
      </c>
      <c r="D80" s="2">
        <v>45074</v>
      </c>
      <c r="E80" s="8" t="s">
        <v>25</v>
      </c>
      <c r="F80" s="8" t="s">
        <v>55</v>
      </c>
      <c r="G80" s="8" t="s">
        <v>26</v>
      </c>
      <c r="H80" t="s">
        <v>18</v>
      </c>
      <c r="I80" s="4">
        <v>4600</v>
      </c>
      <c r="J80" s="8">
        <v>12</v>
      </c>
      <c r="K80" s="4">
        <f t="shared" si="4"/>
        <v>55200</v>
      </c>
      <c r="L80" s="4">
        <f t="shared" si="5"/>
        <v>13800</v>
      </c>
      <c r="M80" s="3">
        <v>0.25</v>
      </c>
    </row>
    <row r="81" spans="2:13" x14ac:dyDescent="0.3">
      <c r="B81" t="s">
        <v>60</v>
      </c>
      <c r="C81" s="1" t="s">
        <v>64</v>
      </c>
      <c r="D81" s="2">
        <v>45081</v>
      </c>
      <c r="E81" s="8" t="s">
        <v>25</v>
      </c>
      <c r="F81" s="8" t="s">
        <v>55</v>
      </c>
      <c r="G81" s="8" t="s">
        <v>26</v>
      </c>
      <c r="H81" t="s">
        <v>12</v>
      </c>
      <c r="I81" s="4">
        <v>500</v>
      </c>
      <c r="J81" s="8">
        <v>10</v>
      </c>
      <c r="K81" s="4">
        <f t="shared" si="4"/>
        <v>5000</v>
      </c>
      <c r="L81" s="4">
        <f t="shared" si="5"/>
        <v>1250</v>
      </c>
      <c r="M81" s="3">
        <v>0.25</v>
      </c>
    </row>
    <row r="82" spans="2:13" x14ac:dyDescent="0.3">
      <c r="B82" t="s">
        <v>66</v>
      </c>
      <c r="C82" s="1" t="s">
        <v>63</v>
      </c>
      <c r="D82" s="2">
        <v>45088</v>
      </c>
      <c r="E82" s="8" t="s">
        <v>25</v>
      </c>
      <c r="F82" s="8" t="s">
        <v>55</v>
      </c>
      <c r="G82" s="8" t="s">
        <v>26</v>
      </c>
      <c r="H82" t="s">
        <v>17</v>
      </c>
      <c r="I82" s="4">
        <v>5130</v>
      </c>
      <c r="J82" s="8">
        <v>15</v>
      </c>
      <c r="K82" s="4">
        <f t="shared" si="4"/>
        <v>76950</v>
      </c>
      <c r="L82" s="4">
        <f t="shared" si="5"/>
        <v>30780</v>
      </c>
      <c r="M82" s="3">
        <v>0.4</v>
      </c>
    </row>
    <row r="83" spans="2:13" x14ac:dyDescent="0.3">
      <c r="B83" t="s">
        <v>61</v>
      </c>
      <c r="C83" s="1" t="s">
        <v>64</v>
      </c>
      <c r="D83" s="2">
        <v>45095</v>
      </c>
      <c r="E83" s="8" t="s">
        <v>25</v>
      </c>
      <c r="F83" s="8" t="s">
        <v>55</v>
      </c>
      <c r="G83" s="8" t="s">
        <v>26</v>
      </c>
      <c r="H83" t="s">
        <v>9</v>
      </c>
      <c r="I83" s="4">
        <v>1500</v>
      </c>
      <c r="J83" s="8">
        <v>1</v>
      </c>
      <c r="K83" s="4">
        <f t="shared" si="4"/>
        <v>1500</v>
      </c>
      <c r="L83" s="4">
        <f t="shared" si="5"/>
        <v>600</v>
      </c>
      <c r="M83" s="3">
        <v>0.4</v>
      </c>
    </row>
    <row r="84" spans="2:13" x14ac:dyDescent="0.3">
      <c r="B84" t="s">
        <v>65</v>
      </c>
      <c r="C84" s="1" t="s">
        <v>63</v>
      </c>
      <c r="D84" s="2">
        <v>45102</v>
      </c>
      <c r="E84" s="8" t="s">
        <v>25</v>
      </c>
      <c r="F84" s="8" t="s">
        <v>55</v>
      </c>
      <c r="G84" s="8" t="s">
        <v>26</v>
      </c>
      <c r="H84" t="s">
        <v>13</v>
      </c>
      <c r="I84" s="4">
        <v>3200</v>
      </c>
      <c r="J84" s="8">
        <v>11</v>
      </c>
      <c r="K84" s="4">
        <f t="shared" si="4"/>
        <v>35200</v>
      </c>
      <c r="L84" s="4">
        <f t="shared" si="5"/>
        <v>7040</v>
      </c>
      <c r="M84" s="3">
        <v>0.2</v>
      </c>
    </row>
    <row r="85" spans="2:13" x14ac:dyDescent="0.3">
      <c r="B85" t="s">
        <v>65</v>
      </c>
      <c r="C85" s="1" t="s">
        <v>63</v>
      </c>
      <c r="D85" s="2">
        <v>45109</v>
      </c>
      <c r="E85" s="8" t="s">
        <v>25</v>
      </c>
      <c r="F85" s="8" t="s">
        <v>55</v>
      </c>
      <c r="G85" s="8" t="s">
        <v>26</v>
      </c>
      <c r="H85" t="s">
        <v>19</v>
      </c>
      <c r="I85" s="4">
        <v>5340</v>
      </c>
      <c r="J85" s="8">
        <v>2</v>
      </c>
      <c r="K85" s="4">
        <f t="shared" si="4"/>
        <v>10680</v>
      </c>
      <c r="L85" s="4">
        <f t="shared" si="5"/>
        <v>3204</v>
      </c>
      <c r="M85" s="3">
        <v>0.3</v>
      </c>
    </row>
    <row r="86" spans="2:13" x14ac:dyDescent="0.3">
      <c r="B86" t="s">
        <v>60</v>
      </c>
      <c r="C86" s="1" t="s">
        <v>64</v>
      </c>
      <c r="D86" s="2">
        <v>45116</v>
      </c>
      <c r="E86" s="8" t="s">
        <v>25</v>
      </c>
      <c r="F86" s="8" t="s">
        <v>55</v>
      </c>
      <c r="G86" s="8" t="s">
        <v>26</v>
      </c>
      <c r="H86" t="s">
        <v>19</v>
      </c>
      <c r="I86" s="4">
        <v>5340</v>
      </c>
      <c r="J86" s="8">
        <v>1</v>
      </c>
      <c r="K86" s="4">
        <f t="shared" si="4"/>
        <v>5340</v>
      </c>
      <c r="L86" s="4">
        <f t="shared" si="5"/>
        <v>1602</v>
      </c>
      <c r="M86" s="3">
        <v>0.3</v>
      </c>
    </row>
    <row r="87" spans="2:13" x14ac:dyDescent="0.3">
      <c r="B87" t="s">
        <v>65</v>
      </c>
      <c r="C87" s="1" t="s">
        <v>64</v>
      </c>
      <c r="D87" s="2">
        <v>45123</v>
      </c>
      <c r="E87" s="8" t="s">
        <v>25</v>
      </c>
      <c r="F87" s="8" t="s">
        <v>55</v>
      </c>
      <c r="G87" s="8" t="s">
        <v>26</v>
      </c>
      <c r="H87" t="s">
        <v>12</v>
      </c>
      <c r="I87" s="4">
        <v>500</v>
      </c>
      <c r="J87" s="8">
        <v>5</v>
      </c>
      <c r="K87" s="4">
        <f t="shared" si="4"/>
        <v>2500</v>
      </c>
      <c r="L87" s="4">
        <f t="shared" si="5"/>
        <v>625</v>
      </c>
      <c r="M87" s="3">
        <v>0.25</v>
      </c>
    </row>
    <row r="88" spans="2:13" x14ac:dyDescent="0.3">
      <c r="B88" t="s">
        <v>65</v>
      </c>
      <c r="C88" s="1" t="s">
        <v>64</v>
      </c>
      <c r="D88" s="2">
        <v>45130</v>
      </c>
      <c r="E88" s="8" t="s">
        <v>25</v>
      </c>
      <c r="F88" s="8" t="s">
        <v>55</v>
      </c>
      <c r="G88" s="8" t="s">
        <v>26</v>
      </c>
      <c r="H88" t="s">
        <v>19</v>
      </c>
      <c r="I88" s="4">
        <v>5340</v>
      </c>
      <c r="J88" s="8">
        <v>12</v>
      </c>
      <c r="K88" s="4">
        <f t="shared" si="4"/>
        <v>64080</v>
      </c>
      <c r="L88" s="4">
        <f t="shared" si="5"/>
        <v>19224</v>
      </c>
      <c r="M88" s="3">
        <v>0.3</v>
      </c>
    </row>
    <row r="89" spans="2:13" x14ac:dyDescent="0.3">
      <c r="B89" t="s">
        <v>61</v>
      </c>
      <c r="C89" s="1" t="s">
        <v>63</v>
      </c>
      <c r="D89" s="2">
        <v>45137</v>
      </c>
      <c r="E89" s="8" t="s">
        <v>25</v>
      </c>
      <c r="F89" s="8" t="s">
        <v>55</v>
      </c>
      <c r="G89" s="8" t="s">
        <v>26</v>
      </c>
      <c r="H89" t="s">
        <v>8</v>
      </c>
      <c r="I89" s="4">
        <v>1200</v>
      </c>
      <c r="J89" s="8">
        <v>8</v>
      </c>
      <c r="K89" s="4">
        <f t="shared" si="4"/>
        <v>9600</v>
      </c>
      <c r="L89" s="4">
        <f t="shared" si="5"/>
        <v>2880</v>
      </c>
      <c r="M89" s="3">
        <v>0.3</v>
      </c>
    </row>
    <row r="90" spans="2:13" x14ac:dyDescent="0.3">
      <c r="B90" t="s">
        <v>65</v>
      </c>
      <c r="C90" s="1" t="s">
        <v>64</v>
      </c>
      <c r="D90" s="2">
        <v>45144</v>
      </c>
      <c r="E90" s="8" t="s">
        <v>25</v>
      </c>
      <c r="F90" s="8" t="s">
        <v>55</v>
      </c>
      <c r="G90" s="8" t="s">
        <v>26</v>
      </c>
      <c r="H90" t="s">
        <v>15</v>
      </c>
      <c r="I90" s="4">
        <v>5300</v>
      </c>
      <c r="J90" s="8">
        <v>8</v>
      </c>
      <c r="K90" s="4">
        <f t="shared" si="4"/>
        <v>42400</v>
      </c>
      <c r="L90" s="4">
        <f t="shared" si="5"/>
        <v>12720</v>
      </c>
      <c r="M90" s="3">
        <v>0.3</v>
      </c>
    </row>
    <row r="91" spans="2:13" x14ac:dyDescent="0.3">
      <c r="B91" t="s">
        <v>62</v>
      </c>
      <c r="C91" s="1" t="s">
        <v>63</v>
      </c>
      <c r="D91" s="2">
        <v>45151</v>
      </c>
      <c r="E91" s="8" t="s">
        <v>25</v>
      </c>
      <c r="F91" s="8" t="s">
        <v>55</v>
      </c>
      <c r="G91" s="8" t="s">
        <v>26</v>
      </c>
      <c r="H91" t="s">
        <v>20</v>
      </c>
      <c r="I91" s="4">
        <v>8902</v>
      </c>
      <c r="J91" s="8">
        <v>11</v>
      </c>
      <c r="K91" s="4">
        <f t="shared" si="4"/>
        <v>97922</v>
      </c>
      <c r="L91" s="4">
        <f t="shared" si="5"/>
        <v>34272.699999999997</v>
      </c>
      <c r="M91" s="3">
        <v>0.35</v>
      </c>
    </row>
    <row r="92" spans="2:13" x14ac:dyDescent="0.3">
      <c r="B92" t="s">
        <v>60</v>
      </c>
      <c r="C92" s="1" t="s">
        <v>63</v>
      </c>
      <c r="D92" s="2">
        <v>45158</v>
      </c>
      <c r="E92" s="8" t="s">
        <v>25</v>
      </c>
      <c r="F92" s="8" t="s">
        <v>55</v>
      </c>
      <c r="G92" s="8" t="s">
        <v>26</v>
      </c>
      <c r="H92" t="s">
        <v>20</v>
      </c>
      <c r="I92" s="4">
        <v>8902</v>
      </c>
      <c r="J92" s="8">
        <v>12</v>
      </c>
      <c r="K92" s="4">
        <f t="shared" si="4"/>
        <v>106824</v>
      </c>
      <c r="L92" s="4">
        <f t="shared" si="5"/>
        <v>37388.399999999994</v>
      </c>
      <c r="M92" s="3">
        <v>0.35</v>
      </c>
    </row>
    <row r="93" spans="2:13" x14ac:dyDescent="0.3">
      <c r="B93" t="s">
        <v>62</v>
      </c>
      <c r="C93" s="1" t="s">
        <v>63</v>
      </c>
      <c r="D93" s="2">
        <v>45165</v>
      </c>
      <c r="E93" s="8" t="s">
        <v>25</v>
      </c>
      <c r="F93" s="8" t="s">
        <v>55</v>
      </c>
      <c r="G93" s="8" t="s">
        <v>26</v>
      </c>
      <c r="H93" t="s">
        <v>14</v>
      </c>
      <c r="I93" s="4">
        <v>4500</v>
      </c>
      <c r="J93" s="8">
        <v>3</v>
      </c>
      <c r="K93" s="4">
        <f t="shared" si="4"/>
        <v>13500</v>
      </c>
      <c r="L93" s="4">
        <f t="shared" si="5"/>
        <v>3375</v>
      </c>
      <c r="M93" s="3">
        <v>0.25</v>
      </c>
    </row>
    <row r="94" spans="2:13" x14ac:dyDescent="0.3">
      <c r="B94" t="s">
        <v>65</v>
      </c>
      <c r="C94" s="1" t="s">
        <v>64</v>
      </c>
      <c r="D94" s="2">
        <v>44562</v>
      </c>
      <c r="E94" s="8" t="s">
        <v>25</v>
      </c>
      <c r="F94" s="8" t="s">
        <v>74</v>
      </c>
      <c r="G94" s="8" t="s">
        <v>75</v>
      </c>
      <c r="H94" t="s">
        <v>20</v>
      </c>
      <c r="I94" s="4">
        <v>8902</v>
      </c>
      <c r="J94" s="8">
        <v>13</v>
      </c>
      <c r="K94" s="4">
        <v>35608</v>
      </c>
      <c r="L94" s="4">
        <v>12462.8</v>
      </c>
      <c r="M94" s="3">
        <v>0.35</v>
      </c>
    </row>
    <row r="95" spans="2:13" x14ac:dyDescent="0.3">
      <c r="B95" t="s">
        <v>65</v>
      </c>
      <c r="C95" s="1" t="s">
        <v>64</v>
      </c>
      <c r="D95" s="2">
        <v>44577</v>
      </c>
      <c r="E95" s="8" t="s">
        <v>25</v>
      </c>
      <c r="F95" s="8" t="s">
        <v>74</v>
      </c>
      <c r="G95" s="8" t="s">
        <v>75</v>
      </c>
      <c r="H95" t="s">
        <v>12</v>
      </c>
      <c r="I95" s="4">
        <v>500</v>
      </c>
      <c r="J95" s="8">
        <v>13</v>
      </c>
      <c r="K95" s="4">
        <v>2000</v>
      </c>
      <c r="L95" s="4">
        <v>500</v>
      </c>
      <c r="M95" s="3">
        <v>0.25</v>
      </c>
    </row>
    <row r="96" spans="2:13" x14ac:dyDescent="0.3">
      <c r="B96" t="s">
        <v>65</v>
      </c>
      <c r="C96" s="1" t="s">
        <v>63</v>
      </c>
      <c r="D96" s="2">
        <v>44584</v>
      </c>
      <c r="E96" s="8" t="s">
        <v>25</v>
      </c>
      <c r="F96" s="8" t="s">
        <v>74</v>
      </c>
      <c r="G96" s="8" t="s">
        <v>75</v>
      </c>
      <c r="H96" t="s">
        <v>8</v>
      </c>
      <c r="I96" s="4">
        <v>1200</v>
      </c>
      <c r="J96" s="8">
        <v>13</v>
      </c>
      <c r="K96" s="4">
        <v>6000</v>
      </c>
      <c r="L96" s="4">
        <v>1800</v>
      </c>
      <c r="M96" s="3">
        <v>0.3</v>
      </c>
    </row>
    <row r="97" spans="2:13" x14ac:dyDescent="0.3">
      <c r="B97" t="s">
        <v>65</v>
      </c>
      <c r="C97" s="1" t="s">
        <v>63</v>
      </c>
      <c r="D97" s="2">
        <v>44591</v>
      </c>
      <c r="E97" s="8" t="s">
        <v>25</v>
      </c>
      <c r="F97" s="8" t="s">
        <v>74</v>
      </c>
      <c r="G97" s="8" t="s">
        <v>75</v>
      </c>
      <c r="H97" t="s">
        <v>12</v>
      </c>
      <c r="I97" s="4">
        <v>500</v>
      </c>
      <c r="J97" s="8">
        <v>12</v>
      </c>
      <c r="K97" s="4">
        <v>6000</v>
      </c>
      <c r="L97" s="4">
        <v>1500</v>
      </c>
      <c r="M97" s="3">
        <v>0.25</v>
      </c>
    </row>
    <row r="98" spans="2:13" x14ac:dyDescent="0.3">
      <c r="B98" t="s">
        <v>62</v>
      </c>
      <c r="C98" s="1" t="s">
        <v>63</v>
      </c>
      <c r="D98" s="2">
        <v>44598</v>
      </c>
      <c r="E98" s="8" t="s">
        <v>25</v>
      </c>
      <c r="F98" s="8" t="s">
        <v>74</v>
      </c>
      <c r="G98" s="8" t="s">
        <v>75</v>
      </c>
      <c r="H98" t="s">
        <v>20</v>
      </c>
      <c r="I98" s="4">
        <v>8902</v>
      </c>
      <c r="J98" s="8">
        <v>9</v>
      </c>
      <c r="K98" s="4">
        <v>80118</v>
      </c>
      <c r="L98" s="4">
        <v>28041.3</v>
      </c>
      <c r="M98" s="3">
        <v>0.35</v>
      </c>
    </row>
    <row r="99" spans="2:13" x14ac:dyDescent="0.3">
      <c r="B99" t="s">
        <v>65</v>
      </c>
      <c r="C99" s="1" t="s">
        <v>64</v>
      </c>
      <c r="D99" s="2">
        <v>44605</v>
      </c>
      <c r="E99" s="8" t="s">
        <v>25</v>
      </c>
      <c r="F99" s="8" t="s">
        <v>74</v>
      </c>
      <c r="G99" s="8" t="s">
        <v>75</v>
      </c>
      <c r="H99" t="s">
        <v>17</v>
      </c>
      <c r="I99" s="4">
        <v>5130</v>
      </c>
      <c r="J99" s="8">
        <v>2</v>
      </c>
      <c r="K99" s="4">
        <v>10260</v>
      </c>
      <c r="L99" s="4">
        <v>4104</v>
      </c>
      <c r="M99" s="3">
        <v>0.4</v>
      </c>
    </row>
    <row r="100" spans="2:13" x14ac:dyDescent="0.3">
      <c r="B100" t="s">
        <v>65</v>
      </c>
      <c r="C100" s="1" t="s">
        <v>63</v>
      </c>
      <c r="D100" s="2">
        <v>44612</v>
      </c>
      <c r="E100" s="8" t="s">
        <v>25</v>
      </c>
      <c r="F100" s="8" t="s">
        <v>74</v>
      </c>
      <c r="G100" s="8" t="s">
        <v>75</v>
      </c>
      <c r="H100" t="s">
        <v>20</v>
      </c>
      <c r="I100" s="4">
        <v>8902</v>
      </c>
      <c r="J100" s="8">
        <v>6</v>
      </c>
      <c r="K100" s="4">
        <v>53412</v>
      </c>
      <c r="L100" s="4">
        <v>18694.199999999997</v>
      </c>
      <c r="M100" s="3">
        <v>0.35</v>
      </c>
    </row>
    <row r="101" spans="2:13" x14ac:dyDescent="0.3">
      <c r="B101" t="s">
        <v>66</v>
      </c>
      <c r="C101" s="1" t="s">
        <v>63</v>
      </c>
      <c r="D101" s="2">
        <v>44619</v>
      </c>
      <c r="E101" s="8" t="s">
        <v>25</v>
      </c>
      <c r="F101" s="8" t="s">
        <v>74</v>
      </c>
      <c r="G101" s="8" t="s">
        <v>75</v>
      </c>
      <c r="H101" t="s">
        <v>11</v>
      </c>
      <c r="I101" s="4">
        <v>300</v>
      </c>
      <c r="J101" s="8">
        <v>1</v>
      </c>
      <c r="K101" s="4">
        <v>300</v>
      </c>
      <c r="L101" s="4">
        <v>45</v>
      </c>
      <c r="M101" s="3">
        <v>0.15</v>
      </c>
    </row>
    <row r="102" spans="2:13" x14ac:dyDescent="0.3">
      <c r="B102" t="s">
        <v>62</v>
      </c>
      <c r="C102" s="1" t="s">
        <v>64</v>
      </c>
      <c r="D102" s="2">
        <v>44626</v>
      </c>
      <c r="E102" s="8" t="s">
        <v>25</v>
      </c>
      <c r="F102" s="8" t="s">
        <v>74</v>
      </c>
      <c r="G102" s="8" t="s">
        <v>75</v>
      </c>
      <c r="H102" t="s">
        <v>10</v>
      </c>
      <c r="I102" s="4">
        <v>1700</v>
      </c>
      <c r="J102" s="8">
        <v>10</v>
      </c>
      <c r="K102" s="4">
        <v>17000</v>
      </c>
      <c r="L102" s="4">
        <v>8500</v>
      </c>
      <c r="M102" s="3">
        <v>0.5</v>
      </c>
    </row>
    <row r="103" spans="2:13" x14ac:dyDescent="0.3">
      <c r="B103" t="s">
        <v>60</v>
      </c>
      <c r="C103" s="1" t="s">
        <v>64</v>
      </c>
      <c r="D103" s="2">
        <v>44633</v>
      </c>
      <c r="E103" s="8" t="s">
        <v>25</v>
      </c>
      <c r="F103" s="8" t="s">
        <v>74</v>
      </c>
      <c r="G103" s="8" t="s">
        <v>75</v>
      </c>
      <c r="H103" t="s">
        <v>9</v>
      </c>
      <c r="I103" s="4">
        <v>1500</v>
      </c>
      <c r="J103" s="8">
        <v>3</v>
      </c>
      <c r="K103" s="4">
        <v>4500</v>
      </c>
      <c r="L103" s="4">
        <v>1800</v>
      </c>
      <c r="M103" s="3">
        <v>0.4</v>
      </c>
    </row>
    <row r="104" spans="2:13" x14ac:dyDescent="0.3">
      <c r="B104" t="s">
        <v>62</v>
      </c>
      <c r="C104" s="1" t="s">
        <v>63</v>
      </c>
      <c r="D104" s="2">
        <v>44640</v>
      </c>
      <c r="E104" s="8" t="s">
        <v>25</v>
      </c>
      <c r="F104" s="8" t="s">
        <v>74</v>
      </c>
      <c r="G104" s="8" t="s">
        <v>75</v>
      </c>
      <c r="H104" t="s">
        <v>19</v>
      </c>
      <c r="I104" s="4">
        <v>5340</v>
      </c>
      <c r="J104" s="8">
        <v>12</v>
      </c>
      <c r="K104" s="4">
        <v>64080</v>
      </c>
      <c r="L104" s="4">
        <v>19224</v>
      </c>
      <c r="M104" s="3">
        <v>0.3</v>
      </c>
    </row>
    <row r="105" spans="2:13" x14ac:dyDescent="0.3">
      <c r="B105" t="s">
        <v>65</v>
      </c>
      <c r="C105" s="1" t="s">
        <v>63</v>
      </c>
      <c r="D105" s="2">
        <v>44647</v>
      </c>
      <c r="E105" s="8" t="s">
        <v>25</v>
      </c>
      <c r="F105" s="8" t="s">
        <v>74</v>
      </c>
      <c r="G105" s="8" t="s">
        <v>75</v>
      </c>
      <c r="H105" t="s">
        <v>20</v>
      </c>
      <c r="I105" s="4">
        <v>8902</v>
      </c>
      <c r="J105" s="8">
        <v>2</v>
      </c>
      <c r="K105" s="4">
        <v>17804</v>
      </c>
      <c r="L105" s="4">
        <v>6231.4</v>
      </c>
      <c r="M105" s="3">
        <v>0.35</v>
      </c>
    </row>
    <row r="106" spans="2:13" x14ac:dyDescent="0.3">
      <c r="B106" t="s">
        <v>65</v>
      </c>
      <c r="C106" s="1" t="s">
        <v>63</v>
      </c>
      <c r="D106" s="2">
        <v>44654</v>
      </c>
      <c r="E106" s="8" t="s">
        <v>25</v>
      </c>
      <c r="F106" s="8" t="s">
        <v>74</v>
      </c>
      <c r="G106" s="8" t="s">
        <v>75</v>
      </c>
      <c r="H106" t="s">
        <v>17</v>
      </c>
      <c r="I106" s="4">
        <v>5130</v>
      </c>
      <c r="J106" s="8">
        <v>8</v>
      </c>
      <c r="K106" s="4">
        <v>41040</v>
      </c>
      <c r="L106" s="4">
        <v>16416</v>
      </c>
      <c r="M106" s="3">
        <v>0.4</v>
      </c>
    </row>
    <row r="107" spans="2:13" x14ac:dyDescent="0.3">
      <c r="B107" t="s">
        <v>60</v>
      </c>
      <c r="C107" s="1" t="s">
        <v>63</v>
      </c>
      <c r="D107" s="2">
        <v>44661</v>
      </c>
      <c r="E107" s="8" t="s">
        <v>25</v>
      </c>
      <c r="F107" s="8" t="s">
        <v>74</v>
      </c>
      <c r="G107" s="8" t="s">
        <v>75</v>
      </c>
      <c r="H107" t="s">
        <v>20</v>
      </c>
      <c r="I107" s="4">
        <v>8902</v>
      </c>
      <c r="J107" s="8">
        <v>3</v>
      </c>
      <c r="K107" s="4">
        <v>26706</v>
      </c>
      <c r="L107" s="4">
        <v>9347.0999999999985</v>
      </c>
      <c r="M107" s="3">
        <v>0.35</v>
      </c>
    </row>
    <row r="108" spans="2:13" x14ac:dyDescent="0.3">
      <c r="B108" t="s">
        <v>62</v>
      </c>
      <c r="C108" s="1" t="s">
        <v>64</v>
      </c>
      <c r="D108" s="2">
        <v>44668</v>
      </c>
      <c r="E108" s="8" t="s">
        <v>25</v>
      </c>
      <c r="F108" s="8" t="s">
        <v>74</v>
      </c>
      <c r="G108" s="8" t="s">
        <v>75</v>
      </c>
      <c r="H108" t="s">
        <v>16</v>
      </c>
      <c r="I108" s="4">
        <v>3400</v>
      </c>
      <c r="J108" s="8">
        <v>8</v>
      </c>
      <c r="K108" s="4">
        <v>27200</v>
      </c>
      <c r="L108" s="4">
        <v>9520</v>
      </c>
      <c r="M108" s="3">
        <v>0.35</v>
      </c>
    </row>
    <row r="109" spans="2:13" x14ac:dyDescent="0.3">
      <c r="B109" t="s">
        <v>62</v>
      </c>
      <c r="C109" s="1" t="s">
        <v>63</v>
      </c>
      <c r="D109" s="2">
        <v>44675</v>
      </c>
      <c r="E109" s="8" t="s">
        <v>25</v>
      </c>
      <c r="F109" s="8" t="s">
        <v>74</v>
      </c>
      <c r="G109" s="8" t="s">
        <v>75</v>
      </c>
      <c r="H109" t="s">
        <v>15</v>
      </c>
      <c r="I109" s="4">
        <v>5300</v>
      </c>
      <c r="J109" s="8">
        <v>10</v>
      </c>
      <c r="K109" s="4">
        <v>53000</v>
      </c>
      <c r="L109" s="4">
        <v>15900</v>
      </c>
      <c r="M109" s="3">
        <v>0.3</v>
      </c>
    </row>
    <row r="110" spans="2:13" x14ac:dyDescent="0.3">
      <c r="B110" t="s">
        <v>65</v>
      </c>
      <c r="C110" s="1" t="s">
        <v>64</v>
      </c>
      <c r="D110" s="2">
        <v>44682</v>
      </c>
      <c r="E110" s="8" t="s">
        <v>25</v>
      </c>
      <c r="F110" s="8" t="s">
        <v>74</v>
      </c>
      <c r="G110" s="8" t="s">
        <v>75</v>
      </c>
      <c r="H110" t="s">
        <v>20</v>
      </c>
      <c r="I110" s="4">
        <v>8902</v>
      </c>
      <c r="J110" s="8">
        <v>11</v>
      </c>
      <c r="K110" s="4">
        <v>97922</v>
      </c>
      <c r="L110" s="4">
        <v>34272.699999999997</v>
      </c>
      <c r="M110" s="3">
        <v>0.35</v>
      </c>
    </row>
    <row r="111" spans="2:13" x14ac:dyDescent="0.3">
      <c r="B111" t="s">
        <v>65</v>
      </c>
      <c r="C111" s="1" t="s">
        <v>63</v>
      </c>
      <c r="D111" s="2">
        <v>44689</v>
      </c>
      <c r="E111" s="8" t="s">
        <v>25</v>
      </c>
      <c r="F111" s="8" t="s">
        <v>74</v>
      </c>
      <c r="G111" s="8" t="s">
        <v>75</v>
      </c>
      <c r="H111" t="s">
        <v>17</v>
      </c>
      <c r="I111" s="4">
        <v>5130</v>
      </c>
      <c r="J111" s="8">
        <v>2</v>
      </c>
      <c r="K111" s="4">
        <v>10260</v>
      </c>
      <c r="L111" s="4">
        <v>4104</v>
      </c>
      <c r="M111" s="3">
        <v>0.4</v>
      </c>
    </row>
    <row r="112" spans="2:13" x14ac:dyDescent="0.3">
      <c r="B112" t="s">
        <v>66</v>
      </c>
      <c r="C112" s="1" t="s">
        <v>64</v>
      </c>
      <c r="D112" s="2">
        <v>44696</v>
      </c>
      <c r="E112" s="8" t="s">
        <v>25</v>
      </c>
      <c r="F112" s="8" t="s">
        <v>74</v>
      </c>
      <c r="G112" s="8" t="s">
        <v>75</v>
      </c>
      <c r="H112" t="s">
        <v>11</v>
      </c>
      <c r="I112" s="4">
        <v>300</v>
      </c>
      <c r="J112" s="8">
        <v>11</v>
      </c>
      <c r="K112" s="4">
        <v>3300</v>
      </c>
      <c r="L112" s="4">
        <v>495</v>
      </c>
      <c r="M112" s="3">
        <v>0.15</v>
      </c>
    </row>
    <row r="113" spans="2:13" x14ac:dyDescent="0.3">
      <c r="B113" t="s">
        <v>60</v>
      </c>
      <c r="C113" s="1" t="s">
        <v>63</v>
      </c>
      <c r="D113" s="2">
        <v>44703</v>
      </c>
      <c r="E113" s="8" t="s">
        <v>25</v>
      </c>
      <c r="F113" s="8" t="s">
        <v>74</v>
      </c>
      <c r="G113" s="8" t="s">
        <v>75</v>
      </c>
      <c r="H113" t="s">
        <v>13</v>
      </c>
      <c r="I113" s="4">
        <v>3200</v>
      </c>
      <c r="J113" s="8">
        <v>5</v>
      </c>
      <c r="K113" s="4">
        <v>16000</v>
      </c>
      <c r="L113" s="4">
        <v>3200</v>
      </c>
      <c r="M113" s="3">
        <v>0.2</v>
      </c>
    </row>
    <row r="114" spans="2:13" x14ac:dyDescent="0.3">
      <c r="B114" t="s">
        <v>65</v>
      </c>
      <c r="C114" s="1" t="s">
        <v>63</v>
      </c>
      <c r="D114" s="2">
        <v>44710</v>
      </c>
      <c r="E114" s="8" t="s">
        <v>25</v>
      </c>
      <c r="F114" s="8" t="s">
        <v>74</v>
      </c>
      <c r="G114" s="8" t="s">
        <v>75</v>
      </c>
      <c r="H114" t="s">
        <v>20</v>
      </c>
      <c r="I114" s="4">
        <v>8902</v>
      </c>
      <c r="J114" s="8">
        <v>2</v>
      </c>
      <c r="K114" s="4">
        <v>17804</v>
      </c>
      <c r="L114" s="4">
        <v>6231.4</v>
      </c>
      <c r="M114" s="3">
        <v>0.35</v>
      </c>
    </row>
    <row r="115" spans="2:13" x14ac:dyDescent="0.3">
      <c r="B115" t="s">
        <v>62</v>
      </c>
      <c r="C115" s="1" t="s">
        <v>63</v>
      </c>
      <c r="D115" s="2">
        <v>44717</v>
      </c>
      <c r="E115" s="8" t="s">
        <v>25</v>
      </c>
      <c r="F115" s="8" t="s">
        <v>74</v>
      </c>
      <c r="G115" s="8" t="s">
        <v>75</v>
      </c>
      <c r="H115" t="s">
        <v>11</v>
      </c>
      <c r="I115" s="4">
        <v>300</v>
      </c>
      <c r="J115" s="8">
        <v>10</v>
      </c>
      <c r="K115" s="4">
        <v>3000</v>
      </c>
      <c r="L115" s="4">
        <v>450</v>
      </c>
      <c r="M115" s="3">
        <v>0.15</v>
      </c>
    </row>
    <row r="116" spans="2:13" x14ac:dyDescent="0.3">
      <c r="B116" t="s">
        <v>66</v>
      </c>
      <c r="C116" s="1" t="s">
        <v>64</v>
      </c>
      <c r="D116" s="2">
        <v>44724</v>
      </c>
      <c r="E116" s="8" t="s">
        <v>25</v>
      </c>
      <c r="F116" s="8" t="s">
        <v>74</v>
      </c>
      <c r="G116" s="8" t="s">
        <v>75</v>
      </c>
      <c r="H116" t="s">
        <v>13</v>
      </c>
      <c r="I116" s="4">
        <v>3200</v>
      </c>
      <c r="J116" s="8">
        <v>12</v>
      </c>
      <c r="K116" s="4">
        <v>38400</v>
      </c>
      <c r="L116" s="4">
        <v>7680</v>
      </c>
      <c r="M116" s="3">
        <v>0.2</v>
      </c>
    </row>
    <row r="117" spans="2:13" x14ac:dyDescent="0.3">
      <c r="B117" t="s">
        <v>65</v>
      </c>
      <c r="C117" s="1" t="s">
        <v>63</v>
      </c>
      <c r="D117" s="2">
        <v>44731</v>
      </c>
      <c r="E117" s="8" t="s">
        <v>25</v>
      </c>
      <c r="F117" s="8" t="s">
        <v>74</v>
      </c>
      <c r="G117" s="8" t="s">
        <v>75</v>
      </c>
      <c r="H117" t="s">
        <v>18</v>
      </c>
      <c r="I117" s="4">
        <v>4600</v>
      </c>
      <c r="J117" s="8">
        <v>7</v>
      </c>
      <c r="K117" s="4">
        <v>32200</v>
      </c>
      <c r="L117" s="4">
        <v>8050</v>
      </c>
      <c r="M117" s="3">
        <v>0.25</v>
      </c>
    </row>
    <row r="118" spans="2:13" x14ac:dyDescent="0.3">
      <c r="B118" t="s">
        <v>66</v>
      </c>
      <c r="C118" s="1" t="s">
        <v>64</v>
      </c>
      <c r="D118" s="2">
        <v>44738</v>
      </c>
      <c r="E118" s="8" t="s">
        <v>25</v>
      </c>
      <c r="F118" s="8" t="s">
        <v>74</v>
      </c>
      <c r="G118" s="8" t="s">
        <v>75</v>
      </c>
      <c r="H118" t="s">
        <v>8</v>
      </c>
      <c r="I118" s="4">
        <v>1200</v>
      </c>
      <c r="J118" s="8">
        <v>9</v>
      </c>
      <c r="K118" s="4">
        <v>10800</v>
      </c>
      <c r="L118" s="4">
        <v>3240</v>
      </c>
      <c r="M118" s="3">
        <v>0.3</v>
      </c>
    </row>
    <row r="119" spans="2:13" x14ac:dyDescent="0.3">
      <c r="B119" t="s">
        <v>60</v>
      </c>
      <c r="C119" s="1" t="s">
        <v>64</v>
      </c>
      <c r="D119" s="2">
        <v>44745</v>
      </c>
      <c r="E119" s="8" t="s">
        <v>25</v>
      </c>
      <c r="F119" s="8" t="s">
        <v>74</v>
      </c>
      <c r="G119" s="8" t="s">
        <v>75</v>
      </c>
      <c r="H119" t="s">
        <v>18</v>
      </c>
      <c r="I119" s="4">
        <v>4600</v>
      </c>
      <c r="J119" s="8">
        <v>11</v>
      </c>
      <c r="K119" s="4">
        <v>50600</v>
      </c>
      <c r="L119" s="4">
        <v>12650</v>
      </c>
      <c r="M119" s="3">
        <v>0.25</v>
      </c>
    </row>
    <row r="120" spans="2:13" x14ac:dyDescent="0.3">
      <c r="B120" t="s">
        <v>61</v>
      </c>
      <c r="C120" s="1" t="s">
        <v>63</v>
      </c>
      <c r="D120" s="2">
        <v>44752</v>
      </c>
      <c r="E120" s="8" t="s">
        <v>25</v>
      </c>
      <c r="F120" s="8" t="s">
        <v>74</v>
      </c>
      <c r="G120" s="8" t="s">
        <v>75</v>
      </c>
      <c r="H120" t="s">
        <v>19</v>
      </c>
      <c r="I120" s="4">
        <v>5340</v>
      </c>
      <c r="J120" s="8">
        <v>9</v>
      </c>
      <c r="K120" s="4">
        <v>48060</v>
      </c>
      <c r="L120" s="4">
        <v>14418</v>
      </c>
      <c r="M120" s="3">
        <v>0.3</v>
      </c>
    </row>
    <row r="121" spans="2:13" x14ac:dyDescent="0.3">
      <c r="B121" t="s">
        <v>65</v>
      </c>
      <c r="C121" s="1" t="s">
        <v>63</v>
      </c>
      <c r="D121" s="2">
        <v>44759</v>
      </c>
      <c r="E121" s="8" t="s">
        <v>25</v>
      </c>
      <c r="F121" s="8" t="s">
        <v>74</v>
      </c>
      <c r="G121" s="8" t="s">
        <v>75</v>
      </c>
      <c r="H121" t="s">
        <v>15</v>
      </c>
      <c r="I121" s="4">
        <v>5300</v>
      </c>
      <c r="J121" s="8">
        <v>5</v>
      </c>
      <c r="K121" s="4">
        <v>26500</v>
      </c>
      <c r="L121" s="4">
        <v>7950</v>
      </c>
      <c r="M121" s="3">
        <v>0.3</v>
      </c>
    </row>
    <row r="122" spans="2:13" x14ac:dyDescent="0.3">
      <c r="B122" t="s">
        <v>65</v>
      </c>
      <c r="C122" s="1" t="s">
        <v>63</v>
      </c>
      <c r="D122" s="2">
        <v>44766</v>
      </c>
      <c r="E122" s="8" t="s">
        <v>25</v>
      </c>
      <c r="F122" s="8" t="s">
        <v>74</v>
      </c>
      <c r="G122" s="8" t="s">
        <v>75</v>
      </c>
      <c r="H122" t="s">
        <v>9</v>
      </c>
      <c r="I122" s="4">
        <v>1500</v>
      </c>
      <c r="J122" s="8">
        <v>3</v>
      </c>
      <c r="K122" s="4">
        <v>4500</v>
      </c>
      <c r="L122" s="4">
        <v>1800</v>
      </c>
      <c r="M122" s="3">
        <v>0.4</v>
      </c>
    </row>
    <row r="123" spans="2:13" x14ac:dyDescent="0.3">
      <c r="B123" t="s">
        <v>62</v>
      </c>
      <c r="C123" s="1" t="s">
        <v>63</v>
      </c>
      <c r="D123" s="2">
        <v>44766</v>
      </c>
      <c r="E123" s="8" t="s">
        <v>25</v>
      </c>
      <c r="F123" s="8" t="s">
        <v>74</v>
      </c>
      <c r="G123" s="8" t="s">
        <v>75</v>
      </c>
      <c r="H123" t="s">
        <v>13</v>
      </c>
      <c r="I123" s="4">
        <v>3200</v>
      </c>
      <c r="J123" s="8">
        <v>10</v>
      </c>
      <c r="K123" s="4">
        <v>32000</v>
      </c>
      <c r="L123" s="4">
        <v>6400</v>
      </c>
      <c r="M123" s="3">
        <v>0.2</v>
      </c>
    </row>
    <row r="124" spans="2:13" x14ac:dyDescent="0.3">
      <c r="B124" t="s">
        <v>65</v>
      </c>
      <c r="C124" s="1" t="s">
        <v>64</v>
      </c>
      <c r="D124" s="2">
        <v>44773</v>
      </c>
      <c r="E124" s="8" t="s">
        <v>25</v>
      </c>
      <c r="F124" s="8" t="s">
        <v>74</v>
      </c>
      <c r="G124" s="8" t="s">
        <v>75</v>
      </c>
      <c r="H124" t="s">
        <v>9</v>
      </c>
      <c r="I124" s="4">
        <v>1500</v>
      </c>
      <c r="J124" s="8">
        <v>8</v>
      </c>
      <c r="K124" s="4">
        <v>12000</v>
      </c>
      <c r="L124" s="4">
        <v>4800</v>
      </c>
      <c r="M124" s="3">
        <v>0.4</v>
      </c>
    </row>
    <row r="125" spans="2:13" x14ac:dyDescent="0.3">
      <c r="B125" t="s">
        <v>66</v>
      </c>
      <c r="C125" s="1" t="s">
        <v>64</v>
      </c>
      <c r="D125" s="2">
        <v>44780</v>
      </c>
      <c r="E125" s="8" t="s">
        <v>25</v>
      </c>
      <c r="F125" s="8" t="s">
        <v>74</v>
      </c>
      <c r="G125" s="8" t="s">
        <v>75</v>
      </c>
      <c r="H125" t="s">
        <v>12</v>
      </c>
      <c r="I125" s="4">
        <v>500</v>
      </c>
      <c r="J125" s="8">
        <v>12</v>
      </c>
      <c r="K125" s="4">
        <v>6000</v>
      </c>
      <c r="L125" s="4">
        <v>1500</v>
      </c>
      <c r="M125" s="3">
        <v>0.25</v>
      </c>
    </row>
    <row r="126" spans="2:13" x14ac:dyDescent="0.3">
      <c r="B126" t="s">
        <v>65</v>
      </c>
      <c r="C126" s="1" t="s">
        <v>63</v>
      </c>
      <c r="D126" s="2">
        <v>44787</v>
      </c>
      <c r="E126" s="8" t="s">
        <v>25</v>
      </c>
      <c r="F126" s="8" t="s">
        <v>74</v>
      </c>
      <c r="G126" s="8" t="s">
        <v>75</v>
      </c>
      <c r="H126" t="s">
        <v>11</v>
      </c>
      <c r="I126" s="4">
        <v>300</v>
      </c>
      <c r="J126" s="8">
        <v>8</v>
      </c>
      <c r="K126" s="4">
        <v>2400</v>
      </c>
      <c r="L126" s="4">
        <v>360</v>
      </c>
      <c r="M126" s="3">
        <v>0.15</v>
      </c>
    </row>
    <row r="127" spans="2:13" x14ac:dyDescent="0.3">
      <c r="B127" t="s">
        <v>60</v>
      </c>
      <c r="C127" s="1" t="s">
        <v>64</v>
      </c>
      <c r="D127" s="2">
        <v>44794</v>
      </c>
      <c r="E127" s="8" t="s">
        <v>25</v>
      </c>
      <c r="F127" s="8" t="s">
        <v>74</v>
      </c>
      <c r="G127" s="8" t="s">
        <v>75</v>
      </c>
      <c r="H127" t="s">
        <v>10</v>
      </c>
      <c r="I127" s="4">
        <v>1700</v>
      </c>
      <c r="J127" s="8">
        <v>10</v>
      </c>
      <c r="K127" s="4">
        <v>17000</v>
      </c>
      <c r="L127" s="4">
        <v>8500</v>
      </c>
      <c r="M127" s="3">
        <v>0.5</v>
      </c>
    </row>
    <row r="128" spans="2:13" x14ac:dyDescent="0.3">
      <c r="B128" t="s">
        <v>65</v>
      </c>
      <c r="C128" s="1" t="s">
        <v>63</v>
      </c>
      <c r="D128" s="2">
        <v>44801</v>
      </c>
      <c r="E128" s="8" t="s">
        <v>25</v>
      </c>
      <c r="F128" s="8" t="s">
        <v>74</v>
      </c>
      <c r="G128" s="8" t="s">
        <v>75</v>
      </c>
      <c r="H128" t="s">
        <v>16</v>
      </c>
      <c r="I128" s="4">
        <v>3400</v>
      </c>
      <c r="J128" s="8">
        <v>6</v>
      </c>
      <c r="K128" s="4">
        <v>20400</v>
      </c>
      <c r="L128" s="4">
        <v>7140</v>
      </c>
      <c r="M128" s="3">
        <v>0.35</v>
      </c>
    </row>
    <row r="129" spans="2:13" x14ac:dyDescent="0.3">
      <c r="B129" t="s">
        <v>65</v>
      </c>
      <c r="C129" s="1" t="s">
        <v>63</v>
      </c>
      <c r="D129" s="2">
        <v>44808</v>
      </c>
      <c r="E129" s="8" t="s">
        <v>25</v>
      </c>
      <c r="F129" s="8" t="s">
        <v>74</v>
      </c>
      <c r="G129" s="8" t="s">
        <v>75</v>
      </c>
      <c r="H129" t="s">
        <v>11</v>
      </c>
      <c r="I129" s="4">
        <v>300</v>
      </c>
      <c r="J129" s="8">
        <v>4</v>
      </c>
      <c r="K129" s="4">
        <v>1200</v>
      </c>
      <c r="L129" s="4">
        <v>180</v>
      </c>
      <c r="M129" s="3">
        <v>0.15</v>
      </c>
    </row>
    <row r="130" spans="2:13" x14ac:dyDescent="0.3">
      <c r="B130" t="s">
        <v>65</v>
      </c>
      <c r="C130" s="1" t="s">
        <v>63</v>
      </c>
      <c r="D130" s="2">
        <v>44815</v>
      </c>
      <c r="E130" s="8" t="s">
        <v>25</v>
      </c>
      <c r="F130" s="8" t="s">
        <v>74</v>
      </c>
      <c r="G130" s="8" t="s">
        <v>75</v>
      </c>
      <c r="H130" t="s">
        <v>12</v>
      </c>
      <c r="I130" s="4">
        <v>500</v>
      </c>
      <c r="J130" s="8">
        <v>9</v>
      </c>
      <c r="K130" s="4">
        <v>4500</v>
      </c>
      <c r="L130" s="4">
        <v>1125</v>
      </c>
      <c r="M130" s="3">
        <v>0.25</v>
      </c>
    </row>
    <row r="131" spans="2:13" x14ac:dyDescent="0.3">
      <c r="B131" t="s">
        <v>60</v>
      </c>
      <c r="C131" s="1" t="s">
        <v>63</v>
      </c>
      <c r="D131" s="2">
        <v>44822</v>
      </c>
      <c r="E131" s="8" t="s">
        <v>25</v>
      </c>
      <c r="F131" s="8" t="s">
        <v>74</v>
      </c>
      <c r="G131" s="8" t="s">
        <v>75</v>
      </c>
      <c r="H131" t="s">
        <v>13</v>
      </c>
      <c r="I131" s="4">
        <v>3200</v>
      </c>
      <c r="J131" s="8">
        <v>5</v>
      </c>
      <c r="K131" s="4">
        <v>16000</v>
      </c>
      <c r="L131" s="4">
        <v>3200</v>
      </c>
      <c r="M131" s="3">
        <v>0.2</v>
      </c>
    </row>
    <row r="132" spans="2:13" x14ac:dyDescent="0.3">
      <c r="B132" t="s">
        <v>65</v>
      </c>
      <c r="C132" s="1" t="s">
        <v>63</v>
      </c>
      <c r="D132" s="2">
        <v>44829</v>
      </c>
      <c r="E132" s="8" t="s">
        <v>25</v>
      </c>
      <c r="F132" s="8" t="s">
        <v>74</v>
      </c>
      <c r="G132" s="8" t="s">
        <v>75</v>
      </c>
      <c r="H132" t="s">
        <v>12</v>
      </c>
      <c r="I132" s="4">
        <v>500</v>
      </c>
      <c r="J132" s="8">
        <v>1</v>
      </c>
      <c r="K132" s="4">
        <v>500</v>
      </c>
      <c r="L132" s="4">
        <v>125</v>
      </c>
      <c r="M132" s="3">
        <v>0.25</v>
      </c>
    </row>
    <row r="133" spans="2:13" x14ac:dyDescent="0.3">
      <c r="B133" t="s">
        <v>60</v>
      </c>
      <c r="C133" s="1" t="s">
        <v>63</v>
      </c>
      <c r="D133" s="2">
        <v>44836</v>
      </c>
      <c r="E133" s="8" t="s">
        <v>25</v>
      </c>
      <c r="F133" s="8" t="s">
        <v>74</v>
      </c>
      <c r="G133" s="8" t="s">
        <v>75</v>
      </c>
      <c r="H133" t="s">
        <v>10</v>
      </c>
      <c r="I133" s="4">
        <v>1700</v>
      </c>
      <c r="J133" s="8">
        <v>6</v>
      </c>
      <c r="K133" s="4">
        <v>10200</v>
      </c>
      <c r="L133" s="4">
        <v>5100</v>
      </c>
      <c r="M133" s="3">
        <v>0.5</v>
      </c>
    </row>
    <row r="134" spans="2:13" x14ac:dyDescent="0.3">
      <c r="B134" t="s">
        <v>65</v>
      </c>
      <c r="C134" s="1" t="s">
        <v>63</v>
      </c>
      <c r="D134" s="2">
        <v>44843</v>
      </c>
      <c r="E134" s="8" t="s">
        <v>25</v>
      </c>
      <c r="F134" s="8" t="s">
        <v>74</v>
      </c>
      <c r="G134" s="8" t="s">
        <v>75</v>
      </c>
      <c r="H134" t="s">
        <v>20</v>
      </c>
      <c r="I134" s="4">
        <v>8902</v>
      </c>
      <c r="J134" s="8">
        <v>4</v>
      </c>
      <c r="K134" s="4">
        <v>35608</v>
      </c>
      <c r="L134" s="4">
        <v>12462.8</v>
      </c>
      <c r="M134" s="3">
        <v>0.35</v>
      </c>
    </row>
    <row r="135" spans="2:13" x14ac:dyDescent="0.3">
      <c r="B135" t="s">
        <v>62</v>
      </c>
      <c r="C135" s="1" t="s">
        <v>63</v>
      </c>
      <c r="D135" s="2">
        <v>44850</v>
      </c>
      <c r="E135" s="8" t="s">
        <v>25</v>
      </c>
      <c r="F135" s="8" t="s">
        <v>74</v>
      </c>
      <c r="G135" s="8" t="s">
        <v>75</v>
      </c>
      <c r="H135" t="s">
        <v>19</v>
      </c>
      <c r="I135" s="4">
        <v>5340</v>
      </c>
      <c r="J135" s="8">
        <v>1</v>
      </c>
      <c r="K135" s="4">
        <v>5340</v>
      </c>
      <c r="L135" s="4">
        <v>1602</v>
      </c>
      <c r="M135" s="3">
        <v>0.3</v>
      </c>
    </row>
    <row r="136" spans="2:13" x14ac:dyDescent="0.3">
      <c r="B136" t="s">
        <v>65</v>
      </c>
      <c r="C136" s="1" t="s">
        <v>63</v>
      </c>
      <c r="D136" s="2">
        <v>44857</v>
      </c>
      <c r="E136" s="8" t="s">
        <v>25</v>
      </c>
      <c r="F136" s="8" t="s">
        <v>74</v>
      </c>
      <c r="G136" s="8" t="s">
        <v>75</v>
      </c>
      <c r="H136" t="s">
        <v>20</v>
      </c>
      <c r="I136" s="4">
        <v>8902</v>
      </c>
      <c r="J136" s="8">
        <v>8</v>
      </c>
      <c r="K136" s="4">
        <v>71216</v>
      </c>
      <c r="L136" s="4">
        <v>24925.599999999999</v>
      </c>
      <c r="M136" s="3">
        <v>0.35</v>
      </c>
    </row>
    <row r="137" spans="2:13" x14ac:dyDescent="0.3">
      <c r="B137" t="s">
        <v>60</v>
      </c>
      <c r="C137" s="1" t="s">
        <v>64</v>
      </c>
      <c r="D137" s="2">
        <v>44864</v>
      </c>
      <c r="E137" s="8" t="s">
        <v>25</v>
      </c>
      <c r="F137" s="8" t="s">
        <v>74</v>
      </c>
      <c r="G137" s="8" t="s">
        <v>75</v>
      </c>
      <c r="H137" t="s">
        <v>12</v>
      </c>
      <c r="I137" s="4">
        <v>500</v>
      </c>
      <c r="J137" s="8">
        <v>5</v>
      </c>
      <c r="K137" s="4">
        <v>2500</v>
      </c>
      <c r="L137" s="4">
        <v>625</v>
      </c>
      <c r="M137" s="3">
        <v>0.25</v>
      </c>
    </row>
    <row r="138" spans="2:13" x14ac:dyDescent="0.3">
      <c r="B138" t="s">
        <v>61</v>
      </c>
      <c r="C138" s="1" t="s">
        <v>63</v>
      </c>
      <c r="D138" s="2">
        <v>44871</v>
      </c>
      <c r="E138" s="8" t="s">
        <v>25</v>
      </c>
      <c r="F138" s="8" t="s">
        <v>74</v>
      </c>
      <c r="G138" s="8" t="s">
        <v>75</v>
      </c>
      <c r="H138" t="s">
        <v>8</v>
      </c>
      <c r="I138" s="4">
        <v>1200</v>
      </c>
      <c r="J138" s="8">
        <v>2</v>
      </c>
      <c r="K138" s="4">
        <v>2400</v>
      </c>
      <c r="L138" s="4">
        <v>720</v>
      </c>
      <c r="M138" s="3">
        <v>0.3</v>
      </c>
    </row>
    <row r="139" spans="2:13" x14ac:dyDescent="0.3">
      <c r="B139" t="s">
        <v>66</v>
      </c>
      <c r="C139" s="1" t="s">
        <v>64</v>
      </c>
      <c r="D139" s="2">
        <v>44878</v>
      </c>
      <c r="E139" s="8" t="s">
        <v>25</v>
      </c>
      <c r="F139" s="8" t="s">
        <v>74</v>
      </c>
      <c r="G139" s="8" t="s">
        <v>75</v>
      </c>
      <c r="H139" t="s">
        <v>14</v>
      </c>
      <c r="I139" s="4">
        <v>4500</v>
      </c>
      <c r="J139" s="8">
        <v>5</v>
      </c>
      <c r="K139" s="4">
        <v>22500</v>
      </c>
      <c r="L139" s="4">
        <v>5625</v>
      </c>
      <c r="M139" s="3">
        <v>0.25</v>
      </c>
    </row>
    <row r="140" spans="2:13" x14ac:dyDescent="0.3">
      <c r="B140" t="s">
        <v>65</v>
      </c>
      <c r="C140" s="1" t="s">
        <v>63</v>
      </c>
      <c r="D140" s="2">
        <v>44885</v>
      </c>
      <c r="E140" s="8" t="s">
        <v>25</v>
      </c>
      <c r="F140" s="8" t="s">
        <v>74</v>
      </c>
      <c r="G140" s="8" t="s">
        <v>75</v>
      </c>
      <c r="H140" t="s">
        <v>20</v>
      </c>
      <c r="I140" s="4">
        <v>8902</v>
      </c>
      <c r="J140" s="8">
        <v>8</v>
      </c>
      <c r="K140" s="4">
        <v>71216</v>
      </c>
      <c r="L140" s="4">
        <v>24925.599999999999</v>
      </c>
      <c r="M140" s="3">
        <v>0.35</v>
      </c>
    </row>
    <row r="141" spans="2:13" x14ac:dyDescent="0.3">
      <c r="B141" t="s">
        <v>61</v>
      </c>
      <c r="C141" s="1" t="s">
        <v>63</v>
      </c>
      <c r="D141" s="2">
        <v>44892</v>
      </c>
      <c r="E141" s="8" t="s">
        <v>25</v>
      </c>
      <c r="F141" s="8" t="s">
        <v>74</v>
      </c>
      <c r="G141" s="8" t="s">
        <v>75</v>
      </c>
      <c r="H141" t="s">
        <v>15</v>
      </c>
      <c r="I141" s="4">
        <v>5300</v>
      </c>
      <c r="J141" s="8">
        <v>1</v>
      </c>
      <c r="K141" s="4">
        <v>5300</v>
      </c>
      <c r="L141" s="4">
        <v>1590</v>
      </c>
      <c r="M141" s="3">
        <v>0.3</v>
      </c>
    </row>
    <row r="142" spans="2:13" x14ac:dyDescent="0.3">
      <c r="B142" t="s">
        <v>66</v>
      </c>
      <c r="C142" s="1" t="s">
        <v>63</v>
      </c>
      <c r="D142" s="2">
        <v>44899</v>
      </c>
      <c r="E142" s="8" t="s">
        <v>25</v>
      </c>
      <c r="F142" s="8" t="s">
        <v>74</v>
      </c>
      <c r="G142" s="8" t="s">
        <v>75</v>
      </c>
      <c r="H142" t="s">
        <v>15</v>
      </c>
      <c r="I142" s="4">
        <v>5300</v>
      </c>
      <c r="J142" s="8">
        <v>1</v>
      </c>
      <c r="K142" s="4">
        <v>5300</v>
      </c>
      <c r="L142" s="4">
        <v>1590</v>
      </c>
      <c r="M142" s="3">
        <v>0.3</v>
      </c>
    </row>
    <row r="143" spans="2:13" x14ac:dyDescent="0.3">
      <c r="B143" t="s">
        <v>65</v>
      </c>
      <c r="C143" s="1" t="s">
        <v>63</v>
      </c>
      <c r="D143" s="2">
        <v>44906</v>
      </c>
      <c r="E143" s="8" t="s">
        <v>25</v>
      </c>
      <c r="F143" s="8" t="s">
        <v>74</v>
      </c>
      <c r="G143" s="8" t="s">
        <v>75</v>
      </c>
      <c r="H143" t="s">
        <v>18</v>
      </c>
      <c r="I143" s="4">
        <v>4600</v>
      </c>
      <c r="J143" s="8">
        <v>8</v>
      </c>
      <c r="K143" s="4">
        <v>36800</v>
      </c>
      <c r="L143" s="4">
        <v>9200</v>
      </c>
      <c r="M143" s="3">
        <v>0.25</v>
      </c>
    </row>
    <row r="144" spans="2:13" x14ac:dyDescent="0.3">
      <c r="B144" t="s">
        <v>62</v>
      </c>
      <c r="C144" s="1" t="s">
        <v>64</v>
      </c>
      <c r="D144" s="2">
        <v>44913</v>
      </c>
      <c r="E144" s="8" t="s">
        <v>25</v>
      </c>
      <c r="F144" s="8" t="s">
        <v>74</v>
      </c>
      <c r="G144" s="8" t="s">
        <v>75</v>
      </c>
      <c r="H144" t="s">
        <v>13</v>
      </c>
      <c r="I144" s="4">
        <v>3200</v>
      </c>
      <c r="J144" s="8">
        <v>6</v>
      </c>
      <c r="K144" s="4">
        <v>19200</v>
      </c>
      <c r="L144" s="4">
        <v>3840</v>
      </c>
      <c r="M144" s="3">
        <v>0.2</v>
      </c>
    </row>
    <row r="145" spans="2:13" x14ac:dyDescent="0.3">
      <c r="B145" t="s">
        <v>65</v>
      </c>
      <c r="C145" s="1" t="s">
        <v>64</v>
      </c>
      <c r="D145" s="2">
        <v>44920</v>
      </c>
      <c r="E145" s="8" t="s">
        <v>25</v>
      </c>
      <c r="F145" s="8" t="s">
        <v>74</v>
      </c>
      <c r="G145" s="8" t="s">
        <v>75</v>
      </c>
      <c r="H145" t="s">
        <v>17</v>
      </c>
      <c r="I145" s="4">
        <v>5130</v>
      </c>
      <c r="J145" s="8">
        <v>5</v>
      </c>
      <c r="K145" s="4">
        <v>25650</v>
      </c>
      <c r="L145" s="4">
        <v>10260</v>
      </c>
      <c r="M145" s="3">
        <v>0.4</v>
      </c>
    </row>
    <row r="146" spans="2:13" x14ac:dyDescent="0.3">
      <c r="B146" t="s">
        <v>62</v>
      </c>
      <c r="C146" s="1" t="s">
        <v>63</v>
      </c>
      <c r="D146" s="2">
        <v>44927</v>
      </c>
      <c r="E146" s="8" t="s">
        <v>25</v>
      </c>
      <c r="F146" s="8" t="s">
        <v>74</v>
      </c>
      <c r="G146" s="8" t="s">
        <v>75</v>
      </c>
      <c r="H146" t="s">
        <v>14</v>
      </c>
      <c r="I146" s="4">
        <v>4500</v>
      </c>
      <c r="J146" s="8">
        <v>11</v>
      </c>
      <c r="K146" s="4">
        <v>49500</v>
      </c>
      <c r="L146" s="4">
        <v>12375</v>
      </c>
      <c r="M146" s="3">
        <v>0.25</v>
      </c>
    </row>
    <row r="147" spans="2:13" x14ac:dyDescent="0.3">
      <c r="B147" t="s">
        <v>61</v>
      </c>
      <c r="C147" s="1" t="s">
        <v>63</v>
      </c>
      <c r="D147" s="2">
        <v>44934</v>
      </c>
      <c r="E147" s="8" t="s">
        <v>25</v>
      </c>
      <c r="F147" s="8" t="s">
        <v>74</v>
      </c>
      <c r="G147" s="8" t="s">
        <v>75</v>
      </c>
      <c r="H147" t="s">
        <v>11</v>
      </c>
      <c r="I147" s="4">
        <v>300</v>
      </c>
      <c r="J147" s="8">
        <v>4</v>
      </c>
      <c r="K147" s="4">
        <v>1200</v>
      </c>
      <c r="L147" s="4">
        <v>180</v>
      </c>
      <c r="M147" s="3">
        <v>0.15</v>
      </c>
    </row>
    <row r="148" spans="2:13" x14ac:dyDescent="0.3">
      <c r="B148" t="s">
        <v>65</v>
      </c>
      <c r="C148" s="1" t="s">
        <v>64</v>
      </c>
      <c r="D148" s="2">
        <v>44941</v>
      </c>
      <c r="E148" s="8" t="s">
        <v>25</v>
      </c>
      <c r="F148" s="8" t="s">
        <v>74</v>
      </c>
      <c r="G148" s="8" t="s">
        <v>75</v>
      </c>
      <c r="H148" t="s">
        <v>20</v>
      </c>
      <c r="I148" s="4">
        <v>8902</v>
      </c>
      <c r="J148" s="8">
        <v>3</v>
      </c>
      <c r="K148" s="4">
        <v>26706</v>
      </c>
      <c r="L148" s="4">
        <v>9347.0999999999985</v>
      </c>
      <c r="M148" s="3">
        <v>0.35</v>
      </c>
    </row>
    <row r="149" spans="2:13" x14ac:dyDescent="0.3">
      <c r="B149" t="s">
        <v>65</v>
      </c>
      <c r="C149" s="1" t="s">
        <v>64</v>
      </c>
      <c r="D149" s="2">
        <v>44948</v>
      </c>
      <c r="E149" s="8" t="s">
        <v>25</v>
      </c>
      <c r="F149" s="8" t="s">
        <v>74</v>
      </c>
      <c r="G149" s="8" t="s">
        <v>75</v>
      </c>
      <c r="H149" t="s">
        <v>18</v>
      </c>
      <c r="I149" s="4">
        <v>4600</v>
      </c>
      <c r="J149" s="8">
        <v>12</v>
      </c>
      <c r="K149" s="4">
        <v>55200</v>
      </c>
      <c r="L149" s="4">
        <v>13800</v>
      </c>
      <c r="M149" s="3">
        <v>0.25</v>
      </c>
    </row>
    <row r="150" spans="2:13" x14ac:dyDescent="0.3">
      <c r="B150" t="s">
        <v>65</v>
      </c>
      <c r="C150" s="1" t="s">
        <v>64</v>
      </c>
      <c r="D150" s="2">
        <v>44955</v>
      </c>
      <c r="E150" s="8" t="s">
        <v>25</v>
      </c>
      <c r="F150" s="8" t="s">
        <v>74</v>
      </c>
      <c r="G150" s="8" t="s">
        <v>75</v>
      </c>
      <c r="H150" t="s">
        <v>16</v>
      </c>
      <c r="I150" s="4">
        <v>3400</v>
      </c>
      <c r="J150" s="8">
        <v>1</v>
      </c>
      <c r="K150" s="4">
        <v>3400</v>
      </c>
      <c r="L150" s="4">
        <v>1190</v>
      </c>
      <c r="M150" s="3">
        <v>0.35</v>
      </c>
    </row>
    <row r="151" spans="2:13" x14ac:dyDescent="0.3">
      <c r="B151" t="s">
        <v>61</v>
      </c>
      <c r="C151" s="1" t="s">
        <v>63</v>
      </c>
      <c r="D151" s="2">
        <v>44962</v>
      </c>
      <c r="E151" s="8" t="s">
        <v>25</v>
      </c>
      <c r="F151" s="8" t="s">
        <v>74</v>
      </c>
      <c r="G151" s="8" t="s">
        <v>75</v>
      </c>
      <c r="H151" t="s">
        <v>19</v>
      </c>
      <c r="I151" s="4">
        <v>5340</v>
      </c>
      <c r="J151" s="8">
        <v>8</v>
      </c>
      <c r="K151" s="4">
        <v>42720</v>
      </c>
      <c r="L151" s="4">
        <v>12816</v>
      </c>
      <c r="M151" s="3">
        <v>0.3</v>
      </c>
    </row>
    <row r="152" spans="2:13" x14ac:dyDescent="0.3">
      <c r="B152" t="s">
        <v>65</v>
      </c>
      <c r="C152" s="1" t="s">
        <v>64</v>
      </c>
      <c r="D152" s="2">
        <v>44969</v>
      </c>
      <c r="E152" s="8" t="s">
        <v>25</v>
      </c>
      <c r="F152" s="8" t="s">
        <v>74</v>
      </c>
      <c r="G152" s="8" t="s">
        <v>75</v>
      </c>
      <c r="H152" t="s">
        <v>10</v>
      </c>
      <c r="I152" s="4">
        <v>1700</v>
      </c>
      <c r="J152" s="8">
        <v>12</v>
      </c>
      <c r="K152" s="4">
        <v>20400</v>
      </c>
      <c r="L152" s="4">
        <v>10200</v>
      </c>
      <c r="M152" s="3">
        <v>0.5</v>
      </c>
    </row>
    <row r="153" spans="2:13" x14ac:dyDescent="0.3">
      <c r="B153" t="s">
        <v>60</v>
      </c>
      <c r="C153" s="1" t="s">
        <v>64</v>
      </c>
      <c r="D153" s="2">
        <v>44976</v>
      </c>
      <c r="E153" s="8" t="s">
        <v>25</v>
      </c>
      <c r="F153" s="8" t="s">
        <v>74</v>
      </c>
      <c r="G153" s="8" t="s">
        <v>75</v>
      </c>
      <c r="H153" t="s">
        <v>13</v>
      </c>
      <c r="I153" s="4">
        <v>3200</v>
      </c>
      <c r="J153" s="8">
        <v>12</v>
      </c>
      <c r="K153" s="4">
        <v>38400</v>
      </c>
      <c r="L153" s="4">
        <v>7680</v>
      </c>
      <c r="M153" s="3">
        <v>0.2</v>
      </c>
    </row>
    <row r="154" spans="2:13" x14ac:dyDescent="0.3">
      <c r="B154" t="s">
        <v>60</v>
      </c>
      <c r="C154" s="1" t="s">
        <v>63</v>
      </c>
      <c r="D154" s="2">
        <v>44983</v>
      </c>
      <c r="E154" s="8" t="s">
        <v>25</v>
      </c>
      <c r="F154" s="8" t="s">
        <v>74</v>
      </c>
      <c r="G154" s="8" t="s">
        <v>75</v>
      </c>
      <c r="H154" t="s">
        <v>12</v>
      </c>
      <c r="I154" s="4">
        <v>500</v>
      </c>
      <c r="J154" s="8">
        <v>10</v>
      </c>
      <c r="K154" s="4">
        <v>5000</v>
      </c>
      <c r="L154" s="4">
        <v>1250</v>
      </c>
      <c r="M154" s="3">
        <v>0.25</v>
      </c>
    </row>
    <row r="155" spans="2:13" x14ac:dyDescent="0.3">
      <c r="B155" t="s">
        <v>60</v>
      </c>
      <c r="C155" s="1" t="s">
        <v>63</v>
      </c>
      <c r="D155" s="2">
        <v>44990</v>
      </c>
      <c r="E155" s="8" t="s">
        <v>25</v>
      </c>
      <c r="F155" s="8" t="s">
        <v>74</v>
      </c>
      <c r="G155" s="8" t="s">
        <v>75</v>
      </c>
      <c r="H155" t="s">
        <v>15</v>
      </c>
      <c r="I155" s="4">
        <v>5300</v>
      </c>
      <c r="J155" s="8">
        <v>10</v>
      </c>
      <c r="K155" s="4">
        <v>53000</v>
      </c>
      <c r="L155" s="4">
        <v>15900</v>
      </c>
      <c r="M155" s="3">
        <v>0.3</v>
      </c>
    </row>
    <row r="156" spans="2:13" x14ac:dyDescent="0.3">
      <c r="B156" t="s">
        <v>65</v>
      </c>
      <c r="C156" s="1" t="s">
        <v>63</v>
      </c>
      <c r="D156" s="2">
        <v>44997</v>
      </c>
      <c r="E156" s="8" t="s">
        <v>25</v>
      </c>
      <c r="F156" s="8" t="s">
        <v>74</v>
      </c>
      <c r="G156" s="8" t="s">
        <v>75</v>
      </c>
      <c r="H156" t="s">
        <v>13</v>
      </c>
      <c r="I156" s="4">
        <v>3200</v>
      </c>
      <c r="J156" s="8">
        <v>7</v>
      </c>
      <c r="K156" s="4">
        <v>22400</v>
      </c>
      <c r="L156" s="4">
        <v>4480</v>
      </c>
      <c r="M156" s="3">
        <v>0.2</v>
      </c>
    </row>
    <row r="157" spans="2:13" x14ac:dyDescent="0.3">
      <c r="B157" t="s">
        <v>61</v>
      </c>
      <c r="C157" s="1" t="s">
        <v>64</v>
      </c>
      <c r="D157" s="2">
        <v>45004</v>
      </c>
      <c r="E157" s="8" t="s">
        <v>25</v>
      </c>
      <c r="F157" s="8" t="s">
        <v>74</v>
      </c>
      <c r="G157" s="8" t="s">
        <v>75</v>
      </c>
      <c r="H157" t="s">
        <v>12</v>
      </c>
      <c r="I157" s="4">
        <v>500</v>
      </c>
      <c r="J157" s="8">
        <v>15</v>
      </c>
      <c r="K157" s="4">
        <v>7500</v>
      </c>
      <c r="L157" s="4">
        <v>1875</v>
      </c>
      <c r="M157" s="3">
        <v>0.25</v>
      </c>
    </row>
    <row r="158" spans="2:13" x14ac:dyDescent="0.3">
      <c r="B158" t="s">
        <v>60</v>
      </c>
      <c r="C158" s="1" t="s">
        <v>64</v>
      </c>
      <c r="D158" s="2">
        <v>45011</v>
      </c>
      <c r="E158" s="8" t="s">
        <v>25</v>
      </c>
      <c r="F158" s="8" t="s">
        <v>74</v>
      </c>
      <c r="G158" s="8" t="s">
        <v>75</v>
      </c>
      <c r="H158" t="s">
        <v>13</v>
      </c>
      <c r="I158" s="4">
        <v>3200</v>
      </c>
      <c r="J158" s="8">
        <v>10</v>
      </c>
      <c r="K158" s="4">
        <v>32000</v>
      </c>
      <c r="L158" s="4">
        <v>6400</v>
      </c>
      <c r="M158" s="3">
        <v>0.2</v>
      </c>
    </row>
    <row r="159" spans="2:13" x14ac:dyDescent="0.3">
      <c r="B159" t="s">
        <v>65</v>
      </c>
      <c r="C159" s="1" t="s">
        <v>63</v>
      </c>
      <c r="D159" s="2">
        <v>45018</v>
      </c>
      <c r="E159" s="8" t="s">
        <v>25</v>
      </c>
      <c r="F159" s="8" t="s">
        <v>74</v>
      </c>
      <c r="G159" s="8" t="s">
        <v>75</v>
      </c>
      <c r="H159" t="s">
        <v>14</v>
      </c>
      <c r="I159" s="4">
        <v>4500</v>
      </c>
      <c r="J159" s="8">
        <v>8</v>
      </c>
      <c r="K159" s="4">
        <v>36000</v>
      </c>
      <c r="L159" s="4">
        <v>9000</v>
      </c>
      <c r="M159" s="3">
        <v>0.25</v>
      </c>
    </row>
    <row r="160" spans="2:13" x14ac:dyDescent="0.3">
      <c r="B160" t="s">
        <v>60</v>
      </c>
      <c r="C160" s="1" t="s">
        <v>63</v>
      </c>
      <c r="D160" s="2">
        <v>45025</v>
      </c>
      <c r="E160" s="8" t="s">
        <v>25</v>
      </c>
      <c r="F160" s="8" t="s">
        <v>74</v>
      </c>
      <c r="G160" s="8" t="s">
        <v>75</v>
      </c>
      <c r="H160" t="s">
        <v>14</v>
      </c>
      <c r="I160" s="4">
        <v>4500</v>
      </c>
      <c r="J160" s="8">
        <v>4</v>
      </c>
      <c r="K160" s="4">
        <v>18000</v>
      </c>
      <c r="L160" s="4">
        <v>4500</v>
      </c>
      <c r="M160" s="3">
        <v>0.25</v>
      </c>
    </row>
    <row r="161" spans="2:13" x14ac:dyDescent="0.3">
      <c r="B161" t="s">
        <v>62</v>
      </c>
      <c r="C161" s="1" t="s">
        <v>63</v>
      </c>
      <c r="D161" s="2">
        <v>45032</v>
      </c>
      <c r="E161" s="8" t="s">
        <v>25</v>
      </c>
      <c r="F161" s="8" t="s">
        <v>74</v>
      </c>
      <c r="G161" s="8" t="s">
        <v>75</v>
      </c>
      <c r="H161" t="s">
        <v>14</v>
      </c>
      <c r="I161" s="4">
        <v>4500</v>
      </c>
      <c r="J161" s="8">
        <v>5</v>
      </c>
      <c r="K161" s="4">
        <v>22500</v>
      </c>
      <c r="L161" s="4">
        <v>5625</v>
      </c>
      <c r="M161" s="3">
        <v>0.25</v>
      </c>
    </row>
    <row r="162" spans="2:13" x14ac:dyDescent="0.3">
      <c r="B162" t="s">
        <v>61</v>
      </c>
      <c r="C162" s="1" t="s">
        <v>63</v>
      </c>
      <c r="D162" s="2">
        <v>45039</v>
      </c>
      <c r="E162" s="8" t="s">
        <v>25</v>
      </c>
      <c r="F162" s="8" t="s">
        <v>74</v>
      </c>
      <c r="G162" s="8" t="s">
        <v>75</v>
      </c>
      <c r="H162" t="s">
        <v>14</v>
      </c>
      <c r="I162" s="4">
        <v>4500</v>
      </c>
      <c r="J162" s="8">
        <v>6</v>
      </c>
      <c r="K162" s="4">
        <v>27000</v>
      </c>
      <c r="L162" s="4">
        <v>6750</v>
      </c>
      <c r="M162" s="3">
        <v>0.25</v>
      </c>
    </row>
    <row r="163" spans="2:13" x14ac:dyDescent="0.3">
      <c r="B163" t="s">
        <v>62</v>
      </c>
      <c r="C163" s="1" t="s">
        <v>63</v>
      </c>
      <c r="D163" s="2">
        <v>45046</v>
      </c>
      <c r="E163" s="8" t="s">
        <v>25</v>
      </c>
      <c r="F163" s="8" t="s">
        <v>74</v>
      </c>
      <c r="G163" s="8" t="s">
        <v>75</v>
      </c>
      <c r="H163" t="s">
        <v>8</v>
      </c>
      <c r="I163" s="4">
        <v>1200</v>
      </c>
      <c r="J163" s="8">
        <v>4</v>
      </c>
      <c r="K163" s="4">
        <v>4800</v>
      </c>
      <c r="L163" s="4">
        <v>1440</v>
      </c>
      <c r="M163" s="3">
        <v>0.3</v>
      </c>
    </row>
    <row r="164" spans="2:13" x14ac:dyDescent="0.3">
      <c r="B164" t="s">
        <v>66</v>
      </c>
      <c r="C164" s="1" t="s">
        <v>63</v>
      </c>
      <c r="D164" s="2">
        <v>45053</v>
      </c>
      <c r="E164" s="8" t="s">
        <v>25</v>
      </c>
      <c r="F164" s="8" t="s">
        <v>74</v>
      </c>
      <c r="G164" s="8" t="s">
        <v>75</v>
      </c>
      <c r="H164" t="s">
        <v>16</v>
      </c>
      <c r="I164" s="4">
        <v>3400</v>
      </c>
      <c r="J164" s="8">
        <v>10</v>
      </c>
      <c r="K164" s="4">
        <v>3400</v>
      </c>
      <c r="L164" s="4">
        <v>1190</v>
      </c>
      <c r="M164" s="3">
        <v>0.35</v>
      </c>
    </row>
    <row r="165" spans="2:13" x14ac:dyDescent="0.3">
      <c r="B165" t="s">
        <v>60</v>
      </c>
      <c r="C165" s="1" t="s">
        <v>64</v>
      </c>
      <c r="D165" s="2">
        <v>45060</v>
      </c>
      <c r="E165" s="8" t="s">
        <v>25</v>
      </c>
      <c r="F165" s="8" t="s">
        <v>74</v>
      </c>
      <c r="G165" s="8" t="s">
        <v>75</v>
      </c>
      <c r="H165" t="s">
        <v>12</v>
      </c>
      <c r="I165" s="4">
        <v>500</v>
      </c>
      <c r="J165" s="8">
        <v>10</v>
      </c>
      <c r="K165" s="4">
        <v>5000</v>
      </c>
      <c r="L165" s="4">
        <v>1250</v>
      </c>
      <c r="M165" s="3">
        <v>0.25</v>
      </c>
    </row>
    <row r="166" spans="2:13" x14ac:dyDescent="0.3">
      <c r="B166" t="s">
        <v>60</v>
      </c>
      <c r="C166" s="1" t="s">
        <v>63</v>
      </c>
      <c r="D166" s="2">
        <v>45067</v>
      </c>
      <c r="E166" s="8" t="s">
        <v>25</v>
      </c>
      <c r="F166" s="8" t="s">
        <v>74</v>
      </c>
      <c r="G166" s="8" t="s">
        <v>75</v>
      </c>
      <c r="H166" t="s">
        <v>16</v>
      </c>
      <c r="I166" s="4">
        <v>3400</v>
      </c>
      <c r="J166" s="8">
        <v>8</v>
      </c>
      <c r="K166" s="4">
        <v>27200</v>
      </c>
      <c r="L166" s="4">
        <v>9520</v>
      </c>
      <c r="M166" s="3">
        <v>0.35</v>
      </c>
    </row>
    <row r="167" spans="2:13" x14ac:dyDescent="0.3">
      <c r="B167" t="s">
        <v>65</v>
      </c>
      <c r="C167" s="1" t="s">
        <v>63</v>
      </c>
      <c r="D167" s="2">
        <v>45074</v>
      </c>
      <c r="E167" s="8" t="s">
        <v>25</v>
      </c>
      <c r="F167" s="8" t="s">
        <v>74</v>
      </c>
      <c r="G167" s="8" t="s">
        <v>75</v>
      </c>
      <c r="H167" t="s">
        <v>18</v>
      </c>
      <c r="I167" s="4">
        <v>4600</v>
      </c>
      <c r="J167" s="8">
        <v>12</v>
      </c>
      <c r="K167" s="4">
        <v>55200</v>
      </c>
      <c r="L167" s="4">
        <v>13800</v>
      </c>
      <c r="M167" s="3">
        <v>0.25</v>
      </c>
    </row>
    <row r="168" spans="2:13" x14ac:dyDescent="0.3">
      <c r="B168" t="s">
        <v>60</v>
      </c>
      <c r="C168" s="1" t="s">
        <v>64</v>
      </c>
      <c r="D168" s="2">
        <v>45081</v>
      </c>
      <c r="E168" s="8" t="s">
        <v>25</v>
      </c>
      <c r="F168" s="8" t="s">
        <v>74</v>
      </c>
      <c r="G168" s="8" t="s">
        <v>75</v>
      </c>
      <c r="H168" t="s">
        <v>12</v>
      </c>
      <c r="I168" s="4">
        <v>500</v>
      </c>
      <c r="J168" s="8">
        <v>10</v>
      </c>
      <c r="K168" s="4">
        <v>5000</v>
      </c>
      <c r="L168" s="4">
        <v>1250</v>
      </c>
      <c r="M168" s="3">
        <v>0.25</v>
      </c>
    </row>
    <row r="169" spans="2:13" x14ac:dyDescent="0.3">
      <c r="B169" t="s">
        <v>66</v>
      </c>
      <c r="C169" s="1" t="s">
        <v>63</v>
      </c>
      <c r="D169" s="2">
        <v>45088</v>
      </c>
      <c r="E169" s="8" t="s">
        <v>25</v>
      </c>
      <c r="F169" s="8" t="s">
        <v>74</v>
      </c>
      <c r="G169" s="8" t="s">
        <v>75</v>
      </c>
      <c r="H169" t="s">
        <v>17</v>
      </c>
      <c r="I169" s="4">
        <v>5130</v>
      </c>
      <c r="J169" s="8">
        <v>15</v>
      </c>
      <c r="K169" s="4">
        <v>76950</v>
      </c>
      <c r="L169" s="4">
        <v>30780</v>
      </c>
      <c r="M169" s="3">
        <v>0.4</v>
      </c>
    </row>
    <row r="170" spans="2:13" x14ac:dyDescent="0.3">
      <c r="B170" t="s">
        <v>61</v>
      </c>
      <c r="C170" s="1" t="s">
        <v>64</v>
      </c>
      <c r="D170" s="2">
        <v>45095</v>
      </c>
      <c r="E170" s="8" t="s">
        <v>25</v>
      </c>
      <c r="F170" s="8" t="s">
        <v>74</v>
      </c>
      <c r="G170" s="8" t="s">
        <v>75</v>
      </c>
      <c r="H170" t="s">
        <v>9</v>
      </c>
      <c r="I170" s="4">
        <v>1500</v>
      </c>
      <c r="J170" s="8">
        <v>1</v>
      </c>
      <c r="K170" s="4">
        <v>1500</v>
      </c>
      <c r="L170" s="4">
        <v>600</v>
      </c>
      <c r="M170" s="3">
        <v>0.4</v>
      </c>
    </row>
    <row r="171" spans="2:13" x14ac:dyDescent="0.3">
      <c r="B171" t="s">
        <v>65</v>
      </c>
      <c r="C171" s="1" t="s">
        <v>63</v>
      </c>
      <c r="D171" s="2">
        <v>45102</v>
      </c>
      <c r="E171" s="8" t="s">
        <v>25</v>
      </c>
      <c r="F171" s="8" t="s">
        <v>74</v>
      </c>
      <c r="G171" s="8" t="s">
        <v>75</v>
      </c>
      <c r="H171" t="s">
        <v>13</v>
      </c>
      <c r="I171" s="4">
        <v>3200</v>
      </c>
      <c r="J171" s="8">
        <v>20</v>
      </c>
      <c r="K171" s="4">
        <v>35200</v>
      </c>
      <c r="L171" s="4">
        <v>7040</v>
      </c>
      <c r="M171" s="3">
        <v>0.2</v>
      </c>
    </row>
    <row r="172" spans="2:13" x14ac:dyDescent="0.3">
      <c r="B172" t="s">
        <v>65</v>
      </c>
      <c r="C172" s="1" t="s">
        <v>63</v>
      </c>
      <c r="D172" s="2">
        <v>45109</v>
      </c>
      <c r="E172" s="8" t="s">
        <v>25</v>
      </c>
      <c r="F172" s="8" t="s">
        <v>74</v>
      </c>
      <c r="G172" s="8" t="s">
        <v>75</v>
      </c>
      <c r="H172" t="s">
        <v>19</v>
      </c>
      <c r="I172" s="4">
        <v>5340</v>
      </c>
      <c r="J172" s="8">
        <v>20</v>
      </c>
      <c r="K172" s="4">
        <v>10680</v>
      </c>
      <c r="L172" s="4">
        <v>3204</v>
      </c>
      <c r="M172" s="3">
        <v>0.3</v>
      </c>
    </row>
    <row r="173" spans="2:13" x14ac:dyDescent="0.3">
      <c r="B173" t="s">
        <v>60</v>
      </c>
      <c r="C173" s="1" t="s">
        <v>64</v>
      </c>
      <c r="D173" s="2">
        <v>45116</v>
      </c>
      <c r="E173" s="8" t="s">
        <v>25</v>
      </c>
      <c r="F173" s="8" t="s">
        <v>74</v>
      </c>
      <c r="G173" s="8" t="s">
        <v>75</v>
      </c>
      <c r="H173" t="s">
        <v>19</v>
      </c>
      <c r="I173" s="4">
        <v>5340</v>
      </c>
      <c r="J173" s="8">
        <v>1</v>
      </c>
      <c r="K173" s="4">
        <v>5340</v>
      </c>
      <c r="L173" s="4">
        <v>1602</v>
      </c>
      <c r="M173" s="3">
        <v>0.3</v>
      </c>
    </row>
    <row r="174" spans="2:13" x14ac:dyDescent="0.3">
      <c r="B174" t="s">
        <v>65</v>
      </c>
      <c r="C174" s="1" t="s">
        <v>64</v>
      </c>
      <c r="D174" s="2">
        <v>45123</v>
      </c>
      <c r="E174" s="8" t="s">
        <v>25</v>
      </c>
      <c r="F174" s="8" t="s">
        <v>74</v>
      </c>
      <c r="G174" s="8" t="s">
        <v>75</v>
      </c>
      <c r="H174" t="s">
        <v>12</v>
      </c>
      <c r="I174" s="4">
        <v>500</v>
      </c>
      <c r="J174" s="8">
        <v>5</v>
      </c>
      <c r="K174" s="4">
        <v>2500</v>
      </c>
      <c r="L174" s="4">
        <v>625</v>
      </c>
      <c r="M174" s="3">
        <v>0.25</v>
      </c>
    </row>
    <row r="175" spans="2:13" x14ac:dyDescent="0.3">
      <c r="B175" t="s">
        <v>65</v>
      </c>
      <c r="C175" s="1" t="s">
        <v>64</v>
      </c>
      <c r="D175" s="2">
        <v>45130</v>
      </c>
      <c r="E175" s="8" t="s">
        <v>25</v>
      </c>
      <c r="F175" s="8" t="s">
        <v>74</v>
      </c>
      <c r="G175" s="8" t="s">
        <v>75</v>
      </c>
      <c r="H175" t="s">
        <v>19</v>
      </c>
      <c r="I175" s="4">
        <v>5340</v>
      </c>
      <c r="J175" s="8">
        <v>12</v>
      </c>
      <c r="K175" s="4">
        <v>64080</v>
      </c>
      <c r="L175" s="4">
        <v>19224</v>
      </c>
      <c r="M175" s="3">
        <v>0.3</v>
      </c>
    </row>
    <row r="176" spans="2:13" x14ac:dyDescent="0.3">
      <c r="B176" t="s">
        <v>61</v>
      </c>
      <c r="C176" s="1" t="s">
        <v>63</v>
      </c>
      <c r="D176" s="2">
        <v>45137</v>
      </c>
      <c r="E176" s="8" t="s">
        <v>25</v>
      </c>
      <c r="F176" s="8" t="s">
        <v>74</v>
      </c>
      <c r="G176" s="8" t="s">
        <v>75</v>
      </c>
      <c r="H176" t="s">
        <v>8</v>
      </c>
      <c r="I176" s="4">
        <v>1200</v>
      </c>
      <c r="J176" s="8">
        <v>8</v>
      </c>
      <c r="K176" s="4">
        <v>9600</v>
      </c>
      <c r="L176" s="4">
        <v>2880</v>
      </c>
      <c r="M176" s="3">
        <v>0.3</v>
      </c>
    </row>
    <row r="177" spans="2:13" x14ac:dyDescent="0.3">
      <c r="B177" t="s">
        <v>65</v>
      </c>
      <c r="C177" s="1" t="s">
        <v>64</v>
      </c>
      <c r="D177" s="2">
        <v>45144</v>
      </c>
      <c r="E177" s="8" t="s">
        <v>25</v>
      </c>
      <c r="F177" s="8" t="s">
        <v>74</v>
      </c>
      <c r="G177" s="8" t="s">
        <v>75</v>
      </c>
      <c r="H177" t="s">
        <v>15</v>
      </c>
      <c r="I177" s="4">
        <v>5300</v>
      </c>
      <c r="J177" s="8">
        <v>20</v>
      </c>
      <c r="K177" s="4">
        <v>42400</v>
      </c>
      <c r="L177" s="4">
        <v>12720</v>
      </c>
      <c r="M177" s="3">
        <v>0.3</v>
      </c>
    </row>
    <row r="178" spans="2:13" x14ac:dyDescent="0.3">
      <c r="B178" t="s">
        <v>62</v>
      </c>
      <c r="C178" s="1" t="s">
        <v>63</v>
      </c>
      <c r="D178" s="2">
        <v>45151</v>
      </c>
      <c r="E178" s="8" t="s">
        <v>25</v>
      </c>
      <c r="F178" s="8" t="s">
        <v>74</v>
      </c>
      <c r="G178" s="8" t="s">
        <v>75</v>
      </c>
      <c r="H178" t="s">
        <v>20</v>
      </c>
      <c r="I178" s="4">
        <v>8902</v>
      </c>
      <c r="J178" s="8">
        <v>20</v>
      </c>
      <c r="K178" s="4">
        <v>97922</v>
      </c>
      <c r="L178" s="4">
        <v>34272.699999999997</v>
      </c>
      <c r="M178" s="3">
        <v>0.35</v>
      </c>
    </row>
    <row r="179" spans="2:13" x14ac:dyDescent="0.3">
      <c r="B179" t="s">
        <v>60</v>
      </c>
      <c r="C179" s="1" t="s">
        <v>63</v>
      </c>
      <c r="D179" s="2">
        <v>45158</v>
      </c>
      <c r="E179" s="8" t="s">
        <v>25</v>
      </c>
      <c r="F179" s="8" t="s">
        <v>74</v>
      </c>
      <c r="G179" s="8" t="s">
        <v>75</v>
      </c>
      <c r="H179" t="s">
        <v>20</v>
      </c>
      <c r="I179" s="4">
        <v>8902</v>
      </c>
      <c r="J179" s="8">
        <v>12</v>
      </c>
      <c r="K179" s="4">
        <v>106824</v>
      </c>
      <c r="L179" s="4">
        <v>37388.399999999994</v>
      </c>
      <c r="M179" s="3">
        <v>0.35</v>
      </c>
    </row>
    <row r="180" spans="2:13" x14ac:dyDescent="0.3">
      <c r="B180" t="s">
        <v>62</v>
      </c>
      <c r="C180" s="1" t="s">
        <v>63</v>
      </c>
      <c r="D180" s="2">
        <v>45165</v>
      </c>
      <c r="E180" s="8" t="s">
        <v>25</v>
      </c>
      <c r="F180" s="8" t="s">
        <v>74</v>
      </c>
      <c r="G180" s="8" t="s">
        <v>75</v>
      </c>
      <c r="H180" t="s">
        <v>14</v>
      </c>
      <c r="I180" s="4">
        <v>4500</v>
      </c>
      <c r="J180" s="8">
        <v>3</v>
      </c>
      <c r="K180" s="4">
        <v>13500</v>
      </c>
      <c r="L180" s="4">
        <v>3375</v>
      </c>
      <c r="M180" s="3">
        <v>0.25</v>
      </c>
    </row>
    <row r="181" spans="2:13" x14ac:dyDescent="0.3">
      <c r="B181" t="s">
        <v>65</v>
      </c>
      <c r="C181" s="1" t="s">
        <v>64</v>
      </c>
      <c r="D181" s="2">
        <v>44562</v>
      </c>
      <c r="E181" s="8" t="s">
        <v>25</v>
      </c>
      <c r="F181" s="8" t="s">
        <v>100</v>
      </c>
      <c r="G181" s="8" t="s">
        <v>78</v>
      </c>
      <c r="H181" t="s">
        <v>20</v>
      </c>
      <c r="I181" s="4">
        <v>8902</v>
      </c>
      <c r="J181" s="8">
        <v>4</v>
      </c>
      <c r="K181" s="4">
        <v>35608</v>
      </c>
      <c r="L181" s="4">
        <v>12462.8</v>
      </c>
      <c r="M181" s="3">
        <v>0.35</v>
      </c>
    </row>
    <row r="182" spans="2:13" x14ac:dyDescent="0.3">
      <c r="B182" t="s">
        <v>65</v>
      </c>
      <c r="C182" s="1" t="s">
        <v>64</v>
      </c>
      <c r="D182" s="2">
        <v>44577</v>
      </c>
      <c r="E182" s="8" t="s">
        <v>25</v>
      </c>
      <c r="F182" s="8" t="s">
        <v>100</v>
      </c>
      <c r="G182" s="8" t="s">
        <v>78</v>
      </c>
      <c r="H182" t="s">
        <v>12</v>
      </c>
      <c r="I182" s="4">
        <v>500</v>
      </c>
      <c r="J182" s="8">
        <v>4</v>
      </c>
      <c r="K182" s="4">
        <v>2000</v>
      </c>
      <c r="L182" s="4">
        <v>500</v>
      </c>
      <c r="M182" s="3">
        <v>0.25</v>
      </c>
    </row>
    <row r="183" spans="2:13" x14ac:dyDescent="0.3">
      <c r="B183" t="s">
        <v>65</v>
      </c>
      <c r="C183" s="1" t="s">
        <v>63</v>
      </c>
      <c r="D183" s="2">
        <v>44584</v>
      </c>
      <c r="E183" s="8" t="s">
        <v>25</v>
      </c>
      <c r="F183" s="8" t="s">
        <v>100</v>
      </c>
      <c r="G183" s="8" t="s">
        <v>78</v>
      </c>
      <c r="H183" t="s">
        <v>8</v>
      </c>
      <c r="I183" s="4">
        <v>1200</v>
      </c>
      <c r="J183" s="8">
        <v>5</v>
      </c>
      <c r="K183" s="4">
        <v>6000</v>
      </c>
      <c r="L183" s="4">
        <v>1800</v>
      </c>
      <c r="M183" s="3">
        <v>0.3</v>
      </c>
    </row>
    <row r="184" spans="2:13" x14ac:dyDescent="0.3">
      <c r="B184" t="s">
        <v>65</v>
      </c>
      <c r="C184" s="1" t="s">
        <v>63</v>
      </c>
      <c r="D184" s="2">
        <v>44591</v>
      </c>
      <c r="E184" s="8" t="s">
        <v>25</v>
      </c>
      <c r="F184" s="8" t="s">
        <v>100</v>
      </c>
      <c r="G184" s="8" t="s">
        <v>78</v>
      </c>
      <c r="H184" t="s">
        <v>12</v>
      </c>
      <c r="I184" s="4">
        <v>500</v>
      </c>
      <c r="J184" s="8">
        <v>12</v>
      </c>
      <c r="K184" s="4">
        <v>6000</v>
      </c>
      <c r="L184" s="4">
        <v>1500</v>
      </c>
      <c r="M184" s="3">
        <v>0.25</v>
      </c>
    </row>
    <row r="185" spans="2:13" x14ac:dyDescent="0.3">
      <c r="B185" t="s">
        <v>62</v>
      </c>
      <c r="C185" s="1" t="s">
        <v>63</v>
      </c>
      <c r="D185" s="2">
        <v>44598</v>
      </c>
      <c r="E185" s="8" t="s">
        <v>25</v>
      </c>
      <c r="F185" s="8" t="s">
        <v>100</v>
      </c>
      <c r="G185" s="8" t="s">
        <v>78</v>
      </c>
      <c r="H185" t="s">
        <v>20</v>
      </c>
      <c r="I185" s="4">
        <v>8902</v>
      </c>
      <c r="J185" s="8">
        <v>21</v>
      </c>
      <c r="K185" s="4">
        <v>186942</v>
      </c>
      <c r="L185" s="4">
        <v>65429.7</v>
      </c>
      <c r="M185" s="3">
        <v>0.35</v>
      </c>
    </row>
    <row r="186" spans="2:13" x14ac:dyDescent="0.3">
      <c r="B186" t="s">
        <v>65</v>
      </c>
      <c r="C186" s="1" t="s">
        <v>64</v>
      </c>
      <c r="D186" s="2">
        <v>44605</v>
      </c>
      <c r="E186" s="8" t="s">
        <v>25</v>
      </c>
      <c r="F186" s="8" t="s">
        <v>100</v>
      </c>
      <c r="G186" s="8" t="s">
        <v>78</v>
      </c>
      <c r="H186" t="s">
        <v>17</v>
      </c>
      <c r="I186" s="4">
        <v>5130</v>
      </c>
      <c r="J186" s="8">
        <v>2</v>
      </c>
      <c r="K186" s="4">
        <v>10260</v>
      </c>
      <c r="L186" s="4">
        <v>4104</v>
      </c>
      <c r="M186" s="3">
        <v>0.4</v>
      </c>
    </row>
    <row r="187" spans="2:13" x14ac:dyDescent="0.3">
      <c r="B187" t="s">
        <v>65</v>
      </c>
      <c r="C187" s="1" t="s">
        <v>63</v>
      </c>
      <c r="D187" s="2">
        <v>44612</v>
      </c>
      <c r="E187" s="8" t="s">
        <v>25</v>
      </c>
      <c r="F187" s="8" t="s">
        <v>100</v>
      </c>
      <c r="G187" s="8" t="s">
        <v>78</v>
      </c>
      <c r="H187" t="s">
        <v>20</v>
      </c>
      <c r="I187" s="4">
        <v>8902</v>
      </c>
      <c r="J187" s="8">
        <v>6</v>
      </c>
      <c r="K187" s="4">
        <v>53412</v>
      </c>
      <c r="L187" s="4">
        <v>18694.199999999997</v>
      </c>
      <c r="M187" s="3">
        <v>0.35</v>
      </c>
    </row>
    <row r="188" spans="2:13" x14ac:dyDescent="0.3">
      <c r="B188" t="s">
        <v>66</v>
      </c>
      <c r="C188" s="1" t="s">
        <v>63</v>
      </c>
      <c r="D188" s="2">
        <v>44619</v>
      </c>
      <c r="E188" s="8" t="s">
        <v>25</v>
      </c>
      <c r="F188" s="8" t="s">
        <v>100</v>
      </c>
      <c r="G188" s="8" t="s">
        <v>78</v>
      </c>
      <c r="H188" t="s">
        <v>11</v>
      </c>
      <c r="I188" s="4">
        <v>300</v>
      </c>
      <c r="J188" s="8">
        <v>1</v>
      </c>
      <c r="K188" s="4">
        <v>300</v>
      </c>
      <c r="L188" s="4">
        <v>45</v>
      </c>
      <c r="M188" s="3">
        <v>0.15</v>
      </c>
    </row>
    <row r="189" spans="2:13" x14ac:dyDescent="0.3">
      <c r="B189" t="s">
        <v>62</v>
      </c>
      <c r="C189" s="1" t="s">
        <v>64</v>
      </c>
      <c r="D189" s="2">
        <v>44626</v>
      </c>
      <c r="E189" s="8" t="s">
        <v>25</v>
      </c>
      <c r="F189" s="8" t="s">
        <v>100</v>
      </c>
      <c r="G189" s="8" t="s">
        <v>78</v>
      </c>
      <c r="H189" t="s">
        <v>10</v>
      </c>
      <c r="I189" s="4">
        <v>1700</v>
      </c>
      <c r="J189" s="8">
        <v>10</v>
      </c>
      <c r="K189" s="4">
        <v>17000</v>
      </c>
      <c r="L189" s="4">
        <v>8500</v>
      </c>
      <c r="M189" s="3">
        <v>0.5</v>
      </c>
    </row>
    <row r="190" spans="2:13" x14ac:dyDescent="0.3">
      <c r="B190" t="s">
        <v>60</v>
      </c>
      <c r="C190" s="1" t="s">
        <v>64</v>
      </c>
      <c r="D190" s="2">
        <v>44633</v>
      </c>
      <c r="E190" s="8" t="s">
        <v>25</v>
      </c>
      <c r="F190" s="8" t="s">
        <v>100</v>
      </c>
      <c r="G190" s="8" t="s">
        <v>78</v>
      </c>
      <c r="H190" t="s">
        <v>9</v>
      </c>
      <c r="I190" s="4">
        <v>1500</v>
      </c>
      <c r="J190" s="8">
        <v>3</v>
      </c>
      <c r="K190" s="4">
        <v>4500</v>
      </c>
      <c r="L190" s="4">
        <v>1800</v>
      </c>
      <c r="M190" s="3">
        <v>0.4</v>
      </c>
    </row>
    <row r="191" spans="2:13" x14ac:dyDescent="0.3">
      <c r="B191" t="s">
        <v>62</v>
      </c>
      <c r="C191" s="1" t="s">
        <v>63</v>
      </c>
      <c r="D191" s="2">
        <v>44640</v>
      </c>
      <c r="E191" s="8" t="s">
        <v>25</v>
      </c>
      <c r="F191" s="8" t="s">
        <v>100</v>
      </c>
      <c r="G191" s="8" t="s">
        <v>78</v>
      </c>
      <c r="H191" t="s">
        <v>19</v>
      </c>
      <c r="I191" s="4">
        <v>5340</v>
      </c>
      <c r="J191" s="8">
        <v>12</v>
      </c>
      <c r="K191" s="4">
        <v>64080</v>
      </c>
      <c r="L191" s="4">
        <v>19224</v>
      </c>
      <c r="M191" s="3">
        <v>0.3</v>
      </c>
    </row>
    <row r="192" spans="2:13" x14ac:dyDescent="0.3">
      <c r="B192" t="s">
        <v>65</v>
      </c>
      <c r="C192" s="1" t="s">
        <v>63</v>
      </c>
      <c r="D192" s="2">
        <v>44647</v>
      </c>
      <c r="E192" s="8" t="s">
        <v>25</v>
      </c>
      <c r="F192" s="8" t="s">
        <v>100</v>
      </c>
      <c r="G192" s="8" t="s">
        <v>78</v>
      </c>
      <c r="H192" t="s">
        <v>20</v>
      </c>
      <c r="I192" s="4">
        <v>8902</v>
      </c>
      <c r="J192" s="8">
        <v>2</v>
      </c>
      <c r="K192" s="4">
        <v>17804</v>
      </c>
      <c r="L192" s="4">
        <v>6231.4</v>
      </c>
      <c r="M192" s="3">
        <v>0.35</v>
      </c>
    </row>
    <row r="193" spans="2:13" x14ac:dyDescent="0.3">
      <c r="B193" t="s">
        <v>65</v>
      </c>
      <c r="C193" s="1" t="s">
        <v>63</v>
      </c>
      <c r="D193" s="2">
        <v>44654</v>
      </c>
      <c r="E193" s="8" t="s">
        <v>25</v>
      </c>
      <c r="F193" s="8" t="s">
        <v>100</v>
      </c>
      <c r="G193" s="8" t="s">
        <v>78</v>
      </c>
      <c r="H193" t="s">
        <v>17</v>
      </c>
      <c r="I193" s="4">
        <v>5130</v>
      </c>
      <c r="J193" s="8">
        <v>8</v>
      </c>
      <c r="K193" s="4">
        <v>41040</v>
      </c>
      <c r="L193" s="4">
        <v>16416</v>
      </c>
      <c r="M193" s="3">
        <v>0.4</v>
      </c>
    </row>
    <row r="194" spans="2:13" x14ac:dyDescent="0.3">
      <c r="B194" t="s">
        <v>60</v>
      </c>
      <c r="C194" s="1" t="s">
        <v>63</v>
      </c>
      <c r="D194" s="2">
        <v>44661</v>
      </c>
      <c r="E194" s="8" t="s">
        <v>25</v>
      </c>
      <c r="F194" s="8" t="s">
        <v>100</v>
      </c>
      <c r="G194" s="8" t="s">
        <v>78</v>
      </c>
      <c r="H194" t="s">
        <v>20</v>
      </c>
      <c r="I194" s="4">
        <v>8902</v>
      </c>
      <c r="J194" s="8">
        <v>3</v>
      </c>
      <c r="K194" s="4">
        <v>26706</v>
      </c>
      <c r="L194" s="4">
        <v>9347.0999999999985</v>
      </c>
      <c r="M194" s="3">
        <v>0.35</v>
      </c>
    </row>
    <row r="195" spans="2:13" x14ac:dyDescent="0.3">
      <c r="B195" t="s">
        <v>62</v>
      </c>
      <c r="C195" s="1" t="s">
        <v>64</v>
      </c>
      <c r="D195" s="2">
        <v>44668</v>
      </c>
      <c r="E195" s="8" t="s">
        <v>25</v>
      </c>
      <c r="F195" s="8" t="s">
        <v>100</v>
      </c>
      <c r="G195" s="8" t="s">
        <v>78</v>
      </c>
      <c r="H195" t="s">
        <v>16</v>
      </c>
      <c r="I195" s="4">
        <v>3400</v>
      </c>
      <c r="J195" s="8">
        <v>8</v>
      </c>
      <c r="K195" s="4">
        <v>27200</v>
      </c>
      <c r="L195" s="4">
        <v>9520</v>
      </c>
      <c r="M195" s="3">
        <v>0.35</v>
      </c>
    </row>
    <row r="196" spans="2:13" x14ac:dyDescent="0.3">
      <c r="B196" t="s">
        <v>62</v>
      </c>
      <c r="C196" s="1" t="s">
        <v>63</v>
      </c>
      <c r="D196" s="2">
        <v>44675</v>
      </c>
      <c r="E196" s="8" t="s">
        <v>25</v>
      </c>
      <c r="F196" s="8" t="s">
        <v>100</v>
      </c>
      <c r="G196" s="8" t="s">
        <v>78</v>
      </c>
      <c r="H196" t="s">
        <v>15</v>
      </c>
      <c r="I196" s="4">
        <v>5300</v>
      </c>
      <c r="J196" s="8">
        <v>10</v>
      </c>
      <c r="K196" s="4">
        <v>53000</v>
      </c>
      <c r="L196" s="4">
        <v>15900</v>
      </c>
      <c r="M196" s="3">
        <v>0.3</v>
      </c>
    </row>
    <row r="197" spans="2:13" x14ac:dyDescent="0.3">
      <c r="B197" t="s">
        <v>65</v>
      </c>
      <c r="C197" s="1" t="s">
        <v>64</v>
      </c>
      <c r="D197" s="2">
        <v>44682</v>
      </c>
      <c r="E197" s="8" t="s">
        <v>25</v>
      </c>
      <c r="F197" s="8" t="s">
        <v>100</v>
      </c>
      <c r="G197" s="8" t="s">
        <v>78</v>
      </c>
      <c r="H197" t="s">
        <v>20</v>
      </c>
      <c r="I197" s="4">
        <v>8902</v>
      </c>
      <c r="J197" s="8">
        <v>11</v>
      </c>
      <c r="K197" s="4">
        <v>97922</v>
      </c>
      <c r="L197" s="4">
        <v>34272.699999999997</v>
      </c>
      <c r="M197" s="3">
        <v>0.35</v>
      </c>
    </row>
    <row r="198" spans="2:13" x14ac:dyDescent="0.3">
      <c r="B198" t="s">
        <v>65</v>
      </c>
      <c r="C198" s="1" t="s">
        <v>63</v>
      </c>
      <c r="D198" s="2">
        <v>44689</v>
      </c>
      <c r="E198" s="8" t="s">
        <v>25</v>
      </c>
      <c r="F198" s="8" t="s">
        <v>100</v>
      </c>
      <c r="G198" s="8" t="s">
        <v>78</v>
      </c>
      <c r="H198" t="s">
        <v>17</v>
      </c>
      <c r="I198" s="4">
        <v>5130</v>
      </c>
      <c r="J198" s="8">
        <v>2</v>
      </c>
      <c r="K198" s="4">
        <v>10260</v>
      </c>
      <c r="L198" s="4">
        <v>4104</v>
      </c>
      <c r="M198" s="3">
        <v>0.4</v>
      </c>
    </row>
    <row r="199" spans="2:13" x14ac:dyDescent="0.3">
      <c r="B199" t="s">
        <v>66</v>
      </c>
      <c r="C199" s="1" t="s">
        <v>64</v>
      </c>
      <c r="D199" s="2">
        <v>44696</v>
      </c>
      <c r="E199" s="8" t="s">
        <v>25</v>
      </c>
      <c r="F199" s="8" t="s">
        <v>100</v>
      </c>
      <c r="G199" s="8" t="s">
        <v>78</v>
      </c>
      <c r="H199" t="s">
        <v>11</v>
      </c>
      <c r="I199" s="4">
        <v>300</v>
      </c>
      <c r="J199" s="8">
        <v>11</v>
      </c>
      <c r="K199" s="4">
        <v>3300</v>
      </c>
      <c r="L199" s="4">
        <v>495</v>
      </c>
      <c r="M199" s="3">
        <v>0.15</v>
      </c>
    </row>
    <row r="200" spans="2:13" x14ac:dyDescent="0.3">
      <c r="B200" t="s">
        <v>60</v>
      </c>
      <c r="C200" s="1" t="s">
        <v>63</v>
      </c>
      <c r="D200" s="2">
        <v>44703</v>
      </c>
      <c r="E200" s="8" t="s">
        <v>25</v>
      </c>
      <c r="F200" s="8" t="s">
        <v>100</v>
      </c>
      <c r="G200" s="8" t="s">
        <v>78</v>
      </c>
      <c r="H200" t="s">
        <v>13</v>
      </c>
      <c r="I200" s="4">
        <v>3200</v>
      </c>
      <c r="J200" s="8">
        <v>5</v>
      </c>
      <c r="K200" s="4">
        <v>16000</v>
      </c>
      <c r="L200" s="4">
        <v>3200</v>
      </c>
      <c r="M200" s="3">
        <v>0.2</v>
      </c>
    </row>
    <row r="201" spans="2:13" x14ac:dyDescent="0.3">
      <c r="B201" t="s">
        <v>65</v>
      </c>
      <c r="C201" s="1" t="s">
        <v>63</v>
      </c>
      <c r="D201" s="2">
        <v>44710</v>
      </c>
      <c r="E201" s="8" t="s">
        <v>25</v>
      </c>
      <c r="F201" s="8" t="s">
        <v>100</v>
      </c>
      <c r="G201" s="8" t="s">
        <v>78</v>
      </c>
      <c r="H201" t="s">
        <v>20</v>
      </c>
      <c r="I201" s="4">
        <v>8902</v>
      </c>
      <c r="J201" s="8">
        <v>2</v>
      </c>
      <c r="K201" s="4">
        <v>17804</v>
      </c>
      <c r="L201" s="4">
        <v>6231.4</v>
      </c>
      <c r="M201" s="3">
        <v>0.35</v>
      </c>
    </row>
    <row r="202" spans="2:13" x14ac:dyDescent="0.3">
      <c r="B202" t="s">
        <v>62</v>
      </c>
      <c r="C202" s="1" t="s">
        <v>63</v>
      </c>
      <c r="D202" s="2">
        <v>44717</v>
      </c>
      <c r="E202" s="8" t="s">
        <v>25</v>
      </c>
      <c r="F202" s="8" t="s">
        <v>100</v>
      </c>
      <c r="G202" s="8" t="s">
        <v>78</v>
      </c>
      <c r="H202" t="s">
        <v>11</v>
      </c>
      <c r="I202" s="4">
        <v>300</v>
      </c>
      <c r="J202" s="8">
        <v>10</v>
      </c>
      <c r="K202" s="4">
        <v>3000</v>
      </c>
      <c r="L202" s="4">
        <v>450</v>
      </c>
      <c r="M202" s="3">
        <v>0.15</v>
      </c>
    </row>
    <row r="203" spans="2:13" x14ac:dyDescent="0.3">
      <c r="B203" t="s">
        <v>66</v>
      </c>
      <c r="C203" s="1" t="s">
        <v>64</v>
      </c>
      <c r="D203" s="2">
        <v>44724</v>
      </c>
      <c r="E203" s="8" t="s">
        <v>25</v>
      </c>
      <c r="F203" s="8" t="s">
        <v>100</v>
      </c>
      <c r="G203" s="8" t="s">
        <v>78</v>
      </c>
      <c r="H203" t="s">
        <v>13</v>
      </c>
      <c r="I203" s="4">
        <v>3200</v>
      </c>
      <c r="J203" s="8">
        <v>12</v>
      </c>
      <c r="K203" s="4">
        <v>38400</v>
      </c>
      <c r="L203" s="4">
        <v>7680</v>
      </c>
      <c r="M203" s="3">
        <v>0.2</v>
      </c>
    </row>
    <row r="204" spans="2:13" x14ac:dyDescent="0.3">
      <c r="B204" t="s">
        <v>65</v>
      </c>
      <c r="C204" s="1" t="s">
        <v>63</v>
      </c>
      <c r="D204" s="2">
        <v>44731</v>
      </c>
      <c r="E204" s="8" t="s">
        <v>25</v>
      </c>
      <c r="F204" s="8" t="s">
        <v>100</v>
      </c>
      <c r="G204" s="8" t="s">
        <v>78</v>
      </c>
      <c r="H204" t="s">
        <v>18</v>
      </c>
      <c r="I204" s="4">
        <v>4600</v>
      </c>
      <c r="J204" s="8">
        <v>7</v>
      </c>
      <c r="K204" s="4">
        <v>32200</v>
      </c>
      <c r="L204" s="4">
        <v>8050</v>
      </c>
      <c r="M204" s="3">
        <v>0.25</v>
      </c>
    </row>
    <row r="205" spans="2:13" x14ac:dyDescent="0.3">
      <c r="B205" t="s">
        <v>66</v>
      </c>
      <c r="C205" s="1" t="s">
        <v>64</v>
      </c>
      <c r="D205" s="2">
        <v>44738</v>
      </c>
      <c r="E205" s="8" t="s">
        <v>25</v>
      </c>
      <c r="F205" s="8" t="s">
        <v>100</v>
      </c>
      <c r="G205" s="8" t="s">
        <v>78</v>
      </c>
      <c r="H205" t="s">
        <v>8</v>
      </c>
      <c r="I205" s="4">
        <v>1200</v>
      </c>
      <c r="J205" s="8">
        <v>9</v>
      </c>
      <c r="K205" s="4">
        <v>10800</v>
      </c>
      <c r="L205" s="4">
        <v>3240</v>
      </c>
      <c r="M205" s="3">
        <v>0.3</v>
      </c>
    </row>
    <row r="206" spans="2:13" x14ac:dyDescent="0.3">
      <c r="B206" t="s">
        <v>60</v>
      </c>
      <c r="C206" s="1" t="s">
        <v>64</v>
      </c>
      <c r="D206" s="2">
        <v>44745</v>
      </c>
      <c r="E206" s="8" t="s">
        <v>25</v>
      </c>
      <c r="F206" s="8" t="s">
        <v>100</v>
      </c>
      <c r="G206" s="8" t="s">
        <v>78</v>
      </c>
      <c r="H206" t="s">
        <v>18</v>
      </c>
      <c r="I206" s="4">
        <v>4600</v>
      </c>
      <c r="J206" s="8">
        <v>11</v>
      </c>
      <c r="K206" s="4">
        <v>50600</v>
      </c>
      <c r="L206" s="4">
        <v>12650</v>
      </c>
      <c r="M206" s="3">
        <v>0.25</v>
      </c>
    </row>
    <row r="207" spans="2:13" x14ac:dyDescent="0.3">
      <c r="B207" t="s">
        <v>61</v>
      </c>
      <c r="C207" s="1" t="s">
        <v>63</v>
      </c>
      <c r="D207" s="2">
        <v>44752</v>
      </c>
      <c r="E207" s="8" t="s">
        <v>25</v>
      </c>
      <c r="F207" s="8" t="s">
        <v>100</v>
      </c>
      <c r="G207" s="8" t="s">
        <v>78</v>
      </c>
      <c r="H207" t="s">
        <v>19</v>
      </c>
      <c r="I207" s="4">
        <v>5340</v>
      </c>
      <c r="J207" s="8">
        <v>9</v>
      </c>
      <c r="K207" s="4">
        <v>48060</v>
      </c>
      <c r="L207" s="4">
        <v>14418</v>
      </c>
      <c r="M207" s="3">
        <v>0.3</v>
      </c>
    </row>
    <row r="208" spans="2:13" x14ac:dyDescent="0.3">
      <c r="B208" t="s">
        <v>65</v>
      </c>
      <c r="C208" s="1" t="s">
        <v>63</v>
      </c>
      <c r="D208" s="2">
        <v>44759</v>
      </c>
      <c r="E208" s="8" t="s">
        <v>25</v>
      </c>
      <c r="F208" s="8" t="s">
        <v>100</v>
      </c>
      <c r="G208" s="8" t="s">
        <v>78</v>
      </c>
      <c r="H208" t="s">
        <v>15</v>
      </c>
      <c r="I208" s="4">
        <v>5300</v>
      </c>
      <c r="J208" s="8">
        <v>5</v>
      </c>
      <c r="K208" s="4">
        <v>26500</v>
      </c>
      <c r="L208" s="4">
        <v>7950</v>
      </c>
      <c r="M208" s="3">
        <v>0.3</v>
      </c>
    </row>
    <row r="209" spans="2:13" x14ac:dyDescent="0.3">
      <c r="B209" t="s">
        <v>65</v>
      </c>
      <c r="C209" s="1" t="s">
        <v>63</v>
      </c>
      <c r="D209" s="2">
        <v>44766</v>
      </c>
      <c r="E209" s="8" t="s">
        <v>25</v>
      </c>
      <c r="F209" s="8" t="s">
        <v>100</v>
      </c>
      <c r="G209" s="8" t="s">
        <v>78</v>
      </c>
      <c r="H209" t="s">
        <v>9</v>
      </c>
      <c r="I209" s="4">
        <v>1500</v>
      </c>
      <c r="J209" s="8">
        <v>3</v>
      </c>
      <c r="K209" s="4">
        <v>4500</v>
      </c>
      <c r="L209" s="4">
        <v>1800</v>
      </c>
      <c r="M209" s="3">
        <v>0.4</v>
      </c>
    </row>
    <row r="210" spans="2:13" x14ac:dyDescent="0.3">
      <c r="B210" t="s">
        <v>62</v>
      </c>
      <c r="C210" s="1" t="s">
        <v>63</v>
      </c>
      <c r="D210" s="2">
        <v>44766</v>
      </c>
      <c r="E210" s="8" t="s">
        <v>25</v>
      </c>
      <c r="F210" s="8" t="s">
        <v>100</v>
      </c>
      <c r="G210" s="8" t="s">
        <v>78</v>
      </c>
      <c r="H210" t="s">
        <v>13</v>
      </c>
      <c r="I210" s="4">
        <v>3200</v>
      </c>
      <c r="J210" s="8">
        <v>10</v>
      </c>
      <c r="K210" s="4">
        <v>32000</v>
      </c>
      <c r="L210" s="4">
        <v>6400</v>
      </c>
      <c r="M210" s="3">
        <v>0.2</v>
      </c>
    </row>
    <row r="211" spans="2:13" x14ac:dyDescent="0.3">
      <c r="B211" t="s">
        <v>65</v>
      </c>
      <c r="C211" s="1" t="s">
        <v>64</v>
      </c>
      <c r="D211" s="2">
        <v>44773</v>
      </c>
      <c r="E211" s="8" t="s">
        <v>25</v>
      </c>
      <c r="F211" s="8" t="s">
        <v>100</v>
      </c>
      <c r="G211" s="8" t="s">
        <v>78</v>
      </c>
      <c r="H211" t="s">
        <v>9</v>
      </c>
      <c r="I211" s="4">
        <v>1500</v>
      </c>
      <c r="J211" s="8">
        <v>8</v>
      </c>
      <c r="K211" s="4">
        <v>12000</v>
      </c>
      <c r="L211" s="4">
        <v>4800</v>
      </c>
      <c r="M211" s="3">
        <v>0.4</v>
      </c>
    </row>
    <row r="212" spans="2:13" x14ac:dyDescent="0.3">
      <c r="B212" t="s">
        <v>66</v>
      </c>
      <c r="C212" s="1" t="s">
        <v>64</v>
      </c>
      <c r="D212" s="2">
        <v>44780</v>
      </c>
      <c r="E212" s="8" t="s">
        <v>25</v>
      </c>
      <c r="F212" s="8" t="s">
        <v>100</v>
      </c>
      <c r="G212" s="8" t="s">
        <v>78</v>
      </c>
      <c r="H212" t="s">
        <v>12</v>
      </c>
      <c r="I212" s="4">
        <v>500</v>
      </c>
      <c r="J212" s="8">
        <v>12</v>
      </c>
      <c r="K212" s="4">
        <v>6000</v>
      </c>
      <c r="L212" s="4">
        <v>1500</v>
      </c>
      <c r="M212" s="3">
        <v>0.25</v>
      </c>
    </row>
    <row r="213" spans="2:13" x14ac:dyDescent="0.3">
      <c r="B213" t="s">
        <v>65</v>
      </c>
      <c r="C213" s="1" t="s">
        <v>63</v>
      </c>
      <c r="D213" s="2">
        <v>44787</v>
      </c>
      <c r="E213" s="8" t="s">
        <v>25</v>
      </c>
      <c r="F213" s="8" t="s">
        <v>100</v>
      </c>
      <c r="G213" s="8" t="s">
        <v>78</v>
      </c>
      <c r="H213" t="s">
        <v>11</v>
      </c>
      <c r="I213" s="4">
        <v>300</v>
      </c>
      <c r="J213" s="8">
        <v>8</v>
      </c>
      <c r="K213" s="4">
        <v>2400</v>
      </c>
      <c r="L213" s="4">
        <v>360</v>
      </c>
      <c r="M213" s="3">
        <v>0.15</v>
      </c>
    </row>
    <row r="214" spans="2:13" x14ac:dyDescent="0.3">
      <c r="B214" t="s">
        <v>60</v>
      </c>
      <c r="C214" s="1" t="s">
        <v>64</v>
      </c>
      <c r="D214" s="2">
        <v>44794</v>
      </c>
      <c r="E214" s="8" t="s">
        <v>25</v>
      </c>
      <c r="F214" s="8" t="s">
        <v>100</v>
      </c>
      <c r="G214" s="8" t="s">
        <v>78</v>
      </c>
      <c r="H214" t="s">
        <v>10</v>
      </c>
      <c r="I214" s="4">
        <v>1700</v>
      </c>
      <c r="J214" s="8">
        <v>10</v>
      </c>
      <c r="K214" s="4">
        <v>17000</v>
      </c>
      <c r="L214" s="4">
        <v>8500</v>
      </c>
      <c r="M214" s="3">
        <v>0.5</v>
      </c>
    </row>
    <row r="215" spans="2:13" x14ac:dyDescent="0.3">
      <c r="B215" t="s">
        <v>65</v>
      </c>
      <c r="C215" s="1" t="s">
        <v>63</v>
      </c>
      <c r="D215" s="2">
        <v>44801</v>
      </c>
      <c r="E215" s="8" t="s">
        <v>25</v>
      </c>
      <c r="F215" s="8" t="s">
        <v>100</v>
      </c>
      <c r="G215" s="8" t="s">
        <v>78</v>
      </c>
      <c r="H215" t="s">
        <v>16</v>
      </c>
      <c r="I215" s="4">
        <v>3400</v>
      </c>
      <c r="J215" s="8">
        <v>6</v>
      </c>
      <c r="K215" s="4">
        <v>20400</v>
      </c>
      <c r="L215" s="4">
        <v>7140</v>
      </c>
      <c r="M215" s="3">
        <v>0.35</v>
      </c>
    </row>
    <row r="216" spans="2:13" x14ac:dyDescent="0.3">
      <c r="B216" t="s">
        <v>65</v>
      </c>
      <c r="C216" s="1" t="s">
        <v>63</v>
      </c>
      <c r="D216" s="2">
        <v>44808</v>
      </c>
      <c r="E216" s="8" t="s">
        <v>25</v>
      </c>
      <c r="F216" s="8" t="s">
        <v>100</v>
      </c>
      <c r="G216" s="8" t="s">
        <v>78</v>
      </c>
      <c r="H216" t="s">
        <v>11</v>
      </c>
      <c r="I216" s="4">
        <v>300</v>
      </c>
      <c r="J216" s="8">
        <v>4</v>
      </c>
      <c r="K216" s="4">
        <v>1200</v>
      </c>
      <c r="L216" s="4">
        <v>180</v>
      </c>
      <c r="M216" s="3">
        <v>0.15</v>
      </c>
    </row>
    <row r="217" spans="2:13" x14ac:dyDescent="0.3">
      <c r="B217" t="s">
        <v>65</v>
      </c>
      <c r="C217" s="1" t="s">
        <v>63</v>
      </c>
      <c r="D217" s="2">
        <v>44815</v>
      </c>
      <c r="E217" s="8" t="s">
        <v>25</v>
      </c>
      <c r="F217" s="8" t="s">
        <v>100</v>
      </c>
      <c r="G217" s="8" t="s">
        <v>78</v>
      </c>
      <c r="H217" t="s">
        <v>12</v>
      </c>
      <c r="I217" s="4">
        <v>500</v>
      </c>
      <c r="J217" s="8">
        <v>9</v>
      </c>
      <c r="K217" s="4">
        <v>4500</v>
      </c>
      <c r="L217" s="4">
        <v>1125</v>
      </c>
      <c r="M217" s="3">
        <v>0.25</v>
      </c>
    </row>
    <row r="218" spans="2:13" x14ac:dyDescent="0.3">
      <c r="B218" t="s">
        <v>60</v>
      </c>
      <c r="C218" s="1" t="s">
        <v>63</v>
      </c>
      <c r="D218" s="2">
        <v>44822</v>
      </c>
      <c r="E218" s="8" t="s">
        <v>25</v>
      </c>
      <c r="F218" s="8" t="s">
        <v>100</v>
      </c>
      <c r="G218" s="8" t="s">
        <v>78</v>
      </c>
      <c r="H218" t="s">
        <v>13</v>
      </c>
      <c r="I218" s="4">
        <v>3200</v>
      </c>
      <c r="J218" s="8">
        <v>5</v>
      </c>
      <c r="K218" s="4">
        <v>16000</v>
      </c>
      <c r="L218" s="4">
        <v>3200</v>
      </c>
      <c r="M218" s="3">
        <v>0.2</v>
      </c>
    </row>
    <row r="219" spans="2:13" x14ac:dyDescent="0.3">
      <c r="B219" t="s">
        <v>65</v>
      </c>
      <c r="C219" s="1" t="s">
        <v>63</v>
      </c>
      <c r="D219" s="2">
        <v>44829</v>
      </c>
      <c r="E219" s="8" t="s">
        <v>25</v>
      </c>
      <c r="F219" s="8" t="s">
        <v>100</v>
      </c>
      <c r="G219" s="8" t="s">
        <v>78</v>
      </c>
      <c r="H219" t="s">
        <v>12</v>
      </c>
      <c r="I219" s="4">
        <v>500</v>
      </c>
      <c r="J219" s="8">
        <v>1</v>
      </c>
      <c r="K219" s="4">
        <v>500</v>
      </c>
      <c r="L219" s="4">
        <v>125</v>
      </c>
      <c r="M219" s="3">
        <v>0.25</v>
      </c>
    </row>
    <row r="220" spans="2:13" x14ac:dyDescent="0.3">
      <c r="B220" t="s">
        <v>60</v>
      </c>
      <c r="C220" s="1" t="s">
        <v>63</v>
      </c>
      <c r="D220" s="2">
        <v>44836</v>
      </c>
      <c r="E220" s="8" t="s">
        <v>25</v>
      </c>
      <c r="F220" s="8" t="s">
        <v>100</v>
      </c>
      <c r="G220" s="8" t="s">
        <v>78</v>
      </c>
      <c r="H220" t="s">
        <v>10</v>
      </c>
      <c r="I220" s="4">
        <v>1700</v>
      </c>
      <c r="J220" s="8">
        <v>6</v>
      </c>
      <c r="K220" s="4">
        <v>10200</v>
      </c>
      <c r="L220" s="4">
        <v>5100</v>
      </c>
      <c r="M220" s="3">
        <v>0.5</v>
      </c>
    </row>
    <row r="221" spans="2:13" x14ac:dyDescent="0.3">
      <c r="B221" t="s">
        <v>65</v>
      </c>
      <c r="C221" s="1" t="s">
        <v>63</v>
      </c>
      <c r="D221" s="2">
        <v>44843</v>
      </c>
      <c r="E221" s="8" t="s">
        <v>25</v>
      </c>
      <c r="F221" s="8" t="s">
        <v>100</v>
      </c>
      <c r="G221" s="8" t="s">
        <v>78</v>
      </c>
      <c r="H221" t="s">
        <v>20</v>
      </c>
      <c r="I221" s="4">
        <v>8902</v>
      </c>
      <c r="J221" s="8">
        <v>4</v>
      </c>
      <c r="K221" s="4">
        <v>35608</v>
      </c>
      <c r="L221" s="4">
        <v>12462.8</v>
      </c>
      <c r="M221" s="3">
        <v>0.35</v>
      </c>
    </row>
    <row r="222" spans="2:13" x14ac:dyDescent="0.3">
      <c r="B222" t="s">
        <v>62</v>
      </c>
      <c r="C222" s="1" t="s">
        <v>63</v>
      </c>
      <c r="D222" s="2">
        <v>44850</v>
      </c>
      <c r="E222" s="8" t="s">
        <v>25</v>
      </c>
      <c r="F222" s="8" t="s">
        <v>100</v>
      </c>
      <c r="G222" s="8" t="s">
        <v>78</v>
      </c>
      <c r="H222" t="s">
        <v>19</v>
      </c>
      <c r="I222" s="4">
        <v>5340</v>
      </c>
      <c r="J222" s="8">
        <v>1</v>
      </c>
      <c r="K222" s="4">
        <v>5340</v>
      </c>
      <c r="L222" s="4">
        <v>1602</v>
      </c>
      <c r="M222" s="3">
        <v>0.3</v>
      </c>
    </row>
    <row r="223" spans="2:13" x14ac:dyDescent="0.3">
      <c r="B223" t="s">
        <v>65</v>
      </c>
      <c r="C223" s="1" t="s">
        <v>63</v>
      </c>
      <c r="D223" s="2">
        <v>44857</v>
      </c>
      <c r="E223" s="8" t="s">
        <v>25</v>
      </c>
      <c r="F223" s="8" t="s">
        <v>100</v>
      </c>
      <c r="G223" s="8" t="s">
        <v>78</v>
      </c>
      <c r="H223" t="s">
        <v>20</v>
      </c>
      <c r="I223" s="4">
        <v>8902</v>
      </c>
      <c r="J223" s="8">
        <v>8</v>
      </c>
      <c r="K223" s="4">
        <v>71216</v>
      </c>
      <c r="L223" s="4">
        <v>24925.599999999999</v>
      </c>
      <c r="M223" s="3">
        <v>0.35</v>
      </c>
    </row>
    <row r="224" spans="2:13" x14ac:dyDescent="0.3">
      <c r="B224" t="s">
        <v>60</v>
      </c>
      <c r="C224" s="1" t="s">
        <v>64</v>
      </c>
      <c r="D224" s="2">
        <v>44864</v>
      </c>
      <c r="E224" s="8" t="s">
        <v>25</v>
      </c>
      <c r="F224" s="8" t="s">
        <v>100</v>
      </c>
      <c r="G224" s="8" t="s">
        <v>78</v>
      </c>
      <c r="H224" t="s">
        <v>12</v>
      </c>
      <c r="I224" s="4">
        <v>500</v>
      </c>
      <c r="J224" s="8">
        <v>5</v>
      </c>
      <c r="K224" s="4">
        <v>2500</v>
      </c>
      <c r="L224" s="4">
        <v>625</v>
      </c>
      <c r="M224" s="3">
        <v>0.25</v>
      </c>
    </row>
    <row r="225" spans="2:13" x14ac:dyDescent="0.3">
      <c r="B225" t="s">
        <v>61</v>
      </c>
      <c r="C225" s="1" t="s">
        <v>63</v>
      </c>
      <c r="D225" s="2">
        <v>44871</v>
      </c>
      <c r="E225" s="8" t="s">
        <v>25</v>
      </c>
      <c r="F225" s="8" t="s">
        <v>100</v>
      </c>
      <c r="G225" s="8" t="s">
        <v>78</v>
      </c>
      <c r="H225" t="s">
        <v>8</v>
      </c>
      <c r="I225" s="4">
        <v>1200</v>
      </c>
      <c r="J225" s="8">
        <v>2</v>
      </c>
      <c r="K225" s="4">
        <v>2400</v>
      </c>
      <c r="L225" s="4">
        <v>720</v>
      </c>
      <c r="M225" s="3">
        <v>0.3</v>
      </c>
    </row>
    <row r="226" spans="2:13" x14ac:dyDescent="0.3">
      <c r="B226" t="s">
        <v>66</v>
      </c>
      <c r="C226" s="1" t="s">
        <v>64</v>
      </c>
      <c r="D226" s="2">
        <v>44878</v>
      </c>
      <c r="E226" s="8" t="s">
        <v>25</v>
      </c>
      <c r="F226" s="8" t="s">
        <v>100</v>
      </c>
      <c r="G226" s="8" t="s">
        <v>78</v>
      </c>
      <c r="H226" t="s">
        <v>14</v>
      </c>
      <c r="I226" s="4">
        <v>4500</v>
      </c>
      <c r="J226" s="8">
        <v>5</v>
      </c>
      <c r="K226" s="4">
        <v>22500</v>
      </c>
      <c r="L226" s="4">
        <v>5625</v>
      </c>
      <c r="M226" s="3">
        <v>0.25</v>
      </c>
    </row>
    <row r="227" spans="2:13" x14ac:dyDescent="0.3">
      <c r="B227" t="s">
        <v>65</v>
      </c>
      <c r="C227" s="1" t="s">
        <v>63</v>
      </c>
      <c r="D227" s="2">
        <v>44885</v>
      </c>
      <c r="E227" s="8" t="s">
        <v>25</v>
      </c>
      <c r="F227" s="8" t="s">
        <v>100</v>
      </c>
      <c r="G227" s="8" t="s">
        <v>78</v>
      </c>
      <c r="H227" t="s">
        <v>20</v>
      </c>
      <c r="I227" s="4">
        <v>8902</v>
      </c>
      <c r="J227" s="8">
        <v>8</v>
      </c>
      <c r="K227" s="4">
        <v>71216</v>
      </c>
      <c r="L227" s="4">
        <v>24925.599999999999</v>
      </c>
      <c r="M227" s="3">
        <v>0.35</v>
      </c>
    </row>
    <row r="228" spans="2:13" x14ac:dyDescent="0.3">
      <c r="B228" t="s">
        <v>61</v>
      </c>
      <c r="C228" s="1" t="s">
        <v>63</v>
      </c>
      <c r="D228" s="2">
        <v>44892</v>
      </c>
      <c r="E228" s="8" t="s">
        <v>25</v>
      </c>
      <c r="F228" s="8" t="s">
        <v>100</v>
      </c>
      <c r="G228" s="8" t="s">
        <v>78</v>
      </c>
      <c r="H228" t="s">
        <v>15</v>
      </c>
      <c r="I228" s="4">
        <v>5300</v>
      </c>
      <c r="J228" s="8">
        <v>1</v>
      </c>
      <c r="K228" s="4">
        <v>5300</v>
      </c>
      <c r="L228" s="4">
        <v>1590</v>
      </c>
      <c r="M228" s="3">
        <v>0.3</v>
      </c>
    </row>
    <row r="229" spans="2:13" x14ac:dyDescent="0.3">
      <c r="B229" t="s">
        <v>66</v>
      </c>
      <c r="C229" s="1" t="s">
        <v>63</v>
      </c>
      <c r="D229" s="2">
        <v>44899</v>
      </c>
      <c r="E229" s="8" t="s">
        <v>25</v>
      </c>
      <c r="F229" s="8" t="s">
        <v>100</v>
      </c>
      <c r="G229" s="8" t="s">
        <v>78</v>
      </c>
      <c r="H229" t="s">
        <v>15</v>
      </c>
      <c r="I229" s="4">
        <v>5300</v>
      </c>
      <c r="J229" s="8">
        <v>1</v>
      </c>
      <c r="K229" s="4">
        <v>5300</v>
      </c>
      <c r="L229" s="4">
        <v>1590</v>
      </c>
      <c r="M229" s="3">
        <v>0.3</v>
      </c>
    </row>
    <row r="230" spans="2:13" x14ac:dyDescent="0.3">
      <c r="B230" t="s">
        <v>65</v>
      </c>
      <c r="C230" s="1" t="s">
        <v>63</v>
      </c>
      <c r="D230" s="2">
        <v>44906</v>
      </c>
      <c r="E230" s="8" t="s">
        <v>25</v>
      </c>
      <c r="F230" s="8" t="s">
        <v>100</v>
      </c>
      <c r="G230" s="8" t="s">
        <v>78</v>
      </c>
      <c r="H230" t="s">
        <v>18</v>
      </c>
      <c r="I230" s="4">
        <v>4600</v>
      </c>
      <c r="J230" s="8">
        <v>8</v>
      </c>
      <c r="K230" s="4">
        <v>36800</v>
      </c>
      <c r="L230" s="4">
        <v>9200</v>
      </c>
      <c r="M230" s="3">
        <v>0.25</v>
      </c>
    </row>
    <row r="231" spans="2:13" x14ac:dyDescent="0.3">
      <c r="B231" t="s">
        <v>62</v>
      </c>
      <c r="C231" s="1" t="s">
        <v>64</v>
      </c>
      <c r="D231" s="2">
        <v>44913</v>
      </c>
      <c r="E231" s="8" t="s">
        <v>25</v>
      </c>
      <c r="F231" s="8" t="s">
        <v>100</v>
      </c>
      <c r="G231" s="8" t="s">
        <v>78</v>
      </c>
      <c r="H231" t="s">
        <v>13</v>
      </c>
      <c r="I231" s="4">
        <v>3200</v>
      </c>
      <c r="J231" s="8">
        <v>6</v>
      </c>
      <c r="K231" s="4">
        <v>19200</v>
      </c>
      <c r="L231" s="4">
        <v>3840</v>
      </c>
      <c r="M231" s="3">
        <v>0.2</v>
      </c>
    </row>
    <row r="232" spans="2:13" x14ac:dyDescent="0.3">
      <c r="B232" t="s">
        <v>65</v>
      </c>
      <c r="C232" s="1" t="s">
        <v>64</v>
      </c>
      <c r="D232" s="2">
        <v>44920</v>
      </c>
      <c r="E232" s="8" t="s">
        <v>25</v>
      </c>
      <c r="F232" s="8" t="s">
        <v>100</v>
      </c>
      <c r="G232" s="8" t="s">
        <v>78</v>
      </c>
      <c r="H232" t="s">
        <v>17</v>
      </c>
      <c r="I232" s="4">
        <v>5130</v>
      </c>
      <c r="J232" s="8">
        <v>5</v>
      </c>
      <c r="K232" s="4">
        <v>25650</v>
      </c>
      <c r="L232" s="4">
        <v>10260</v>
      </c>
      <c r="M232" s="3">
        <v>0.4</v>
      </c>
    </row>
    <row r="233" spans="2:13" x14ac:dyDescent="0.3">
      <c r="B233" t="s">
        <v>62</v>
      </c>
      <c r="C233" s="1" t="s">
        <v>63</v>
      </c>
      <c r="D233" s="2">
        <v>44927</v>
      </c>
      <c r="E233" s="8" t="s">
        <v>25</v>
      </c>
      <c r="F233" s="8" t="s">
        <v>100</v>
      </c>
      <c r="G233" s="8" t="s">
        <v>78</v>
      </c>
      <c r="H233" t="s">
        <v>14</v>
      </c>
      <c r="I233" s="4">
        <v>4500</v>
      </c>
      <c r="J233" s="8">
        <v>11</v>
      </c>
      <c r="K233" s="4">
        <v>49500</v>
      </c>
      <c r="L233" s="4">
        <v>12375</v>
      </c>
      <c r="M233" s="3">
        <v>0.25</v>
      </c>
    </row>
    <row r="234" spans="2:13" x14ac:dyDescent="0.3">
      <c r="B234" t="s">
        <v>61</v>
      </c>
      <c r="C234" s="1" t="s">
        <v>63</v>
      </c>
      <c r="D234" s="2">
        <v>44934</v>
      </c>
      <c r="E234" s="8" t="s">
        <v>25</v>
      </c>
      <c r="F234" s="8" t="s">
        <v>100</v>
      </c>
      <c r="G234" s="8" t="s">
        <v>78</v>
      </c>
      <c r="H234" t="s">
        <v>11</v>
      </c>
      <c r="I234" s="4">
        <v>300</v>
      </c>
      <c r="J234" s="8">
        <v>4</v>
      </c>
      <c r="K234" s="4">
        <v>1200</v>
      </c>
      <c r="L234" s="4">
        <v>180</v>
      </c>
      <c r="M234" s="3">
        <v>0.15</v>
      </c>
    </row>
    <row r="235" spans="2:13" x14ac:dyDescent="0.3">
      <c r="B235" t="s">
        <v>65</v>
      </c>
      <c r="C235" s="1" t="s">
        <v>64</v>
      </c>
      <c r="D235" s="2">
        <v>44941</v>
      </c>
      <c r="E235" s="8" t="s">
        <v>25</v>
      </c>
      <c r="F235" s="8" t="s">
        <v>100</v>
      </c>
      <c r="G235" s="8" t="s">
        <v>78</v>
      </c>
      <c r="H235" t="s">
        <v>20</v>
      </c>
      <c r="I235" s="4">
        <v>8902</v>
      </c>
      <c r="J235" s="8">
        <v>3</v>
      </c>
      <c r="K235" s="4">
        <v>26706</v>
      </c>
      <c r="L235" s="4">
        <v>9347.0999999999985</v>
      </c>
      <c r="M235" s="3">
        <v>0.35</v>
      </c>
    </row>
    <row r="236" spans="2:13" x14ac:dyDescent="0.3">
      <c r="B236" t="s">
        <v>65</v>
      </c>
      <c r="C236" s="1" t="s">
        <v>64</v>
      </c>
      <c r="D236" s="2">
        <v>44948</v>
      </c>
      <c r="E236" s="8" t="s">
        <v>25</v>
      </c>
      <c r="F236" s="8" t="s">
        <v>100</v>
      </c>
      <c r="G236" s="8" t="s">
        <v>78</v>
      </c>
      <c r="H236" t="s">
        <v>18</v>
      </c>
      <c r="I236" s="4">
        <v>4600</v>
      </c>
      <c r="J236" s="8">
        <v>12</v>
      </c>
      <c r="K236" s="4">
        <v>55200</v>
      </c>
      <c r="L236" s="4">
        <v>13800</v>
      </c>
      <c r="M236" s="3">
        <v>0.25</v>
      </c>
    </row>
    <row r="237" spans="2:13" x14ac:dyDescent="0.3">
      <c r="B237" t="s">
        <v>65</v>
      </c>
      <c r="C237" s="1" t="s">
        <v>64</v>
      </c>
      <c r="D237" s="2">
        <v>44955</v>
      </c>
      <c r="E237" s="8" t="s">
        <v>25</v>
      </c>
      <c r="F237" s="8" t="s">
        <v>100</v>
      </c>
      <c r="G237" s="8" t="s">
        <v>78</v>
      </c>
      <c r="H237" t="s">
        <v>16</v>
      </c>
      <c r="I237" s="4">
        <v>3400</v>
      </c>
      <c r="J237" s="8">
        <v>1</v>
      </c>
      <c r="K237" s="4">
        <v>3400</v>
      </c>
      <c r="L237" s="4">
        <v>1190</v>
      </c>
      <c r="M237" s="3">
        <v>0.35</v>
      </c>
    </row>
    <row r="238" spans="2:13" x14ac:dyDescent="0.3">
      <c r="B238" t="s">
        <v>61</v>
      </c>
      <c r="C238" s="1" t="s">
        <v>63</v>
      </c>
      <c r="D238" s="2">
        <v>44962</v>
      </c>
      <c r="E238" s="8" t="s">
        <v>25</v>
      </c>
      <c r="F238" s="8" t="s">
        <v>100</v>
      </c>
      <c r="G238" s="8" t="s">
        <v>78</v>
      </c>
      <c r="H238" t="s">
        <v>19</v>
      </c>
      <c r="I238" s="4">
        <v>5340</v>
      </c>
      <c r="J238" s="8">
        <v>8</v>
      </c>
      <c r="K238" s="4">
        <v>42720</v>
      </c>
      <c r="L238" s="4">
        <v>12816</v>
      </c>
      <c r="M238" s="3">
        <v>0.3</v>
      </c>
    </row>
    <row r="239" spans="2:13" x14ac:dyDescent="0.3">
      <c r="B239" t="s">
        <v>65</v>
      </c>
      <c r="C239" s="1" t="s">
        <v>64</v>
      </c>
      <c r="D239" s="2">
        <v>44969</v>
      </c>
      <c r="E239" s="8" t="s">
        <v>25</v>
      </c>
      <c r="F239" s="8" t="s">
        <v>100</v>
      </c>
      <c r="G239" s="8" t="s">
        <v>78</v>
      </c>
      <c r="H239" t="s">
        <v>10</v>
      </c>
      <c r="I239" s="4">
        <v>1700</v>
      </c>
      <c r="J239" s="8">
        <v>12</v>
      </c>
      <c r="K239" s="4">
        <v>20400</v>
      </c>
      <c r="L239" s="4">
        <v>10200</v>
      </c>
      <c r="M239" s="3">
        <v>0.5</v>
      </c>
    </row>
    <row r="240" spans="2:13" x14ac:dyDescent="0.3">
      <c r="B240" t="s">
        <v>60</v>
      </c>
      <c r="C240" s="1" t="s">
        <v>64</v>
      </c>
      <c r="D240" s="2">
        <v>44976</v>
      </c>
      <c r="E240" s="8" t="s">
        <v>25</v>
      </c>
      <c r="F240" s="8" t="s">
        <v>100</v>
      </c>
      <c r="G240" s="8" t="s">
        <v>78</v>
      </c>
      <c r="H240" t="s">
        <v>13</v>
      </c>
      <c r="I240" s="4">
        <v>3200</v>
      </c>
      <c r="J240" s="8">
        <v>12</v>
      </c>
      <c r="K240" s="4">
        <v>38400</v>
      </c>
      <c r="L240" s="4">
        <v>7680</v>
      </c>
      <c r="M240" s="3">
        <v>0.2</v>
      </c>
    </row>
    <row r="241" spans="2:13" x14ac:dyDescent="0.3">
      <c r="B241" t="s">
        <v>60</v>
      </c>
      <c r="C241" s="1" t="s">
        <v>63</v>
      </c>
      <c r="D241" s="2">
        <v>44983</v>
      </c>
      <c r="E241" s="8" t="s">
        <v>25</v>
      </c>
      <c r="F241" s="8" t="s">
        <v>100</v>
      </c>
      <c r="G241" s="8" t="s">
        <v>78</v>
      </c>
      <c r="H241" t="s">
        <v>12</v>
      </c>
      <c r="I241" s="4">
        <v>500</v>
      </c>
      <c r="J241" s="8">
        <v>10</v>
      </c>
      <c r="K241" s="4">
        <v>5000</v>
      </c>
      <c r="L241" s="4">
        <v>1250</v>
      </c>
      <c r="M241" s="3">
        <v>0.25</v>
      </c>
    </row>
    <row r="242" spans="2:13" x14ac:dyDescent="0.3">
      <c r="B242" t="s">
        <v>60</v>
      </c>
      <c r="C242" s="1" t="s">
        <v>63</v>
      </c>
      <c r="D242" s="2">
        <v>44990</v>
      </c>
      <c r="E242" s="8" t="s">
        <v>25</v>
      </c>
      <c r="F242" s="8" t="s">
        <v>100</v>
      </c>
      <c r="G242" s="8" t="s">
        <v>78</v>
      </c>
      <c r="H242" t="s">
        <v>15</v>
      </c>
      <c r="I242" s="4">
        <v>5300</v>
      </c>
      <c r="J242" s="8">
        <v>10</v>
      </c>
      <c r="K242" s="4">
        <v>53000</v>
      </c>
      <c r="L242" s="4">
        <v>15900</v>
      </c>
      <c r="M242" s="3">
        <v>0.3</v>
      </c>
    </row>
    <row r="243" spans="2:13" x14ac:dyDescent="0.3">
      <c r="B243" t="s">
        <v>65</v>
      </c>
      <c r="C243" s="1" t="s">
        <v>63</v>
      </c>
      <c r="D243" s="2">
        <v>44997</v>
      </c>
      <c r="E243" s="8" t="s">
        <v>25</v>
      </c>
      <c r="F243" s="8" t="s">
        <v>100</v>
      </c>
      <c r="G243" s="8" t="s">
        <v>78</v>
      </c>
      <c r="H243" t="s">
        <v>13</v>
      </c>
      <c r="I243" s="4">
        <v>3200</v>
      </c>
      <c r="J243" s="8">
        <v>7</v>
      </c>
      <c r="K243" s="4">
        <v>22400</v>
      </c>
      <c r="L243" s="4">
        <v>4480</v>
      </c>
      <c r="M243" s="3">
        <v>0.2</v>
      </c>
    </row>
    <row r="244" spans="2:13" x14ac:dyDescent="0.3">
      <c r="B244" t="s">
        <v>61</v>
      </c>
      <c r="C244" s="1" t="s">
        <v>64</v>
      </c>
      <c r="D244" s="2">
        <v>45004</v>
      </c>
      <c r="E244" s="8" t="s">
        <v>25</v>
      </c>
      <c r="F244" s="8" t="s">
        <v>100</v>
      </c>
      <c r="G244" s="8" t="s">
        <v>78</v>
      </c>
      <c r="H244" t="s">
        <v>12</v>
      </c>
      <c r="I244" s="4">
        <v>500</v>
      </c>
      <c r="J244" s="8">
        <v>15</v>
      </c>
      <c r="K244" s="4">
        <v>7500</v>
      </c>
      <c r="L244" s="4">
        <v>1875</v>
      </c>
      <c r="M244" s="3">
        <v>0.25</v>
      </c>
    </row>
    <row r="245" spans="2:13" x14ac:dyDescent="0.3">
      <c r="B245" t="s">
        <v>60</v>
      </c>
      <c r="C245" s="1" t="s">
        <v>64</v>
      </c>
      <c r="D245" s="2">
        <v>45011</v>
      </c>
      <c r="E245" s="8" t="s">
        <v>25</v>
      </c>
      <c r="F245" s="8" t="s">
        <v>100</v>
      </c>
      <c r="G245" s="8" t="s">
        <v>78</v>
      </c>
      <c r="H245" t="s">
        <v>13</v>
      </c>
      <c r="I245" s="4">
        <v>3200</v>
      </c>
      <c r="J245" s="8">
        <v>10</v>
      </c>
      <c r="K245" s="4">
        <v>32000</v>
      </c>
      <c r="L245" s="4">
        <v>6400</v>
      </c>
      <c r="M245" s="3">
        <v>0.2</v>
      </c>
    </row>
    <row r="246" spans="2:13" x14ac:dyDescent="0.3">
      <c r="B246" t="s">
        <v>65</v>
      </c>
      <c r="C246" s="1" t="s">
        <v>63</v>
      </c>
      <c r="D246" s="2">
        <v>45018</v>
      </c>
      <c r="E246" s="8" t="s">
        <v>25</v>
      </c>
      <c r="F246" s="8" t="s">
        <v>100</v>
      </c>
      <c r="G246" s="8" t="s">
        <v>78</v>
      </c>
      <c r="H246" t="s">
        <v>14</v>
      </c>
      <c r="I246" s="4">
        <v>4500</v>
      </c>
      <c r="J246" s="8">
        <v>8</v>
      </c>
      <c r="K246" s="4">
        <v>36000</v>
      </c>
      <c r="L246" s="4">
        <v>9000</v>
      </c>
      <c r="M246" s="3">
        <v>0.25</v>
      </c>
    </row>
    <row r="247" spans="2:13" x14ac:dyDescent="0.3">
      <c r="B247" t="s">
        <v>60</v>
      </c>
      <c r="C247" s="1" t="s">
        <v>63</v>
      </c>
      <c r="D247" s="2">
        <v>45025</v>
      </c>
      <c r="E247" s="8" t="s">
        <v>25</v>
      </c>
      <c r="F247" s="8" t="s">
        <v>100</v>
      </c>
      <c r="G247" s="8" t="s">
        <v>78</v>
      </c>
      <c r="H247" t="s">
        <v>14</v>
      </c>
      <c r="I247" s="4">
        <v>4500</v>
      </c>
      <c r="J247" s="8">
        <v>4</v>
      </c>
      <c r="K247" s="4">
        <v>18000</v>
      </c>
      <c r="L247" s="4">
        <v>4500</v>
      </c>
      <c r="M247" s="3">
        <v>0.25</v>
      </c>
    </row>
    <row r="248" spans="2:13" x14ac:dyDescent="0.3">
      <c r="B248" t="s">
        <v>62</v>
      </c>
      <c r="C248" s="1" t="s">
        <v>63</v>
      </c>
      <c r="D248" s="2">
        <v>45032</v>
      </c>
      <c r="E248" s="8" t="s">
        <v>25</v>
      </c>
      <c r="F248" s="8" t="s">
        <v>100</v>
      </c>
      <c r="G248" s="8" t="s">
        <v>78</v>
      </c>
      <c r="H248" t="s">
        <v>14</v>
      </c>
      <c r="I248" s="4">
        <v>4500</v>
      </c>
      <c r="J248" s="8">
        <v>5</v>
      </c>
      <c r="K248" s="4">
        <v>22500</v>
      </c>
      <c r="L248" s="4">
        <v>5625</v>
      </c>
      <c r="M248" s="3">
        <v>0.25</v>
      </c>
    </row>
    <row r="249" spans="2:13" x14ac:dyDescent="0.3">
      <c r="B249" t="s">
        <v>61</v>
      </c>
      <c r="C249" s="1" t="s">
        <v>63</v>
      </c>
      <c r="D249" s="2">
        <v>45039</v>
      </c>
      <c r="E249" s="8" t="s">
        <v>25</v>
      </c>
      <c r="F249" s="8" t="s">
        <v>100</v>
      </c>
      <c r="G249" s="8" t="s">
        <v>78</v>
      </c>
      <c r="H249" t="s">
        <v>14</v>
      </c>
      <c r="I249" s="4">
        <v>4500</v>
      </c>
      <c r="J249" s="8">
        <v>6</v>
      </c>
      <c r="K249" s="4">
        <v>27000</v>
      </c>
      <c r="L249" s="4">
        <v>6750</v>
      </c>
      <c r="M249" s="3">
        <v>0.25</v>
      </c>
    </row>
    <row r="250" spans="2:13" x14ac:dyDescent="0.3">
      <c r="B250" t="s">
        <v>62</v>
      </c>
      <c r="C250" s="1" t="s">
        <v>63</v>
      </c>
      <c r="D250" s="2">
        <v>45046</v>
      </c>
      <c r="E250" s="8" t="s">
        <v>25</v>
      </c>
      <c r="F250" s="8" t="s">
        <v>100</v>
      </c>
      <c r="G250" s="8" t="s">
        <v>78</v>
      </c>
      <c r="H250" t="s">
        <v>8</v>
      </c>
      <c r="I250" s="4">
        <v>1200</v>
      </c>
      <c r="J250" s="8">
        <v>4</v>
      </c>
      <c r="K250" s="4">
        <v>4800</v>
      </c>
      <c r="L250" s="4">
        <v>1440</v>
      </c>
      <c r="M250" s="3">
        <v>0.3</v>
      </c>
    </row>
    <row r="251" spans="2:13" x14ac:dyDescent="0.3">
      <c r="B251" t="s">
        <v>66</v>
      </c>
      <c r="C251" s="1" t="s">
        <v>63</v>
      </c>
      <c r="D251" s="2">
        <v>45053</v>
      </c>
      <c r="E251" s="8" t="s">
        <v>25</v>
      </c>
      <c r="F251" s="8" t="s">
        <v>100</v>
      </c>
      <c r="G251" s="8" t="s">
        <v>78</v>
      </c>
      <c r="H251" t="s">
        <v>16</v>
      </c>
      <c r="I251" s="4">
        <v>3400</v>
      </c>
      <c r="J251" s="8">
        <v>1</v>
      </c>
      <c r="K251" s="4">
        <v>3400</v>
      </c>
      <c r="L251" s="4">
        <v>1190</v>
      </c>
      <c r="M251" s="3">
        <v>0.35</v>
      </c>
    </row>
    <row r="252" spans="2:13" x14ac:dyDescent="0.3">
      <c r="B252" t="s">
        <v>60</v>
      </c>
      <c r="C252" s="1" t="s">
        <v>64</v>
      </c>
      <c r="D252" s="2">
        <v>45060</v>
      </c>
      <c r="E252" s="8" t="s">
        <v>25</v>
      </c>
      <c r="F252" s="8" t="s">
        <v>100</v>
      </c>
      <c r="G252" s="8" t="s">
        <v>78</v>
      </c>
      <c r="H252" t="s">
        <v>12</v>
      </c>
      <c r="I252" s="4">
        <v>500</v>
      </c>
      <c r="J252" s="8">
        <v>10</v>
      </c>
      <c r="K252" s="4">
        <v>5000</v>
      </c>
      <c r="L252" s="4">
        <v>1250</v>
      </c>
      <c r="M252" s="3">
        <v>0.25</v>
      </c>
    </row>
    <row r="253" spans="2:13" x14ac:dyDescent="0.3">
      <c r="B253" t="s">
        <v>60</v>
      </c>
      <c r="C253" s="1" t="s">
        <v>63</v>
      </c>
      <c r="D253" s="2">
        <v>45067</v>
      </c>
      <c r="E253" s="8" t="s">
        <v>25</v>
      </c>
      <c r="F253" s="8" t="s">
        <v>100</v>
      </c>
      <c r="G253" s="8" t="s">
        <v>78</v>
      </c>
      <c r="H253" t="s">
        <v>16</v>
      </c>
      <c r="I253" s="4">
        <v>3400</v>
      </c>
      <c r="J253" s="8">
        <v>8</v>
      </c>
      <c r="K253" s="4">
        <v>27200</v>
      </c>
      <c r="L253" s="4">
        <v>9520</v>
      </c>
      <c r="M253" s="3">
        <v>0.35</v>
      </c>
    </row>
    <row r="254" spans="2:13" x14ac:dyDescent="0.3">
      <c r="B254" t="s">
        <v>65</v>
      </c>
      <c r="C254" s="1" t="s">
        <v>63</v>
      </c>
      <c r="D254" s="2">
        <v>45074</v>
      </c>
      <c r="E254" s="8" t="s">
        <v>25</v>
      </c>
      <c r="F254" s="8" t="s">
        <v>100</v>
      </c>
      <c r="G254" s="8" t="s">
        <v>78</v>
      </c>
      <c r="H254" t="s">
        <v>18</v>
      </c>
      <c r="I254" s="4">
        <v>4600</v>
      </c>
      <c r="J254" s="8">
        <v>12</v>
      </c>
      <c r="K254" s="4">
        <v>55200</v>
      </c>
      <c r="L254" s="4">
        <v>13800</v>
      </c>
      <c r="M254" s="3">
        <v>0.25</v>
      </c>
    </row>
    <row r="255" spans="2:13" x14ac:dyDescent="0.3">
      <c r="B255" t="s">
        <v>60</v>
      </c>
      <c r="C255" s="1" t="s">
        <v>64</v>
      </c>
      <c r="D255" s="2">
        <v>45081</v>
      </c>
      <c r="E255" s="8" t="s">
        <v>25</v>
      </c>
      <c r="F255" s="8" t="s">
        <v>100</v>
      </c>
      <c r="G255" s="8" t="s">
        <v>78</v>
      </c>
      <c r="H255" t="s">
        <v>12</v>
      </c>
      <c r="I255" s="4">
        <v>500</v>
      </c>
      <c r="J255" s="8">
        <v>10</v>
      </c>
      <c r="K255" s="4">
        <v>5000</v>
      </c>
      <c r="L255" s="4">
        <v>1250</v>
      </c>
      <c r="M255" s="3">
        <v>0.25</v>
      </c>
    </row>
    <row r="256" spans="2:13" x14ac:dyDescent="0.3">
      <c r="B256" t="s">
        <v>66</v>
      </c>
      <c r="C256" s="1" t="s">
        <v>63</v>
      </c>
      <c r="D256" s="2">
        <v>45088</v>
      </c>
      <c r="E256" s="8" t="s">
        <v>25</v>
      </c>
      <c r="F256" s="8" t="s">
        <v>100</v>
      </c>
      <c r="G256" s="8" t="s">
        <v>78</v>
      </c>
      <c r="H256" t="s">
        <v>17</v>
      </c>
      <c r="I256" s="4">
        <v>5130</v>
      </c>
      <c r="J256" s="8">
        <v>15</v>
      </c>
      <c r="K256" s="4">
        <v>76950</v>
      </c>
      <c r="L256" s="4">
        <v>30780</v>
      </c>
      <c r="M256" s="3">
        <v>0.4</v>
      </c>
    </row>
    <row r="257" spans="2:13" x14ac:dyDescent="0.3">
      <c r="B257" t="s">
        <v>61</v>
      </c>
      <c r="C257" s="1" t="s">
        <v>64</v>
      </c>
      <c r="D257" s="2">
        <v>45095</v>
      </c>
      <c r="E257" s="8" t="s">
        <v>25</v>
      </c>
      <c r="F257" s="8" t="s">
        <v>100</v>
      </c>
      <c r="G257" s="8" t="s">
        <v>78</v>
      </c>
      <c r="H257" t="s">
        <v>9</v>
      </c>
      <c r="I257" s="4">
        <v>1500</v>
      </c>
      <c r="J257" s="8">
        <v>1</v>
      </c>
      <c r="K257" s="4">
        <v>1500</v>
      </c>
      <c r="L257" s="4">
        <v>600</v>
      </c>
      <c r="M257" s="3">
        <v>0.4</v>
      </c>
    </row>
    <row r="258" spans="2:13" x14ac:dyDescent="0.3">
      <c r="B258" t="s">
        <v>65</v>
      </c>
      <c r="C258" s="1" t="s">
        <v>63</v>
      </c>
      <c r="D258" s="2">
        <v>45102</v>
      </c>
      <c r="E258" s="8" t="s">
        <v>25</v>
      </c>
      <c r="F258" s="8" t="s">
        <v>100</v>
      </c>
      <c r="G258" s="8" t="s">
        <v>78</v>
      </c>
      <c r="H258" t="s">
        <v>13</v>
      </c>
      <c r="I258" s="4">
        <v>3200</v>
      </c>
      <c r="J258" s="8">
        <v>11</v>
      </c>
      <c r="K258" s="4">
        <v>35200</v>
      </c>
      <c r="L258" s="4">
        <v>7040</v>
      </c>
      <c r="M258" s="3">
        <v>0.2</v>
      </c>
    </row>
    <row r="259" spans="2:13" x14ac:dyDescent="0.3">
      <c r="B259" t="s">
        <v>65</v>
      </c>
      <c r="C259" s="1" t="s">
        <v>63</v>
      </c>
      <c r="D259" s="2">
        <v>45109</v>
      </c>
      <c r="E259" s="8" t="s">
        <v>25</v>
      </c>
      <c r="F259" s="8" t="s">
        <v>100</v>
      </c>
      <c r="G259" s="8" t="s">
        <v>78</v>
      </c>
      <c r="H259" t="s">
        <v>19</v>
      </c>
      <c r="I259" s="4">
        <v>5340</v>
      </c>
      <c r="J259" s="8">
        <v>2</v>
      </c>
      <c r="K259" s="4">
        <v>10680</v>
      </c>
      <c r="L259" s="4">
        <v>3204</v>
      </c>
      <c r="M259" s="3">
        <v>0.3</v>
      </c>
    </row>
    <row r="260" spans="2:13" x14ac:dyDescent="0.3">
      <c r="B260" t="s">
        <v>60</v>
      </c>
      <c r="C260" s="1" t="s">
        <v>64</v>
      </c>
      <c r="D260" s="2">
        <v>45116</v>
      </c>
      <c r="E260" s="8" t="s">
        <v>25</v>
      </c>
      <c r="F260" s="8" t="s">
        <v>100</v>
      </c>
      <c r="G260" s="8" t="s">
        <v>78</v>
      </c>
      <c r="H260" t="s">
        <v>19</v>
      </c>
      <c r="I260" s="4">
        <v>5340</v>
      </c>
      <c r="J260" s="8">
        <v>1</v>
      </c>
      <c r="K260" s="4">
        <v>5340</v>
      </c>
      <c r="L260" s="4">
        <v>1602</v>
      </c>
      <c r="M260" s="3">
        <v>0.3</v>
      </c>
    </row>
    <row r="261" spans="2:13" x14ac:dyDescent="0.3">
      <c r="B261" t="s">
        <v>65</v>
      </c>
      <c r="C261" s="1" t="s">
        <v>64</v>
      </c>
      <c r="D261" s="2">
        <v>45123</v>
      </c>
      <c r="E261" s="8" t="s">
        <v>25</v>
      </c>
      <c r="F261" s="8" t="s">
        <v>100</v>
      </c>
      <c r="G261" s="8" t="s">
        <v>78</v>
      </c>
      <c r="H261" t="s">
        <v>12</v>
      </c>
      <c r="I261" s="4">
        <v>500</v>
      </c>
      <c r="J261" s="8">
        <v>5</v>
      </c>
      <c r="K261" s="4">
        <v>2500</v>
      </c>
      <c r="L261" s="4">
        <v>625</v>
      </c>
      <c r="M261" s="3">
        <v>0.25</v>
      </c>
    </row>
    <row r="262" spans="2:13" x14ac:dyDescent="0.3">
      <c r="B262" t="s">
        <v>65</v>
      </c>
      <c r="C262" s="1" t="s">
        <v>64</v>
      </c>
      <c r="D262" s="2">
        <v>45130</v>
      </c>
      <c r="E262" s="8" t="s">
        <v>25</v>
      </c>
      <c r="F262" s="8" t="s">
        <v>100</v>
      </c>
      <c r="G262" s="8" t="s">
        <v>78</v>
      </c>
      <c r="H262" t="s">
        <v>19</v>
      </c>
      <c r="I262" s="4">
        <v>5340</v>
      </c>
      <c r="J262" s="8">
        <v>12</v>
      </c>
      <c r="K262" s="4">
        <v>64080</v>
      </c>
      <c r="L262" s="4">
        <v>19224</v>
      </c>
      <c r="M262" s="3">
        <v>0.3</v>
      </c>
    </row>
    <row r="263" spans="2:13" x14ac:dyDescent="0.3">
      <c r="B263" t="s">
        <v>61</v>
      </c>
      <c r="C263" s="1" t="s">
        <v>63</v>
      </c>
      <c r="D263" s="2">
        <v>45137</v>
      </c>
      <c r="E263" s="8" t="s">
        <v>25</v>
      </c>
      <c r="F263" s="8" t="s">
        <v>100</v>
      </c>
      <c r="G263" s="8" t="s">
        <v>78</v>
      </c>
      <c r="H263" t="s">
        <v>8</v>
      </c>
      <c r="I263" s="4">
        <v>1200</v>
      </c>
      <c r="J263" s="8">
        <v>8</v>
      </c>
      <c r="K263" s="4">
        <v>9600</v>
      </c>
      <c r="L263" s="4">
        <v>2880</v>
      </c>
      <c r="M263" s="3">
        <v>0.3</v>
      </c>
    </row>
    <row r="264" spans="2:13" x14ac:dyDescent="0.3">
      <c r="B264" t="s">
        <v>65</v>
      </c>
      <c r="C264" s="1" t="s">
        <v>64</v>
      </c>
      <c r="D264" s="2">
        <v>45144</v>
      </c>
      <c r="E264" s="8" t="s">
        <v>25</v>
      </c>
      <c r="F264" s="8" t="s">
        <v>100</v>
      </c>
      <c r="G264" s="8" t="s">
        <v>78</v>
      </c>
      <c r="H264" t="s">
        <v>15</v>
      </c>
      <c r="I264" s="4">
        <v>5300</v>
      </c>
      <c r="J264" s="8">
        <v>8</v>
      </c>
      <c r="K264" s="4">
        <v>42400</v>
      </c>
      <c r="L264" s="4">
        <v>12720</v>
      </c>
      <c r="M264" s="3">
        <v>0.3</v>
      </c>
    </row>
    <row r="265" spans="2:13" x14ac:dyDescent="0.3">
      <c r="B265" t="s">
        <v>62</v>
      </c>
      <c r="C265" s="1" t="s">
        <v>63</v>
      </c>
      <c r="D265" s="2">
        <v>45151</v>
      </c>
      <c r="E265" s="8" t="s">
        <v>25</v>
      </c>
      <c r="F265" s="8" t="s">
        <v>100</v>
      </c>
      <c r="G265" s="8" t="s">
        <v>78</v>
      </c>
      <c r="H265" t="s">
        <v>20</v>
      </c>
      <c r="I265" s="4">
        <v>8902</v>
      </c>
      <c r="J265" s="8">
        <v>11</v>
      </c>
      <c r="K265" s="4">
        <v>97922</v>
      </c>
      <c r="L265" s="4">
        <v>34272.699999999997</v>
      </c>
      <c r="M265" s="3">
        <v>0.35</v>
      </c>
    </row>
    <row r="266" spans="2:13" x14ac:dyDescent="0.3">
      <c r="B266" t="s">
        <v>60</v>
      </c>
      <c r="C266" s="1" t="s">
        <v>63</v>
      </c>
      <c r="D266" s="2">
        <v>45158</v>
      </c>
      <c r="E266" s="8" t="s">
        <v>25</v>
      </c>
      <c r="F266" s="8" t="s">
        <v>100</v>
      </c>
      <c r="G266" s="8" t="s">
        <v>78</v>
      </c>
      <c r="H266" t="s">
        <v>20</v>
      </c>
      <c r="I266" s="4">
        <v>8902</v>
      </c>
      <c r="J266" s="8">
        <v>12</v>
      </c>
      <c r="K266" s="4">
        <v>106824</v>
      </c>
      <c r="L266" s="4">
        <v>37388.399999999994</v>
      </c>
      <c r="M266" s="3">
        <v>0.35</v>
      </c>
    </row>
    <row r="267" spans="2:13" x14ac:dyDescent="0.3">
      <c r="B267" t="s">
        <v>62</v>
      </c>
      <c r="C267" s="1" t="s">
        <v>63</v>
      </c>
      <c r="D267" s="2">
        <v>45165</v>
      </c>
      <c r="E267" s="8" t="s">
        <v>25</v>
      </c>
      <c r="F267" s="8" t="s">
        <v>100</v>
      </c>
      <c r="G267" s="8" t="s">
        <v>78</v>
      </c>
      <c r="H267" t="s">
        <v>14</v>
      </c>
      <c r="I267" s="4">
        <v>4500</v>
      </c>
      <c r="J267" s="8">
        <v>3</v>
      </c>
      <c r="K267" s="4">
        <v>13500</v>
      </c>
      <c r="L267" s="4">
        <v>3375</v>
      </c>
      <c r="M267" s="3">
        <v>0.25</v>
      </c>
    </row>
    <row r="268" spans="2:13" x14ac:dyDescent="0.3">
      <c r="B268" t="s">
        <v>65</v>
      </c>
      <c r="C268" s="1" t="s">
        <v>64</v>
      </c>
      <c r="D268" s="2">
        <v>44562</v>
      </c>
      <c r="E268" s="8" t="s">
        <v>25</v>
      </c>
      <c r="F268" s="8" t="s">
        <v>100</v>
      </c>
      <c r="G268" s="8" t="s">
        <v>78</v>
      </c>
      <c r="H268" t="s">
        <v>20</v>
      </c>
      <c r="I268" s="4">
        <v>8902</v>
      </c>
      <c r="J268" s="8">
        <v>13</v>
      </c>
      <c r="K268" s="4">
        <v>35608</v>
      </c>
      <c r="L268" s="4">
        <v>12462.8</v>
      </c>
      <c r="M268" s="3">
        <v>0.35</v>
      </c>
    </row>
    <row r="269" spans="2:13" x14ac:dyDescent="0.3">
      <c r="B269" t="s">
        <v>65</v>
      </c>
      <c r="C269" s="1" t="s">
        <v>64</v>
      </c>
      <c r="D269" s="2">
        <v>44577</v>
      </c>
      <c r="E269" s="8" t="s">
        <v>25</v>
      </c>
      <c r="F269" s="8" t="s">
        <v>100</v>
      </c>
      <c r="G269" s="8" t="s">
        <v>78</v>
      </c>
      <c r="H269" t="s">
        <v>12</v>
      </c>
      <c r="I269" s="4">
        <v>500</v>
      </c>
      <c r="J269" s="8">
        <v>13</v>
      </c>
      <c r="K269" s="4">
        <v>2000</v>
      </c>
      <c r="L269" s="4">
        <v>500</v>
      </c>
      <c r="M269" s="3">
        <v>0.25</v>
      </c>
    </row>
    <row r="270" spans="2:13" x14ac:dyDescent="0.3">
      <c r="B270" t="s">
        <v>65</v>
      </c>
      <c r="C270" s="1" t="s">
        <v>63</v>
      </c>
      <c r="D270" s="2">
        <v>44584</v>
      </c>
      <c r="E270" s="8" t="s">
        <v>25</v>
      </c>
      <c r="F270" s="8" t="s">
        <v>100</v>
      </c>
      <c r="G270" s="8" t="s">
        <v>78</v>
      </c>
      <c r="H270" t="s">
        <v>8</v>
      </c>
      <c r="I270" s="4">
        <v>1200</v>
      </c>
      <c r="J270" s="8">
        <v>13</v>
      </c>
      <c r="K270" s="4">
        <v>6000</v>
      </c>
      <c r="L270" s="4">
        <v>1800</v>
      </c>
      <c r="M270" s="3">
        <v>0.3</v>
      </c>
    </row>
    <row r="271" spans="2:13" x14ac:dyDescent="0.3">
      <c r="B271" t="s">
        <v>65</v>
      </c>
      <c r="C271" s="1" t="s">
        <v>63</v>
      </c>
      <c r="D271" s="2">
        <v>44591</v>
      </c>
      <c r="E271" s="8" t="s">
        <v>25</v>
      </c>
      <c r="F271" s="8" t="s">
        <v>100</v>
      </c>
      <c r="G271" s="8" t="s">
        <v>78</v>
      </c>
      <c r="H271" t="s">
        <v>12</v>
      </c>
      <c r="I271" s="4">
        <v>500</v>
      </c>
      <c r="J271" s="8">
        <v>12</v>
      </c>
      <c r="K271" s="4">
        <v>6000</v>
      </c>
      <c r="L271" s="4">
        <v>1500</v>
      </c>
      <c r="M271" s="3">
        <v>0.25</v>
      </c>
    </row>
    <row r="272" spans="2:13" x14ac:dyDescent="0.3">
      <c r="B272" t="s">
        <v>62</v>
      </c>
      <c r="C272" s="1" t="s">
        <v>63</v>
      </c>
      <c r="D272" s="2">
        <v>44598</v>
      </c>
      <c r="E272" s="8" t="s">
        <v>25</v>
      </c>
      <c r="F272" s="8" t="s">
        <v>100</v>
      </c>
      <c r="G272" s="8" t="s">
        <v>78</v>
      </c>
      <c r="H272" t="s">
        <v>20</v>
      </c>
      <c r="I272" s="4">
        <v>8902</v>
      </c>
      <c r="J272" s="8">
        <v>9</v>
      </c>
      <c r="K272" s="4">
        <v>80118</v>
      </c>
      <c r="L272" s="4">
        <v>28041.3</v>
      </c>
      <c r="M272" s="3">
        <v>0.35</v>
      </c>
    </row>
    <row r="273" spans="2:13" x14ac:dyDescent="0.3">
      <c r="B273" t="s">
        <v>65</v>
      </c>
      <c r="C273" s="1" t="s">
        <v>64</v>
      </c>
      <c r="D273" s="2">
        <v>44605</v>
      </c>
      <c r="E273" s="8" t="s">
        <v>25</v>
      </c>
      <c r="F273" s="8" t="s">
        <v>100</v>
      </c>
      <c r="G273" s="8" t="s">
        <v>78</v>
      </c>
      <c r="H273" t="s">
        <v>17</v>
      </c>
      <c r="I273" s="4">
        <v>5130</v>
      </c>
      <c r="J273" s="8">
        <v>2</v>
      </c>
      <c r="K273" s="4">
        <v>10260</v>
      </c>
      <c r="L273" s="4">
        <v>4104</v>
      </c>
      <c r="M273" s="3">
        <v>0.4</v>
      </c>
    </row>
    <row r="274" spans="2:13" x14ac:dyDescent="0.3">
      <c r="B274" t="s">
        <v>65</v>
      </c>
      <c r="C274" s="1" t="s">
        <v>63</v>
      </c>
      <c r="D274" s="2">
        <v>44612</v>
      </c>
      <c r="E274" s="8" t="s">
        <v>25</v>
      </c>
      <c r="F274" s="8" t="s">
        <v>100</v>
      </c>
      <c r="G274" s="8" t="s">
        <v>78</v>
      </c>
      <c r="H274" t="s">
        <v>20</v>
      </c>
      <c r="I274" s="4">
        <v>8902</v>
      </c>
      <c r="J274" s="8">
        <v>6</v>
      </c>
      <c r="K274" s="4">
        <v>53412</v>
      </c>
      <c r="L274" s="4">
        <v>18694.199999999997</v>
      </c>
      <c r="M274" s="3">
        <v>0.35</v>
      </c>
    </row>
    <row r="275" spans="2:13" x14ac:dyDescent="0.3">
      <c r="B275" t="s">
        <v>66</v>
      </c>
      <c r="C275" s="1" t="s">
        <v>63</v>
      </c>
      <c r="D275" s="2">
        <v>44619</v>
      </c>
      <c r="E275" s="8" t="s">
        <v>25</v>
      </c>
      <c r="F275" s="8" t="s">
        <v>100</v>
      </c>
      <c r="G275" s="8" t="s">
        <v>78</v>
      </c>
      <c r="H275" t="s">
        <v>11</v>
      </c>
      <c r="I275" s="4">
        <v>300</v>
      </c>
      <c r="J275" s="8">
        <v>1</v>
      </c>
      <c r="K275" s="4">
        <v>300</v>
      </c>
      <c r="L275" s="4">
        <v>45</v>
      </c>
      <c r="M275" s="3">
        <v>0.15</v>
      </c>
    </row>
    <row r="276" spans="2:13" x14ac:dyDescent="0.3">
      <c r="B276" t="s">
        <v>62</v>
      </c>
      <c r="C276" s="1" t="s">
        <v>64</v>
      </c>
      <c r="D276" s="2">
        <v>44626</v>
      </c>
      <c r="E276" s="8" t="s">
        <v>25</v>
      </c>
      <c r="F276" s="8" t="s">
        <v>100</v>
      </c>
      <c r="G276" s="8" t="s">
        <v>78</v>
      </c>
      <c r="H276" t="s">
        <v>10</v>
      </c>
      <c r="I276" s="4">
        <v>1700</v>
      </c>
      <c r="J276" s="8">
        <v>10</v>
      </c>
      <c r="K276" s="4">
        <v>17000</v>
      </c>
      <c r="L276" s="4">
        <v>8500</v>
      </c>
      <c r="M276" s="3">
        <v>0.5</v>
      </c>
    </row>
    <row r="277" spans="2:13" x14ac:dyDescent="0.3">
      <c r="B277" t="s">
        <v>60</v>
      </c>
      <c r="C277" s="1" t="s">
        <v>64</v>
      </c>
      <c r="D277" s="2">
        <v>44633</v>
      </c>
      <c r="E277" s="8" t="s">
        <v>25</v>
      </c>
      <c r="F277" s="8" t="s">
        <v>100</v>
      </c>
      <c r="G277" s="8" t="s">
        <v>78</v>
      </c>
      <c r="H277" t="s">
        <v>9</v>
      </c>
      <c r="I277" s="4">
        <v>1500</v>
      </c>
      <c r="J277" s="8">
        <v>3</v>
      </c>
      <c r="K277" s="4">
        <v>4500</v>
      </c>
      <c r="L277" s="4">
        <v>1800</v>
      </c>
      <c r="M277" s="3">
        <v>0.4</v>
      </c>
    </row>
    <row r="278" spans="2:13" x14ac:dyDescent="0.3">
      <c r="B278" t="s">
        <v>62</v>
      </c>
      <c r="C278" s="1" t="s">
        <v>63</v>
      </c>
      <c r="D278" s="2">
        <v>44640</v>
      </c>
      <c r="E278" s="8" t="s">
        <v>25</v>
      </c>
      <c r="F278" s="8" t="s">
        <v>100</v>
      </c>
      <c r="G278" s="8" t="s">
        <v>78</v>
      </c>
      <c r="H278" t="s">
        <v>19</v>
      </c>
      <c r="I278" s="4">
        <v>5340</v>
      </c>
      <c r="J278" s="8">
        <v>12</v>
      </c>
      <c r="K278" s="4">
        <v>64080</v>
      </c>
      <c r="L278" s="4">
        <v>19224</v>
      </c>
      <c r="M278" s="3">
        <v>0.3</v>
      </c>
    </row>
    <row r="279" spans="2:13" x14ac:dyDescent="0.3">
      <c r="B279" t="s">
        <v>65</v>
      </c>
      <c r="C279" s="1" t="s">
        <v>63</v>
      </c>
      <c r="D279" s="2">
        <v>44647</v>
      </c>
      <c r="E279" s="8" t="s">
        <v>25</v>
      </c>
      <c r="F279" s="8" t="s">
        <v>100</v>
      </c>
      <c r="G279" s="8" t="s">
        <v>78</v>
      </c>
      <c r="H279" t="s">
        <v>20</v>
      </c>
      <c r="I279" s="4">
        <v>8902</v>
      </c>
      <c r="J279" s="8">
        <v>2</v>
      </c>
      <c r="K279" s="4">
        <v>17804</v>
      </c>
      <c r="L279" s="4">
        <v>6231.4</v>
      </c>
      <c r="M279" s="3">
        <v>0.35</v>
      </c>
    </row>
    <row r="280" spans="2:13" x14ac:dyDescent="0.3">
      <c r="B280" t="s">
        <v>65</v>
      </c>
      <c r="C280" s="1" t="s">
        <v>63</v>
      </c>
      <c r="D280" s="2">
        <v>44654</v>
      </c>
      <c r="E280" s="8" t="s">
        <v>25</v>
      </c>
      <c r="F280" s="8" t="s">
        <v>100</v>
      </c>
      <c r="G280" s="8" t="s">
        <v>78</v>
      </c>
      <c r="H280" t="s">
        <v>17</v>
      </c>
      <c r="I280" s="4">
        <v>5130</v>
      </c>
      <c r="J280" s="8">
        <v>8</v>
      </c>
      <c r="K280" s="4">
        <v>41040</v>
      </c>
      <c r="L280" s="4">
        <v>16416</v>
      </c>
      <c r="M280" s="3">
        <v>0.4</v>
      </c>
    </row>
    <row r="281" spans="2:13" x14ac:dyDescent="0.3">
      <c r="B281" t="s">
        <v>60</v>
      </c>
      <c r="C281" s="1" t="s">
        <v>63</v>
      </c>
      <c r="D281" s="2">
        <v>44661</v>
      </c>
      <c r="E281" s="8" t="s">
        <v>25</v>
      </c>
      <c r="F281" s="8" t="s">
        <v>100</v>
      </c>
      <c r="G281" s="8" t="s">
        <v>78</v>
      </c>
      <c r="H281" t="s">
        <v>20</v>
      </c>
      <c r="I281" s="4">
        <v>8902</v>
      </c>
      <c r="J281" s="8">
        <v>3</v>
      </c>
      <c r="K281" s="4">
        <v>26706</v>
      </c>
      <c r="L281" s="4">
        <v>9347.0999999999985</v>
      </c>
      <c r="M281" s="3">
        <v>0.35</v>
      </c>
    </row>
    <row r="282" spans="2:13" x14ac:dyDescent="0.3">
      <c r="B282" t="s">
        <v>62</v>
      </c>
      <c r="C282" s="1" t="s">
        <v>64</v>
      </c>
      <c r="D282" s="2">
        <v>44668</v>
      </c>
      <c r="E282" s="8" t="s">
        <v>25</v>
      </c>
      <c r="F282" s="8" t="s">
        <v>100</v>
      </c>
      <c r="G282" s="8" t="s">
        <v>78</v>
      </c>
      <c r="H282" t="s">
        <v>16</v>
      </c>
      <c r="I282" s="4">
        <v>3400</v>
      </c>
      <c r="J282" s="8">
        <v>8</v>
      </c>
      <c r="K282" s="4">
        <v>27200</v>
      </c>
      <c r="L282" s="4">
        <v>9520</v>
      </c>
      <c r="M282" s="3">
        <v>0.35</v>
      </c>
    </row>
    <row r="283" spans="2:13" x14ac:dyDescent="0.3">
      <c r="B283" t="s">
        <v>62</v>
      </c>
      <c r="C283" s="1" t="s">
        <v>63</v>
      </c>
      <c r="D283" s="2">
        <v>44675</v>
      </c>
      <c r="E283" s="8" t="s">
        <v>25</v>
      </c>
      <c r="F283" s="8" t="s">
        <v>100</v>
      </c>
      <c r="G283" s="8" t="s">
        <v>78</v>
      </c>
      <c r="H283" t="s">
        <v>15</v>
      </c>
      <c r="I283" s="4">
        <v>5300</v>
      </c>
      <c r="J283" s="8">
        <v>10</v>
      </c>
      <c r="K283" s="4">
        <v>53000</v>
      </c>
      <c r="L283" s="4">
        <v>15900</v>
      </c>
      <c r="M283" s="3">
        <v>0.3</v>
      </c>
    </row>
    <row r="284" spans="2:13" x14ac:dyDescent="0.3">
      <c r="B284" t="s">
        <v>65</v>
      </c>
      <c r="C284" s="1" t="s">
        <v>64</v>
      </c>
      <c r="D284" s="2">
        <v>44682</v>
      </c>
      <c r="E284" s="8" t="s">
        <v>25</v>
      </c>
      <c r="F284" s="8" t="s">
        <v>100</v>
      </c>
      <c r="G284" s="8" t="s">
        <v>78</v>
      </c>
      <c r="H284" t="s">
        <v>20</v>
      </c>
      <c r="I284" s="4">
        <v>8902</v>
      </c>
      <c r="J284" s="8">
        <v>11</v>
      </c>
      <c r="K284" s="4">
        <v>97922</v>
      </c>
      <c r="L284" s="4">
        <v>34272.699999999997</v>
      </c>
      <c r="M284" s="3">
        <v>0.35</v>
      </c>
    </row>
    <row r="285" spans="2:13" x14ac:dyDescent="0.3">
      <c r="B285" t="s">
        <v>65</v>
      </c>
      <c r="C285" s="1" t="s">
        <v>63</v>
      </c>
      <c r="D285" s="2">
        <v>44689</v>
      </c>
      <c r="E285" s="8" t="s">
        <v>25</v>
      </c>
      <c r="F285" s="8" t="s">
        <v>100</v>
      </c>
      <c r="G285" s="8" t="s">
        <v>78</v>
      </c>
      <c r="H285" t="s">
        <v>17</v>
      </c>
      <c r="I285" s="4">
        <v>5130</v>
      </c>
      <c r="J285" s="8">
        <v>2</v>
      </c>
      <c r="K285" s="4">
        <v>10260</v>
      </c>
      <c r="L285" s="4">
        <v>4104</v>
      </c>
      <c r="M285" s="3">
        <v>0.4</v>
      </c>
    </row>
    <row r="286" spans="2:13" x14ac:dyDescent="0.3">
      <c r="B286" t="s">
        <v>66</v>
      </c>
      <c r="C286" s="1" t="s">
        <v>64</v>
      </c>
      <c r="D286" s="2">
        <v>44696</v>
      </c>
      <c r="E286" s="8" t="s">
        <v>25</v>
      </c>
      <c r="F286" s="8" t="s">
        <v>100</v>
      </c>
      <c r="G286" s="8" t="s">
        <v>78</v>
      </c>
      <c r="H286" t="s">
        <v>11</v>
      </c>
      <c r="I286" s="4">
        <v>300</v>
      </c>
      <c r="J286" s="8">
        <v>11</v>
      </c>
      <c r="K286" s="4">
        <v>3300</v>
      </c>
      <c r="L286" s="4">
        <v>495</v>
      </c>
      <c r="M286" s="3">
        <v>0.15</v>
      </c>
    </row>
    <row r="287" spans="2:13" x14ac:dyDescent="0.3">
      <c r="B287" t="s">
        <v>60</v>
      </c>
      <c r="C287" s="1" t="s">
        <v>63</v>
      </c>
      <c r="D287" s="2">
        <v>44703</v>
      </c>
      <c r="E287" s="8" t="s">
        <v>25</v>
      </c>
      <c r="F287" s="8" t="s">
        <v>100</v>
      </c>
      <c r="G287" s="8" t="s">
        <v>78</v>
      </c>
      <c r="H287" t="s">
        <v>13</v>
      </c>
      <c r="I287" s="4">
        <v>3200</v>
      </c>
      <c r="J287" s="8">
        <v>5</v>
      </c>
      <c r="K287" s="4">
        <v>16000</v>
      </c>
      <c r="L287" s="4">
        <v>3200</v>
      </c>
      <c r="M287" s="3">
        <v>0.2</v>
      </c>
    </row>
    <row r="288" spans="2:13" x14ac:dyDescent="0.3">
      <c r="B288" t="s">
        <v>65</v>
      </c>
      <c r="C288" s="1" t="s">
        <v>63</v>
      </c>
      <c r="D288" s="2">
        <v>44710</v>
      </c>
      <c r="E288" s="8" t="s">
        <v>25</v>
      </c>
      <c r="F288" s="8" t="s">
        <v>100</v>
      </c>
      <c r="G288" s="8" t="s">
        <v>78</v>
      </c>
      <c r="H288" t="s">
        <v>20</v>
      </c>
      <c r="I288" s="4">
        <v>8902</v>
      </c>
      <c r="J288" s="8">
        <v>2</v>
      </c>
      <c r="K288" s="4">
        <v>17804</v>
      </c>
      <c r="L288" s="4">
        <v>6231.4</v>
      </c>
      <c r="M288" s="3">
        <v>0.35</v>
      </c>
    </row>
    <row r="289" spans="2:13" x14ac:dyDescent="0.3">
      <c r="B289" t="s">
        <v>62</v>
      </c>
      <c r="C289" s="1" t="s">
        <v>63</v>
      </c>
      <c r="D289" s="2">
        <v>44717</v>
      </c>
      <c r="E289" s="8" t="s">
        <v>25</v>
      </c>
      <c r="F289" s="8" t="s">
        <v>100</v>
      </c>
      <c r="G289" s="8" t="s">
        <v>78</v>
      </c>
      <c r="H289" t="s">
        <v>11</v>
      </c>
      <c r="I289" s="4">
        <v>300</v>
      </c>
      <c r="J289" s="8">
        <v>10</v>
      </c>
      <c r="K289" s="4">
        <v>3000</v>
      </c>
      <c r="L289" s="4">
        <v>450</v>
      </c>
      <c r="M289" s="3">
        <v>0.15</v>
      </c>
    </row>
    <row r="290" spans="2:13" x14ac:dyDescent="0.3">
      <c r="B290" t="s">
        <v>66</v>
      </c>
      <c r="C290" s="1" t="s">
        <v>64</v>
      </c>
      <c r="D290" s="2">
        <v>44724</v>
      </c>
      <c r="E290" s="8" t="s">
        <v>25</v>
      </c>
      <c r="F290" s="8" t="s">
        <v>100</v>
      </c>
      <c r="G290" s="8" t="s">
        <v>78</v>
      </c>
      <c r="H290" t="s">
        <v>13</v>
      </c>
      <c r="I290" s="4">
        <v>3200</v>
      </c>
      <c r="J290" s="8">
        <v>12</v>
      </c>
      <c r="K290" s="4">
        <v>38400</v>
      </c>
      <c r="L290" s="4">
        <v>7680</v>
      </c>
      <c r="M290" s="3">
        <v>0.2</v>
      </c>
    </row>
    <row r="291" spans="2:13" x14ac:dyDescent="0.3">
      <c r="B291" t="s">
        <v>65</v>
      </c>
      <c r="C291" s="1" t="s">
        <v>63</v>
      </c>
      <c r="D291" s="2">
        <v>44731</v>
      </c>
      <c r="E291" s="8" t="s">
        <v>25</v>
      </c>
      <c r="F291" s="8" t="s">
        <v>100</v>
      </c>
      <c r="G291" s="8" t="s">
        <v>78</v>
      </c>
      <c r="H291" t="s">
        <v>18</v>
      </c>
      <c r="I291" s="4">
        <v>4600</v>
      </c>
      <c r="J291" s="8">
        <v>7</v>
      </c>
      <c r="K291" s="4">
        <v>32200</v>
      </c>
      <c r="L291" s="4">
        <v>8050</v>
      </c>
      <c r="M291" s="3">
        <v>0.25</v>
      </c>
    </row>
    <row r="292" spans="2:13" x14ac:dyDescent="0.3">
      <c r="B292" t="s">
        <v>66</v>
      </c>
      <c r="C292" s="1" t="s">
        <v>64</v>
      </c>
      <c r="D292" s="2">
        <v>44738</v>
      </c>
      <c r="E292" s="8" t="s">
        <v>25</v>
      </c>
      <c r="F292" s="8" t="s">
        <v>100</v>
      </c>
      <c r="G292" s="8" t="s">
        <v>78</v>
      </c>
      <c r="H292" t="s">
        <v>8</v>
      </c>
      <c r="I292" s="4">
        <v>1200</v>
      </c>
      <c r="J292" s="8">
        <v>9</v>
      </c>
      <c r="K292" s="4">
        <v>10800</v>
      </c>
      <c r="L292" s="4">
        <v>3240</v>
      </c>
      <c r="M292" s="3">
        <v>0.3</v>
      </c>
    </row>
    <row r="293" spans="2:13" x14ac:dyDescent="0.3">
      <c r="B293" t="s">
        <v>60</v>
      </c>
      <c r="C293" s="1" t="s">
        <v>64</v>
      </c>
      <c r="D293" s="2">
        <v>44745</v>
      </c>
      <c r="E293" s="8" t="s">
        <v>25</v>
      </c>
      <c r="F293" s="8" t="s">
        <v>101</v>
      </c>
      <c r="G293" s="8" t="s">
        <v>79</v>
      </c>
      <c r="H293" t="s">
        <v>18</v>
      </c>
      <c r="I293" s="4">
        <v>4600</v>
      </c>
      <c r="J293" s="8">
        <v>11</v>
      </c>
      <c r="K293" s="4">
        <v>50600</v>
      </c>
      <c r="L293" s="4">
        <v>12650</v>
      </c>
      <c r="M293" s="3">
        <v>0.25</v>
      </c>
    </row>
    <row r="294" spans="2:13" x14ac:dyDescent="0.3">
      <c r="B294" t="s">
        <v>61</v>
      </c>
      <c r="C294" s="1" t="s">
        <v>63</v>
      </c>
      <c r="D294" s="2">
        <v>44752</v>
      </c>
      <c r="E294" s="8" t="s">
        <v>25</v>
      </c>
      <c r="F294" s="8" t="s">
        <v>101</v>
      </c>
      <c r="G294" s="8" t="s">
        <v>79</v>
      </c>
      <c r="H294" t="s">
        <v>19</v>
      </c>
      <c r="I294" s="4">
        <v>5340</v>
      </c>
      <c r="J294" s="8">
        <v>9</v>
      </c>
      <c r="K294" s="4">
        <v>48060</v>
      </c>
      <c r="L294" s="4">
        <v>14418</v>
      </c>
      <c r="M294" s="3">
        <v>0.3</v>
      </c>
    </row>
    <row r="295" spans="2:13" x14ac:dyDescent="0.3">
      <c r="B295" t="s">
        <v>65</v>
      </c>
      <c r="C295" s="1" t="s">
        <v>63</v>
      </c>
      <c r="D295" s="2">
        <v>44759</v>
      </c>
      <c r="E295" s="8" t="s">
        <v>25</v>
      </c>
      <c r="F295" s="8" t="s">
        <v>101</v>
      </c>
      <c r="G295" s="8" t="s">
        <v>79</v>
      </c>
      <c r="H295" t="s">
        <v>15</v>
      </c>
      <c r="I295" s="4">
        <v>5300</v>
      </c>
      <c r="J295" s="8">
        <v>5</v>
      </c>
      <c r="K295" s="4">
        <v>26500</v>
      </c>
      <c r="L295" s="4">
        <v>7950</v>
      </c>
      <c r="M295" s="3">
        <v>0.3</v>
      </c>
    </row>
    <row r="296" spans="2:13" x14ac:dyDescent="0.3">
      <c r="B296" t="s">
        <v>65</v>
      </c>
      <c r="C296" s="1" t="s">
        <v>63</v>
      </c>
      <c r="D296" s="2">
        <v>44766</v>
      </c>
      <c r="E296" s="8" t="s">
        <v>25</v>
      </c>
      <c r="F296" s="8" t="s">
        <v>101</v>
      </c>
      <c r="G296" s="8" t="s">
        <v>79</v>
      </c>
      <c r="H296" t="s">
        <v>9</v>
      </c>
      <c r="I296" s="4">
        <v>1500</v>
      </c>
      <c r="J296" s="8">
        <v>3</v>
      </c>
      <c r="K296" s="4">
        <v>4500</v>
      </c>
      <c r="L296" s="4">
        <v>1800</v>
      </c>
      <c r="M296" s="3">
        <v>0.4</v>
      </c>
    </row>
    <row r="297" spans="2:13" x14ac:dyDescent="0.3">
      <c r="B297" t="s">
        <v>62</v>
      </c>
      <c r="C297" s="1" t="s">
        <v>63</v>
      </c>
      <c r="D297" s="2">
        <v>44766</v>
      </c>
      <c r="E297" s="8" t="s">
        <v>25</v>
      </c>
      <c r="F297" s="8" t="s">
        <v>101</v>
      </c>
      <c r="G297" s="8" t="s">
        <v>79</v>
      </c>
      <c r="H297" t="s">
        <v>13</v>
      </c>
      <c r="I297" s="4">
        <v>3200</v>
      </c>
      <c r="J297" s="8">
        <v>10</v>
      </c>
      <c r="K297" s="4">
        <v>32000</v>
      </c>
      <c r="L297" s="4">
        <v>6400</v>
      </c>
      <c r="M297" s="3">
        <v>0.2</v>
      </c>
    </row>
    <row r="298" spans="2:13" x14ac:dyDescent="0.3">
      <c r="B298" t="s">
        <v>65</v>
      </c>
      <c r="C298" s="1" t="s">
        <v>64</v>
      </c>
      <c r="D298" s="2">
        <v>44773</v>
      </c>
      <c r="E298" s="8" t="s">
        <v>25</v>
      </c>
      <c r="F298" s="8" t="s">
        <v>101</v>
      </c>
      <c r="G298" s="8" t="s">
        <v>79</v>
      </c>
      <c r="H298" t="s">
        <v>9</v>
      </c>
      <c r="I298" s="4">
        <v>1500</v>
      </c>
      <c r="J298" s="8">
        <v>8</v>
      </c>
      <c r="K298" s="4">
        <v>12000</v>
      </c>
      <c r="L298" s="4">
        <v>4800</v>
      </c>
      <c r="M298" s="3">
        <v>0.4</v>
      </c>
    </row>
    <row r="299" spans="2:13" x14ac:dyDescent="0.3">
      <c r="B299" t="s">
        <v>66</v>
      </c>
      <c r="C299" s="1" t="s">
        <v>64</v>
      </c>
      <c r="D299" s="2">
        <v>44780</v>
      </c>
      <c r="E299" s="8" t="s">
        <v>25</v>
      </c>
      <c r="F299" s="8" t="s">
        <v>101</v>
      </c>
      <c r="G299" s="8" t="s">
        <v>79</v>
      </c>
      <c r="H299" t="s">
        <v>12</v>
      </c>
      <c r="I299" s="4">
        <v>500</v>
      </c>
      <c r="J299" s="8">
        <v>12</v>
      </c>
      <c r="K299" s="4">
        <v>6000</v>
      </c>
      <c r="L299" s="4">
        <v>1500</v>
      </c>
      <c r="M299" s="3">
        <v>0.25</v>
      </c>
    </row>
    <row r="300" spans="2:13" x14ac:dyDescent="0.3">
      <c r="B300" t="s">
        <v>65</v>
      </c>
      <c r="C300" s="1" t="s">
        <v>63</v>
      </c>
      <c r="D300" s="2">
        <v>44787</v>
      </c>
      <c r="E300" s="8" t="s">
        <v>25</v>
      </c>
      <c r="F300" s="8" t="s">
        <v>101</v>
      </c>
      <c r="G300" s="8" t="s">
        <v>79</v>
      </c>
      <c r="H300" t="s">
        <v>11</v>
      </c>
      <c r="I300" s="4">
        <v>300</v>
      </c>
      <c r="J300" s="8">
        <v>8</v>
      </c>
      <c r="K300" s="4">
        <v>2400</v>
      </c>
      <c r="L300" s="4">
        <v>360</v>
      </c>
      <c r="M300" s="3">
        <v>0.15</v>
      </c>
    </row>
    <row r="301" spans="2:13" x14ac:dyDescent="0.3">
      <c r="B301" t="s">
        <v>60</v>
      </c>
      <c r="C301" s="1" t="s">
        <v>64</v>
      </c>
      <c r="D301" s="2">
        <v>44794</v>
      </c>
      <c r="E301" s="8" t="s">
        <v>25</v>
      </c>
      <c r="F301" s="8" t="s">
        <v>101</v>
      </c>
      <c r="G301" s="8" t="s">
        <v>79</v>
      </c>
      <c r="H301" t="s">
        <v>10</v>
      </c>
      <c r="I301" s="4">
        <v>1700</v>
      </c>
      <c r="J301" s="8">
        <v>10</v>
      </c>
      <c r="K301" s="4">
        <v>17000</v>
      </c>
      <c r="L301" s="4">
        <v>8500</v>
      </c>
      <c r="M301" s="3">
        <v>0.5</v>
      </c>
    </row>
    <row r="302" spans="2:13" x14ac:dyDescent="0.3">
      <c r="B302" t="s">
        <v>65</v>
      </c>
      <c r="C302" s="1" t="s">
        <v>63</v>
      </c>
      <c r="D302" s="2">
        <v>44801</v>
      </c>
      <c r="E302" s="8" t="s">
        <v>25</v>
      </c>
      <c r="F302" s="8" t="s">
        <v>101</v>
      </c>
      <c r="G302" s="8" t="s">
        <v>79</v>
      </c>
      <c r="H302" t="s">
        <v>16</v>
      </c>
      <c r="I302" s="4">
        <v>3400</v>
      </c>
      <c r="J302" s="8">
        <v>6</v>
      </c>
      <c r="K302" s="4">
        <v>20400</v>
      </c>
      <c r="L302" s="4">
        <v>7140</v>
      </c>
      <c r="M302" s="3">
        <v>0.35</v>
      </c>
    </row>
    <row r="303" spans="2:13" x14ac:dyDescent="0.3">
      <c r="B303" t="s">
        <v>65</v>
      </c>
      <c r="C303" s="1" t="s">
        <v>63</v>
      </c>
      <c r="D303" s="2">
        <v>44808</v>
      </c>
      <c r="E303" s="8" t="s">
        <v>25</v>
      </c>
      <c r="F303" s="8" t="s">
        <v>101</v>
      </c>
      <c r="G303" s="8" t="s">
        <v>79</v>
      </c>
      <c r="H303" t="s">
        <v>11</v>
      </c>
      <c r="I303" s="4">
        <v>300</v>
      </c>
      <c r="J303" s="8">
        <v>4</v>
      </c>
      <c r="K303" s="4">
        <v>1200</v>
      </c>
      <c r="L303" s="4">
        <v>180</v>
      </c>
      <c r="M303" s="3">
        <v>0.15</v>
      </c>
    </row>
    <row r="304" spans="2:13" x14ac:dyDescent="0.3">
      <c r="B304" t="s">
        <v>65</v>
      </c>
      <c r="C304" s="1" t="s">
        <v>63</v>
      </c>
      <c r="D304" s="2">
        <v>44815</v>
      </c>
      <c r="E304" s="8" t="s">
        <v>25</v>
      </c>
      <c r="F304" s="8" t="s">
        <v>101</v>
      </c>
      <c r="G304" s="8" t="s">
        <v>79</v>
      </c>
      <c r="H304" t="s">
        <v>12</v>
      </c>
      <c r="I304" s="4">
        <v>500</v>
      </c>
      <c r="J304" s="8">
        <v>9</v>
      </c>
      <c r="K304" s="4">
        <v>4500</v>
      </c>
      <c r="L304" s="4">
        <v>1125</v>
      </c>
      <c r="M304" s="3">
        <v>0.25</v>
      </c>
    </row>
    <row r="305" spans="2:13" x14ac:dyDescent="0.3">
      <c r="B305" t="s">
        <v>60</v>
      </c>
      <c r="C305" s="1" t="s">
        <v>63</v>
      </c>
      <c r="D305" s="2">
        <v>44822</v>
      </c>
      <c r="E305" s="8" t="s">
        <v>25</v>
      </c>
      <c r="F305" s="8" t="s">
        <v>101</v>
      </c>
      <c r="G305" s="8" t="s">
        <v>79</v>
      </c>
      <c r="H305" t="s">
        <v>13</v>
      </c>
      <c r="I305" s="4">
        <v>3200</v>
      </c>
      <c r="J305" s="8">
        <v>5</v>
      </c>
      <c r="K305" s="4">
        <v>16000</v>
      </c>
      <c r="L305" s="4">
        <v>3200</v>
      </c>
      <c r="M305" s="3">
        <v>0.2</v>
      </c>
    </row>
    <row r="306" spans="2:13" x14ac:dyDescent="0.3">
      <c r="B306" t="s">
        <v>65</v>
      </c>
      <c r="C306" s="1" t="s">
        <v>63</v>
      </c>
      <c r="D306" s="2">
        <v>44829</v>
      </c>
      <c r="E306" s="8" t="s">
        <v>25</v>
      </c>
      <c r="F306" s="8" t="s">
        <v>101</v>
      </c>
      <c r="G306" s="8" t="s">
        <v>79</v>
      </c>
      <c r="H306" t="s">
        <v>12</v>
      </c>
      <c r="I306" s="4">
        <v>500</v>
      </c>
      <c r="J306" s="8">
        <v>1</v>
      </c>
      <c r="K306" s="4">
        <v>500</v>
      </c>
      <c r="L306" s="4">
        <v>125</v>
      </c>
      <c r="M306" s="3">
        <v>0.25</v>
      </c>
    </row>
    <row r="307" spans="2:13" x14ac:dyDescent="0.3">
      <c r="B307" t="s">
        <v>60</v>
      </c>
      <c r="C307" s="1" t="s">
        <v>63</v>
      </c>
      <c r="D307" s="2">
        <v>44836</v>
      </c>
      <c r="E307" s="8" t="s">
        <v>25</v>
      </c>
      <c r="F307" s="8" t="s">
        <v>101</v>
      </c>
      <c r="G307" s="8" t="s">
        <v>79</v>
      </c>
      <c r="H307" t="s">
        <v>10</v>
      </c>
      <c r="I307" s="4">
        <v>1700</v>
      </c>
      <c r="J307" s="8">
        <v>6</v>
      </c>
      <c r="K307" s="4">
        <v>10200</v>
      </c>
      <c r="L307" s="4">
        <v>5100</v>
      </c>
      <c r="M307" s="3">
        <v>0.5</v>
      </c>
    </row>
    <row r="308" spans="2:13" x14ac:dyDescent="0.3">
      <c r="B308" t="s">
        <v>65</v>
      </c>
      <c r="C308" s="1" t="s">
        <v>63</v>
      </c>
      <c r="D308" s="2">
        <v>44843</v>
      </c>
      <c r="E308" s="8" t="s">
        <v>25</v>
      </c>
      <c r="F308" s="8" t="s">
        <v>101</v>
      </c>
      <c r="G308" s="8" t="s">
        <v>79</v>
      </c>
      <c r="H308" t="s">
        <v>20</v>
      </c>
      <c r="I308" s="4">
        <v>8902</v>
      </c>
      <c r="J308" s="8">
        <v>4</v>
      </c>
      <c r="K308" s="4">
        <v>35608</v>
      </c>
      <c r="L308" s="4">
        <v>12462.8</v>
      </c>
      <c r="M308" s="3">
        <v>0.35</v>
      </c>
    </row>
    <row r="309" spans="2:13" x14ac:dyDescent="0.3">
      <c r="B309" t="s">
        <v>62</v>
      </c>
      <c r="C309" s="1" t="s">
        <v>63</v>
      </c>
      <c r="D309" s="2">
        <v>44850</v>
      </c>
      <c r="E309" s="8" t="s">
        <v>25</v>
      </c>
      <c r="F309" s="8" t="s">
        <v>101</v>
      </c>
      <c r="G309" s="8" t="s">
        <v>79</v>
      </c>
      <c r="H309" t="s">
        <v>19</v>
      </c>
      <c r="I309" s="4">
        <v>5340</v>
      </c>
      <c r="J309" s="8">
        <v>1</v>
      </c>
      <c r="K309" s="4">
        <v>5340</v>
      </c>
      <c r="L309" s="4">
        <v>1602</v>
      </c>
      <c r="M309" s="3">
        <v>0.3</v>
      </c>
    </row>
    <row r="310" spans="2:13" x14ac:dyDescent="0.3">
      <c r="B310" t="s">
        <v>65</v>
      </c>
      <c r="C310" s="1" t="s">
        <v>63</v>
      </c>
      <c r="D310" s="2">
        <v>44857</v>
      </c>
      <c r="E310" s="8" t="s">
        <v>25</v>
      </c>
      <c r="F310" s="8" t="s">
        <v>101</v>
      </c>
      <c r="G310" s="8" t="s">
        <v>79</v>
      </c>
      <c r="H310" t="s">
        <v>20</v>
      </c>
      <c r="I310" s="4">
        <v>8902</v>
      </c>
      <c r="J310" s="8">
        <v>8</v>
      </c>
      <c r="K310" s="4">
        <v>71216</v>
      </c>
      <c r="L310" s="4">
        <v>24925.599999999999</v>
      </c>
      <c r="M310" s="3">
        <v>0.35</v>
      </c>
    </row>
    <row r="311" spans="2:13" x14ac:dyDescent="0.3">
      <c r="B311" t="s">
        <v>60</v>
      </c>
      <c r="C311" s="1" t="s">
        <v>64</v>
      </c>
      <c r="D311" s="2">
        <v>44864</v>
      </c>
      <c r="E311" s="8" t="s">
        <v>25</v>
      </c>
      <c r="F311" s="8" t="s">
        <v>101</v>
      </c>
      <c r="G311" s="8" t="s">
        <v>79</v>
      </c>
      <c r="H311" t="s">
        <v>12</v>
      </c>
      <c r="I311" s="4">
        <v>500</v>
      </c>
      <c r="J311" s="8">
        <v>5</v>
      </c>
      <c r="K311" s="4">
        <v>2500</v>
      </c>
      <c r="L311" s="4">
        <v>625</v>
      </c>
      <c r="M311" s="3">
        <v>0.25</v>
      </c>
    </row>
    <row r="312" spans="2:13" x14ac:dyDescent="0.3">
      <c r="B312" t="s">
        <v>61</v>
      </c>
      <c r="C312" s="1" t="s">
        <v>63</v>
      </c>
      <c r="D312" s="2">
        <v>44871</v>
      </c>
      <c r="E312" s="8" t="s">
        <v>25</v>
      </c>
      <c r="F312" s="8" t="s">
        <v>101</v>
      </c>
      <c r="G312" s="8" t="s">
        <v>79</v>
      </c>
      <c r="H312" t="s">
        <v>8</v>
      </c>
      <c r="I312" s="4">
        <v>1200</v>
      </c>
      <c r="J312" s="8">
        <v>2</v>
      </c>
      <c r="K312" s="4">
        <v>2400</v>
      </c>
      <c r="L312" s="4">
        <v>720</v>
      </c>
      <c r="M312" s="3">
        <v>0.3</v>
      </c>
    </row>
    <row r="313" spans="2:13" x14ac:dyDescent="0.3">
      <c r="B313" t="s">
        <v>66</v>
      </c>
      <c r="C313" s="1" t="s">
        <v>64</v>
      </c>
      <c r="D313" s="2">
        <v>44878</v>
      </c>
      <c r="E313" s="8" t="s">
        <v>25</v>
      </c>
      <c r="F313" s="8" t="s">
        <v>101</v>
      </c>
      <c r="G313" s="8" t="s">
        <v>79</v>
      </c>
      <c r="H313" t="s">
        <v>14</v>
      </c>
      <c r="I313" s="4">
        <v>4500</v>
      </c>
      <c r="J313" s="8">
        <v>5</v>
      </c>
      <c r="K313" s="4">
        <v>22500</v>
      </c>
      <c r="L313" s="4">
        <v>5625</v>
      </c>
      <c r="M313" s="3">
        <v>0.25</v>
      </c>
    </row>
    <row r="314" spans="2:13" x14ac:dyDescent="0.3">
      <c r="B314" t="s">
        <v>65</v>
      </c>
      <c r="C314" s="1" t="s">
        <v>63</v>
      </c>
      <c r="D314" s="2">
        <v>44885</v>
      </c>
      <c r="E314" s="8" t="s">
        <v>25</v>
      </c>
      <c r="F314" s="8" t="s">
        <v>101</v>
      </c>
      <c r="G314" s="8" t="s">
        <v>79</v>
      </c>
      <c r="H314" t="s">
        <v>20</v>
      </c>
      <c r="I314" s="4">
        <v>8902</v>
      </c>
      <c r="J314" s="8">
        <v>8</v>
      </c>
      <c r="K314" s="4">
        <v>71216</v>
      </c>
      <c r="L314" s="4">
        <v>24925.599999999999</v>
      </c>
      <c r="M314" s="3">
        <v>0.35</v>
      </c>
    </row>
    <row r="315" spans="2:13" x14ac:dyDescent="0.3">
      <c r="B315" t="s">
        <v>61</v>
      </c>
      <c r="C315" s="1" t="s">
        <v>63</v>
      </c>
      <c r="D315" s="2">
        <v>44892</v>
      </c>
      <c r="E315" s="8" t="s">
        <v>25</v>
      </c>
      <c r="F315" s="8" t="s">
        <v>101</v>
      </c>
      <c r="G315" s="8" t="s">
        <v>79</v>
      </c>
      <c r="H315" t="s">
        <v>15</v>
      </c>
      <c r="I315" s="4">
        <v>5300</v>
      </c>
      <c r="J315" s="8">
        <v>1</v>
      </c>
      <c r="K315" s="4">
        <v>5300</v>
      </c>
      <c r="L315" s="4">
        <v>1590</v>
      </c>
      <c r="M315" s="3">
        <v>0.3</v>
      </c>
    </row>
    <row r="316" spans="2:13" x14ac:dyDescent="0.3">
      <c r="B316" t="s">
        <v>66</v>
      </c>
      <c r="C316" s="1" t="s">
        <v>63</v>
      </c>
      <c r="D316" s="2">
        <v>44899</v>
      </c>
      <c r="E316" s="8" t="s">
        <v>25</v>
      </c>
      <c r="F316" s="8" t="s">
        <v>101</v>
      </c>
      <c r="G316" s="8" t="s">
        <v>79</v>
      </c>
      <c r="H316" t="s">
        <v>15</v>
      </c>
      <c r="I316" s="4">
        <v>5300</v>
      </c>
      <c r="J316" s="8">
        <v>1</v>
      </c>
      <c r="K316" s="4">
        <v>5300</v>
      </c>
      <c r="L316" s="4">
        <v>1590</v>
      </c>
      <c r="M316" s="3">
        <v>0.3</v>
      </c>
    </row>
    <row r="317" spans="2:13" x14ac:dyDescent="0.3">
      <c r="B317" t="s">
        <v>65</v>
      </c>
      <c r="C317" s="1" t="s">
        <v>63</v>
      </c>
      <c r="D317" s="2">
        <v>44906</v>
      </c>
      <c r="E317" s="8" t="s">
        <v>25</v>
      </c>
      <c r="F317" s="8" t="s">
        <v>101</v>
      </c>
      <c r="G317" s="8" t="s">
        <v>79</v>
      </c>
      <c r="H317" t="s">
        <v>18</v>
      </c>
      <c r="I317" s="4">
        <v>4600</v>
      </c>
      <c r="J317" s="8">
        <v>8</v>
      </c>
      <c r="K317" s="4">
        <v>36800</v>
      </c>
      <c r="L317" s="4">
        <v>9200</v>
      </c>
      <c r="M317" s="3">
        <v>0.25</v>
      </c>
    </row>
    <row r="318" spans="2:13" x14ac:dyDescent="0.3">
      <c r="B318" t="s">
        <v>62</v>
      </c>
      <c r="C318" s="1" t="s">
        <v>64</v>
      </c>
      <c r="D318" s="2">
        <v>44913</v>
      </c>
      <c r="E318" s="8" t="s">
        <v>25</v>
      </c>
      <c r="F318" s="8" t="s">
        <v>101</v>
      </c>
      <c r="G318" s="8" t="s">
        <v>79</v>
      </c>
      <c r="H318" t="s">
        <v>13</v>
      </c>
      <c r="I318" s="4">
        <v>3200</v>
      </c>
      <c r="J318" s="8">
        <v>6</v>
      </c>
      <c r="K318" s="4">
        <v>19200</v>
      </c>
      <c r="L318" s="4">
        <v>3840</v>
      </c>
      <c r="M318" s="3">
        <v>0.2</v>
      </c>
    </row>
    <row r="319" spans="2:13" x14ac:dyDescent="0.3">
      <c r="B319" t="s">
        <v>65</v>
      </c>
      <c r="C319" s="1" t="s">
        <v>64</v>
      </c>
      <c r="D319" s="2">
        <v>44920</v>
      </c>
      <c r="E319" s="8" t="s">
        <v>25</v>
      </c>
      <c r="F319" s="8" t="s">
        <v>101</v>
      </c>
      <c r="G319" s="8" t="s">
        <v>79</v>
      </c>
      <c r="H319" t="s">
        <v>17</v>
      </c>
      <c r="I319" s="4">
        <v>5130</v>
      </c>
      <c r="J319" s="8">
        <v>5</v>
      </c>
      <c r="K319" s="4">
        <v>25650</v>
      </c>
      <c r="L319" s="4">
        <v>10260</v>
      </c>
      <c r="M319" s="3">
        <v>0.4</v>
      </c>
    </row>
    <row r="320" spans="2:13" x14ac:dyDescent="0.3">
      <c r="B320" t="s">
        <v>62</v>
      </c>
      <c r="C320" s="1" t="s">
        <v>63</v>
      </c>
      <c r="D320" s="2">
        <v>44927</v>
      </c>
      <c r="E320" s="8" t="s">
        <v>25</v>
      </c>
      <c r="F320" s="8" t="s">
        <v>101</v>
      </c>
      <c r="G320" s="8" t="s">
        <v>79</v>
      </c>
      <c r="H320" t="s">
        <v>14</v>
      </c>
      <c r="I320" s="4">
        <v>4500</v>
      </c>
      <c r="J320" s="8">
        <v>11</v>
      </c>
      <c r="K320" s="4">
        <v>49500</v>
      </c>
      <c r="L320" s="4">
        <v>12375</v>
      </c>
      <c r="M320" s="3">
        <v>0.25</v>
      </c>
    </row>
    <row r="321" spans="2:13" x14ac:dyDescent="0.3">
      <c r="B321" t="s">
        <v>61</v>
      </c>
      <c r="C321" s="1" t="s">
        <v>63</v>
      </c>
      <c r="D321" s="2">
        <v>44934</v>
      </c>
      <c r="E321" s="8" t="s">
        <v>25</v>
      </c>
      <c r="F321" s="8" t="s">
        <v>101</v>
      </c>
      <c r="G321" s="8" t="s">
        <v>79</v>
      </c>
      <c r="H321" t="s">
        <v>11</v>
      </c>
      <c r="I321" s="4">
        <v>300</v>
      </c>
      <c r="J321" s="8">
        <v>4</v>
      </c>
      <c r="K321" s="4">
        <v>1200</v>
      </c>
      <c r="L321" s="4">
        <v>180</v>
      </c>
      <c r="M321" s="3">
        <v>0.15</v>
      </c>
    </row>
    <row r="322" spans="2:13" x14ac:dyDescent="0.3">
      <c r="B322" t="s">
        <v>65</v>
      </c>
      <c r="C322" s="1" t="s">
        <v>64</v>
      </c>
      <c r="D322" s="2">
        <v>44941</v>
      </c>
      <c r="E322" s="8" t="s">
        <v>25</v>
      </c>
      <c r="F322" s="8" t="s">
        <v>101</v>
      </c>
      <c r="G322" s="8" t="s">
        <v>79</v>
      </c>
      <c r="H322" t="s">
        <v>20</v>
      </c>
      <c r="I322" s="4">
        <v>8902</v>
      </c>
      <c r="J322" s="8">
        <v>3</v>
      </c>
      <c r="K322" s="4">
        <v>26706</v>
      </c>
      <c r="L322" s="4">
        <v>9347.0999999999985</v>
      </c>
      <c r="M322" s="3">
        <v>0.35</v>
      </c>
    </row>
    <row r="323" spans="2:13" x14ac:dyDescent="0.3">
      <c r="B323" t="s">
        <v>65</v>
      </c>
      <c r="C323" s="1" t="s">
        <v>64</v>
      </c>
      <c r="D323" s="2">
        <v>44948</v>
      </c>
      <c r="E323" s="8" t="s">
        <v>25</v>
      </c>
      <c r="F323" s="8" t="s">
        <v>101</v>
      </c>
      <c r="G323" s="8" t="s">
        <v>79</v>
      </c>
      <c r="H323" t="s">
        <v>18</v>
      </c>
      <c r="I323" s="4">
        <v>4600</v>
      </c>
      <c r="J323" s="8">
        <v>12</v>
      </c>
      <c r="K323" s="4">
        <v>55200</v>
      </c>
      <c r="L323" s="4">
        <v>13800</v>
      </c>
      <c r="M323" s="3">
        <v>0.25</v>
      </c>
    </row>
    <row r="324" spans="2:13" x14ac:dyDescent="0.3">
      <c r="B324" t="s">
        <v>65</v>
      </c>
      <c r="C324" s="1" t="s">
        <v>64</v>
      </c>
      <c r="D324" s="2">
        <v>44955</v>
      </c>
      <c r="E324" s="8" t="s">
        <v>25</v>
      </c>
      <c r="F324" s="8" t="s">
        <v>101</v>
      </c>
      <c r="G324" s="8" t="s">
        <v>79</v>
      </c>
      <c r="H324" t="s">
        <v>16</v>
      </c>
      <c r="I324" s="4">
        <v>3400</v>
      </c>
      <c r="J324" s="8">
        <v>1</v>
      </c>
      <c r="K324" s="4">
        <v>3400</v>
      </c>
      <c r="L324" s="4">
        <v>1190</v>
      </c>
      <c r="M324" s="3">
        <v>0.35</v>
      </c>
    </row>
    <row r="325" spans="2:13" x14ac:dyDescent="0.3">
      <c r="B325" t="s">
        <v>61</v>
      </c>
      <c r="C325" s="1" t="s">
        <v>63</v>
      </c>
      <c r="D325" s="2">
        <v>44962</v>
      </c>
      <c r="E325" s="8" t="s">
        <v>25</v>
      </c>
      <c r="F325" s="8" t="s">
        <v>101</v>
      </c>
      <c r="G325" s="8" t="s">
        <v>79</v>
      </c>
      <c r="H325" t="s">
        <v>19</v>
      </c>
      <c r="I325" s="4">
        <v>5340</v>
      </c>
      <c r="J325" s="8">
        <v>8</v>
      </c>
      <c r="K325" s="4">
        <v>42720</v>
      </c>
      <c r="L325" s="4">
        <v>12816</v>
      </c>
      <c r="M325" s="3">
        <v>0.3</v>
      </c>
    </row>
    <row r="326" spans="2:13" x14ac:dyDescent="0.3">
      <c r="B326" t="s">
        <v>65</v>
      </c>
      <c r="C326" s="1" t="s">
        <v>64</v>
      </c>
      <c r="D326" s="2">
        <v>44969</v>
      </c>
      <c r="E326" s="8" t="s">
        <v>25</v>
      </c>
      <c r="F326" s="8" t="s">
        <v>101</v>
      </c>
      <c r="G326" s="8" t="s">
        <v>79</v>
      </c>
      <c r="H326" t="s">
        <v>10</v>
      </c>
      <c r="I326" s="4">
        <v>1700</v>
      </c>
      <c r="J326" s="8">
        <v>12</v>
      </c>
      <c r="K326" s="4">
        <v>20400</v>
      </c>
      <c r="L326" s="4">
        <v>10200</v>
      </c>
      <c r="M326" s="3">
        <v>0.5</v>
      </c>
    </row>
    <row r="327" spans="2:13" x14ac:dyDescent="0.3">
      <c r="B327" t="s">
        <v>60</v>
      </c>
      <c r="C327" s="1" t="s">
        <v>64</v>
      </c>
      <c r="D327" s="2">
        <v>44976</v>
      </c>
      <c r="E327" s="8" t="s">
        <v>25</v>
      </c>
      <c r="F327" s="8" t="s">
        <v>101</v>
      </c>
      <c r="G327" s="8" t="s">
        <v>79</v>
      </c>
      <c r="H327" t="s">
        <v>13</v>
      </c>
      <c r="I327" s="4">
        <v>3200</v>
      </c>
      <c r="J327" s="8">
        <v>12</v>
      </c>
      <c r="K327" s="4">
        <v>38400</v>
      </c>
      <c r="L327" s="4">
        <v>7680</v>
      </c>
      <c r="M327" s="3">
        <v>0.2</v>
      </c>
    </row>
    <row r="328" spans="2:13" x14ac:dyDescent="0.3">
      <c r="B328" t="s">
        <v>60</v>
      </c>
      <c r="C328" s="1" t="s">
        <v>63</v>
      </c>
      <c r="D328" s="2">
        <v>44983</v>
      </c>
      <c r="E328" s="8" t="s">
        <v>25</v>
      </c>
      <c r="F328" s="8" t="s">
        <v>101</v>
      </c>
      <c r="G328" s="8" t="s">
        <v>79</v>
      </c>
      <c r="H328" t="s">
        <v>12</v>
      </c>
      <c r="I328" s="4">
        <v>500</v>
      </c>
      <c r="J328" s="8">
        <v>10</v>
      </c>
      <c r="K328" s="4">
        <v>5000</v>
      </c>
      <c r="L328" s="4">
        <v>1250</v>
      </c>
      <c r="M328" s="3">
        <v>0.25</v>
      </c>
    </row>
    <row r="329" spans="2:13" x14ac:dyDescent="0.3">
      <c r="B329" t="s">
        <v>60</v>
      </c>
      <c r="C329" s="1" t="s">
        <v>63</v>
      </c>
      <c r="D329" s="2">
        <v>44990</v>
      </c>
      <c r="E329" s="8" t="s">
        <v>25</v>
      </c>
      <c r="F329" s="8" t="s">
        <v>101</v>
      </c>
      <c r="G329" s="8" t="s">
        <v>79</v>
      </c>
      <c r="H329" t="s">
        <v>15</v>
      </c>
      <c r="I329" s="4">
        <v>5300</v>
      </c>
      <c r="J329" s="8">
        <v>10</v>
      </c>
      <c r="K329" s="4">
        <v>53000</v>
      </c>
      <c r="L329" s="4">
        <v>15900</v>
      </c>
      <c r="M329" s="3">
        <v>0.3</v>
      </c>
    </row>
    <row r="330" spans="2:13" x14ac:dyDescent="0.3">
      <c r="B330" t="s">
        <v>65</v>
      </c>
      <c r="C330" s="1" t="s">
        <v>63</v>
      </c>
      <c r="D330" s="2">
        <v>44997</v>
      </c>
      <c r="E330" s="8" t="s">
        <v>25</v>
      </c>
      <c r="F330" s="8" t="s">
        <v>101</v>
      </c>
      <c r="G330" s="8" t="s">
        <v>79</v>
      </c>
      <c r="H330" t="s">
        <v>13</v>
      </c>
      <c r="I330" s="4">
        <v>3200</v>
      </c>
      <c r="J330" s="8">
        <v>7</v>
      </c>
      <c r="K330" s="4">
        <v>22400</v>
      </c>
      <c r="L330" s="4">
        <v>4480</v>
      </c>
      <c r="M330" s="3">
        <v>0.2</v>
      </c>
    </row>
    <row r="331" spans="2:13" x14ac:dyDescent="0.3">
      <c r="B331" t="s">
        <v>61</v>
      </c>
      <c r="C331" s="1" t="s">
        <v>64</v>
      </c>
      <c r="D331" s="2">
        <v>45004</v>
      </c>
      <c r="E331" s="8" t="s">
        <v>25</v>
      </c>
      <c r="F331" s="8" t="s">
        <v>101</v>
      </c>
      <c r="G331" s="8" t="s">
        <v>79</v>
      </c>
      <c r="H331" t="s">
        <v>12</v>
      </c>
      <c r="I331" s="4">
        <v>500</v>
      </c>
      <c r="J331" s="8">
        <v>15</v>
      </c>
      <c r="K331" s="4">
        <v>7500</v>
      </c>
      <c r="L331" s="4">
        <v>1875</v>
      </c>
      <c r="M331" s="3">
        <v>0.25</v>
      </c>
    </row>
    <row r="332" spans="2:13" x14ac:dyDescent="0.3">
      <c r="B332" t="s">
        <v>60</v>
      </c>
      <c r="C332" s="1" t="s">
        <v>64</v>
      </c>
      <c r="D332" s="2">
        <v>45011</v>
      </c>
      <c r="E332" s="8" t="s">
        <v>25</v>
      </c>
      <c r="F332" s="8" t="s">
        <v>101</v>
      </c>
      <c r="G332" s="8" t="s">
        <v>79</v>
      </c>
      <c r="H332" t="s">
        <v>13</v>
      </c>
      <c r="I332" s="4">
        <v>3200</v>
      </c>
      <c r="J332" s="8">
        <v>10</v>
      </c>
      <c r="K332" s="4">
        <v>32000</v>
      </c>
      <c r="L332" s="4">
        <v>6400</v>
      </c>
      <c r="M332" s="3">
        <v>0.2</v>
      </c>
    </row>
    <row r="333" spans="2:13" x14ac:dyDescent="0.3">
      <c r="B333" t="s">
        <v>65</v>
      </c>
      <c r="C333" s="1" t="s">
        <v>63</v>
      </c>
      <c r="D333" s="2">
        <v>45018</v>
      </c>
      <c r="E333" s="8" t="s">
        <v>25</v>
      </c>
      <c r="F333" s="8" t="s">
        <v>101</v>
      </c>
      <c r="G333" s="8" t="s">
        <v>79</v>
      </c>
      <c r="H333" t="s">
        <v>14</v>
      </c>
      <c r="I333" s="4">
        <v>4500</v>
      </c>
      <c r="J333" s="8">
        <v>8</v>
      </c>
      <c r="K333" s="4">
        <v>36000</v>
      </c>
      <c r="L333" s="4">
        <v>9000</v>
      </c>
      <c r="M333" s="3">
        <v>0.25</v>
      </c>
    </row>
    <row r="334" spans="2:13" x14ac:dyDescent="0.3">
      <c r="B334" t="s">
        <v>60</v>
      </c>
      <c r="C334" s="1" t="s">
        <v>63</v>
      </c>
      <c r="D334" s="2">
        <v>45025</v>
      </c>
      <c r="E334" s="8" t="s">
        <v>25</v>
      </c>
      <c r="F334" s="8" t="s">
        <v>101</v>
      </c>
      <c r="G334" s="8" t="s">
        <v>79</v>
      </c>
      <c r="H334" t="s">
        <v>14</v>
      </c>
      <c r="I334" s="4">
        <v>4500</v>
      </c>
      <c r="J334" s="8">
        <v>4</v>
      </c>
      <c r="K334" s="4">
        <v>18000</v>
      </c>
      <c r="L334" s="4">
        <v>4500</v>
      </c>
      <c r="M334" s="3">
        <v>0.25</v>
      </c>
    </row>
    <row r="335" spans="2:13" x14ac:dyDescent="0.3">
      <c r="B335" t="s">
        <v>62</v>
      </c>
      <c r="C335" s="1" t="s">
        <v>63</v>
      </c>
      <c r="D335" s="2">
        <v>45032</v>
      </c>
      <c r="E335" s="8" t="s">
        <v>25</v>
      </c>
      <c r="F335" s="8" t="s">
        <v>101</v>
      </c>
      <c r="G335" s="8" t="s">
        <v>79</v>
      </c>
      <c r="H335" t="s">
        <v>14</v>
      </c>
      <c r="I335" s="4">
        <v>4500</v>
      </c>
      <c r="J335" s="8">
        <v>5</v>
      </c>
      <c r="K335" s="4">
        <v>22500</v>
      </c>
      <c r="L335" s="4">
        <v>5625</v>
      </c>
      <c r="M335" s="3">
        <v>0.25</v>
      </c>
    </row>
    <row r="336" spans="2:13" x14ac:dyDescent="0.3">
      <c r="B336" t="s">
        <v>61</v>
      </c>
      <c r="C336" s="1" t="s">
        <v>63</v>
      </c>
      <c r="D336" s="2">
        <v>45039</v>
      </c>
      <c r="E336" s="8" t="s">
        <v>25</v>
      </c>
      <c r="F336" s="8" t="s">
        <v>101</v>
      </c>
      <c r="G336" s="8" t="s">
        <v>79</v>
      </c>
      <c r="H336" t="s">
        <v>14</v>
      </c>
      <c r="I336" s="4">
        <v>4500</v>
      </c>
      <c r="J336" s="8">
        <v>6</v>
      </c>
      <c r="K336" s="4">
        <v>27000</v>
      </c>
      <c r="L336" s="4">
        <v>6750</v>
      </c>
      <c r="M336" s="3">
        <v>0.25</v>
      </c>
    </row>
    <row r="337" spans="2:13" x14ac:dyDescent="0.3">
      <c r="B337" t="s">
        <v>62</v>
      </c>
      <c r="C337" s="1" t="s">
        <v>63</v>
      </c>
      <c r="D337" s="2">
        <v>45046</v>
      </c>
      <c r="E337" s="8" t="s">
        <v>25</v>
      </c>
      <c r="F337" s="8" t="s">
        <v>101</v>
      </c>
      <c r="G337" s="8" t="s">
        <v>79</v>
      </c>
      <c r="H337" t="s">
        <v>8</v>
      </c>
      <c r="I337" s="4">
        <v>1200</v>
      </c>
      <c r="J337" s="8">
        <v>4</v>
      </c>
      <c r="K337" s="4">
        <v>4800</v>
      </c>
      <c r="L337" s="4">
        <v>1440</v>
      </c>
      <c r="M337" s="3">
        <v>0.3</v>
      </c>
    </row>
    <row r="338" spans="2:13" x14ac:dyDescent="0.3">
      <c r="B338" t="s">
        <v>66</v>
      </c>
      <c r="C338" s="1" t="s">
        <v>63</v>
      </c>
      <c r="D338" s="2">
        <v>45053</v>
      </c>
      <c r="E338" s="8" t="s">
        <v>25</v>
      </c>
      <c r="F338" s="8" t="s">
        <v>101</v>
      </c>
      <c r="G338" s="8" t="s">
        <v>79</v>
      </c>
      <c r="H338" t="s">
        <v>16</v>
      </c>
      <c r="I338" s="4">
        <v>3400</v>
      </c>
      <c r="J338" s="8">
        <v>10</v>
      </c>
      <c r="K338" s="4">
        <v>3400</v>
      </c>
      <c r="L338" s="4">
        <v>1190</v>
      </c>
      <c r="M338" s="3">
        <v>0.35</v>
      </c>
    </row>
    <row r="339" spans="2:13" x14ac:dyDescent="0.3">
      <c r="B339" t="s">
        <v>60</v>
      </c>
      <c r="C339" s="1" t="s">
        <v>64</v>
      </c>
      <c r="D339" s="2">
        <v>45060</v>
      </c>
      <c r="E339" s="8" t="s">
        <v>25</v>
      </c>
      <c r="F339" s="8" t="s">
        <v>101</v>
      </c>
      <c r="G339" s="8" t="s">
        <v>79</v>
      </c>
      <c r="H339" t="s">
        <v>12</v>
      </c>
      <c r="I339" s="4">
        <v>500</v>
      </c>
      <c r="J339" s="8">
        <v>10</v>
      </c>
      <c r="K339" s="4">
        <v>5000</v>
      </c>
      <c r="L339" s="4">
        <v>1250</v>
      </c>
      <c r="M339" s="3">
        <v>0.25</v>
      </c>
    </row>
    <row r="340" spans="2:13" x14ac:dyDescent="0.3">
      <c r="B340" t="s">
        <v>60</v>
      </c>
      <c r="C340" s="1" t="s">
        <v>63</v>
      </c>
      <c r="D340" s="2">
        <v>45067</v>
      </c>
      <c r="E340" s="8" t="s">
        <v>25</v>
      </c>
      <c r="F340" s="8" t="s">
        <v>101</v>
      </c>
      <c r="G340" s="8" t="s">
        <v>79</v>
      </c>
      <c r="H340" t="s">
        <v>16</v>
      </c>
      <c r="I340" s="4">
        <v>3400</v>
      </c>
      <c r="J340" s="8">
        <v>8</v>
      </c>
      <c r="K340" s="4">
        <v>27200</v>
      </c>
      <c r="L340" s="4">
        <v>9520</v>
      </c>
      <c r="M340" s="3">
        <v>0.35</v>
      </c>
    </row>
    <row r="341" spans="2:13" x14ac:dyDescent="0.3">
      <c r="B341" t="s">
        <v>65</v>
      </c>
      <c r="C341" s="1" t="s">
        <v>63</v>
      </c>
      <c r="D341" s="2">
        <v>45074</v>
      </c>
      <c r="E341" s="8" t="s">
        <v>25</v>
      </c>
      <c r="F341" s="8" t="s">
        <v>101</v>
      </c>
      <c r="G341" s="8" t="s">
        <v>79</v>
      </c>
      <c r="H341" t="s">
        <v>18</v>
      </c>
      <c r="I341" s="4">
        <v>4600</v>
      </c>
      <c r="J341" s="8">
        <v>12</v>
      </c>
      <c r="K341" s="4">
        <v>55200</v>
      </c>
      <c r="L341" s="4">
        <v>13800</v>
      </c>
      <c r="M341" s="3">
        <v>0.25</v>
      </c>
    </row>
    <row r="342" spans="2:13" x14ac:dyDescent="0.3">
      <c r="B342" t="s">
        <v>60</v>
      </c>
      <c r="C342" s="1" t="s">
        <v>64</v>
      </c>
      <c r="D342" s="2">
        <v>45081</v>
      </c>
      <c r="E342" s="8" t="s">
        <v>25</v>
      </c>
      <c r="F342" s="8" t="s">
        <v>101</v>
      </c>
      <c r="G342" s="8" t="s">
        <v>79</v>
      </c>
      <c r="H342" t="s">
        <v>12</v>
      </c>
      <c r="I342" s="4">
        <v>500</v>
      </c>
      <c r="J342" s="8">
        <v>10</v>
      </c>
      <c r="K342" s="4">
        <v>5000</v>
      </c>
      <c r="L342" s="4">
        <v>1250</v>
      </c>
      <c r="M342" s="3">
        <v>0.25</v>
      </c>
    </row>
    <row r="343" spans="2:13" x14ac:dyDescent="0.3">
      <c r="B343" t="s">
        <v>66</v>
      </c>
      <c r="C343" s="1" t="s">
        <v>63</v>
      </c>
      <c r="D343" s="2">
        <v>45088</v>
      </c>
      <c r="E343" s="8" t="s">
        <v>25</v>
      </c>
      <c r="F343" s="8" t="s">
        <v>101</v>
      </c>
      <c r="G343" s="8" t="s">
        <v>79</v>
      </c>
      <c r="H343" t="s">
        <v>17</v>
      </c>
      <c r="I343" s="4">
        <v>5130</v>
      </c>
      <c r="J343" s="8">
        <v>15</v>
      </c>
      <c r="K343" s="4">
        <v>76950</v>
      </c>
      <c r="L343" s="4">
        <v>30780</v>
      </c>
      <c r="M343" s="3">
        <v>0.4</v>
      </c>
    </row>
    <row r="344" spans="2:13" x14ac:dyDescent="0.3">
      <c r="B344" t="s">
        <v>61</v>
      </c>
      <c r="C344" s="1" t="s">
        <v>64</v>
      </c>
      <c r="D344" s="2">
        <v>45095</v>
      </c>
      <c r="E344" s="8" t="s">
        <v>25</v>
      </c>
      <c r="F344" s="8" t="s">
        <v>101</v>
      </c>
      <c r="G344" s="8" t="s">
        <v>79</v>
      </c>
      <c r="H344" t="s">
        <v>9</v>
      </c>
      <c r="I344" s="4">
        <v>1500</v>
      </c>
      <c r="J344" s="8">
        <v>1</v>
      </c>
      <c r="K344" s="4">
        <v>1500</v>
      </c>
      <c r="L344" s="4">
        <v>600</v>
      </c>
      <c r="M344" s="3">
        <v>0.4</v>
      </c>
    </row>
    <row r="345" spans="2:13" x14ac:dyDescent="0.3">
      <c r="B345" t="s">
        <v>65</v>
      </c>
      <c r="C345" s="1" t="s">
        <v>63</v>
      </c>
      <c r="D345" s="2">
        <v>45102</v>
      </c>
      <c r="E345" s="8" t="s">
        <v>25</v>
      </c>
      <c r="F345" s="8" t="s">
        <v>101</v>
      </c>
      <c r="G345" s="8" t="s">
        <v>79</v>
      </c>
      <c r="H345" t="s">
        <v>13</v>
      </c>
      <c r="I345" s="4">
        <v>3200</v>
      </c>
      <c r="J345" s="8">
        <v>20</v>
      </c>
      <c r="K345" s="4">
        <v>35200</v>
      </c>
      <c r="L345" s="4">
        <v>7040</v>
      </c>
      <c r="M345" s="3">
        <v>0.2</v>
      </c>
    </row>
    <row r="346" spans="2:13" x14ac:dyDescent="0.3">
      <c r="B346" t="s">
        <v>65</v>
      </c>
      <c r="C346" s="1" t="s">
        <v>63</v>
      </c>
      <c r="D346" s="2">
        <v>45109</v>
      </c>
      <c r="E346" s="8" t="s">
        <v>25</v>
      </c>
      <c r="F346" s="8" t="s">
        <v>101</v>
      </c>
      <c r="G346" s="8" t="s">
        <v>79</v>
      </c>
      <c r="H346" t="s">
        <v>19</v>
      </c>
      <c r="I346" s="4">
        <v>5340</v>
      </c>
      <c r="J346" s="8">
        <v>20</v>
      </c>
      <c r="K346" s="4">
        <v>10680</v>
      </c>
      <c r="L346" s="4">
        <v>3204</v>
      </c>
      <c r="M346" s="3">
        <v>0.3</v>
      </c>
    </row>
    <row r="347" spans="2:13" x14ac:dyDescent="0.3">
      <c r="B347" t="s">
        <v>60</v>
      </c>
      <c r="C347" s="1" t="s">
        <v>64</v>
      </c>
      <c r="D347" s="2">
        <v>45116</v>
      </c>
      <c r="E347" s="8" t="s">
        <v>25</v>
      </c>
      <c r="F347" s="8" t="s">
        <v>101</v>
      </c>
      <c r="G347" s="8" t="s">
        <v>79</v>
      </c>
      <c r="H347" t="s">
        <v>19</v>
      </c>
      <c r="I347" s="4">
        <v>5340</v>
      </c>
      <c r="J347" s="8">
        <v>1</v>
      </c>
      <c r="K347" s="4">
        <v>5340</v>
      </c>
      <c r="L347" s="4">
        <v>1602</v>
      </c>
      <c r="M347" s="3">
        <v>0.3</v>
      </c>
    </row>
    <row r="348" spans="2:13" x14ac:dyDescent="0.3">
      <c r="B348" t="s">
        <v>65</v>
      </c>
      <c r="C348" s="1" t="s">
        <v>64</v>
      </c>
      <c r="D348" s="2">
        <v>45123</v>
      </c>
      <c r="E348" s="8" t="s">
        <v>25</v>
      </c>
      <c r="F348" s="8" t="s">
        <v>101</v>
      </c>
      <c r="G348" s="8" t="s">
        <v>79</v>
      </c>
      <c r="H348" t="s">
        <v>12</v>
      </c>
      <c r="I348" s="4">
        <v>500</v>
      </c>
      <c r="J348" s="8">
        <v>5</v>
      </c>
      <c r="K348" s="4">
        <v>2500</v>
      </c>
      <c r="L348" s="4">
        <v>625</v>
      </c>
      <c r="M348" s="3">
        <v>0.25</v>
      </c>
    </row>
    <row r="349" spans="2:13" x14ac:dyDescent="0.3">
      <c r="B349" t="s">
        <v>65</v>
      </c>
      <c r="C349" s="1" t="s">
        <v>64</v>
      </c>
      <c r="D349" s="2">
        <v>45130</v>
      </c>
      <c r="E349" s="8" t="s">
        <v>25</v>
      </c>
      <c r="F349" s="8" t="s">
        <v>101</v>
      </c>
      <c r="G349" s="8" t="s">
        <v>79</v>
      </c>
      <c r="H349" t="s">
        <v>19</v>
      </c>
      <c r="I349" s="4">
        <v>5340</v>
      </c>
      <c r="J349" s="8">
        <v>12</v>
      </c>
      <c r="K349" s="4">
        <v>64080</v>
      </c>
      <c r="L349" s="4">
        <v>19224</v>
      </c>
      <c r="M349" s="3">
        <v>0.3</v>
      </c>
    </row>
    <row r="350" spans="2:13" x14ac:dyDescent="0.3">
      <c r="B350" t="s">
        <v>61</v>
      </c>
      <c r="C350" s="1" t="s">
        <v>63</v>
      </c>
      <c r="D350" s="2">
        <v>45137</v>
      </c>
      <c r="E350" s="8" t="s">
        <v>25</v>
      </c>
      <c r="F350" s="8" t="s">
        <v>101</v>
      </c>
      <c r="G350" s="8" t="s">
        <v>79</v>
      </c>
      <c r="H350" t="s">
        <v>8</v>
      </c>
      <c r="I350" s="4">
        <v>1200</v>
      </c>
      <c r="J350" s="8">
        <v>8</v>
      </c>
      <c r="K350" s="4">
        <v>9600</v>
      </c>
      <c r="L350" s="4">
        <v>2880</v>
      </c>
      <c r="M350" s="3">
        <v>0.3</v>
      </c>
    </row>
    <row r="351" spans="2:13" x14ac:dyDescent="0.3">
      <c r="B351" t="s">
        <v>65</v>
      </c>
      <c r="C351" s="1" t="s">
        <v>64</v>
      </c>
      <c r="D351" s="2">
        <v>45144</v>
      </c>
      <c r="E351" s="8" t="s">
        <v>25</v>
      </c>
      <c r="F351" s="8" t="s">
        <v>101</v>
      </c>
      <c r="G351" s="8" t="s">
        <v>79</v>
      </c>
      <c r="H351" t="s">
        <v>15</v>
      </c>
      <c r="I351" s="4">
        <v>5300</v>
      </c>
      <c r="J351" s="8">
        <v>20</v>
      </c>
      <c r="K351" s="4">
        <v>42400</v>
      </c>
      <c r="L351" s="4">
        <v>12720</v>
      </c>
      <c r="M351" s="3">
        <v>0.3</v>
      </c>
    </row>
    <row r="352" spans="2:13" x14ac:dyDescent="0.3">
      <c r="B352" t="s">
        <v>62</v>
      </c>
      <c r="C352" s="1" t="s">
        <v>63</v>
      </c>
      <c r="D352" s="2">
        <v>45151</v>
      </c>
      <c r="E352" s="8" t="s">
        <v>25</v>
      </c>
      <c r="F352" s="8" t="s">
        <v>101</v>
      </c>
      <c r="G352" s="8" t="s">
        <v>79</v>
      </c>
      <c r="H352" t="s">
        <v>20</v>
      </c>
      <c r="I352" s="4">
        <v>8902</v>
      </c>
      <c r="J352" s="8">
        <v>20</v>
      </c>
      <c r="K352" s="4">
        <v>97922</v>
      </c>
      <c r="L352" s="4">
        <v>34272.699999999997</v>
      </c>
      <c r="M352" s="3">
        <v>0.35</v>
      </c>
    </row>
    <row r="353" spans="2:13" x14ac:dyDescent="0.3">
      <c r="B353" t="s">
        <v>60</v>
      </c>
      <c r="C353" s="1" t="s">
        <v>63</v>
      </c>
      <c r="D353" s="2">
        <v>45158</v>
      </c>
      <c r="E353" s="8" t="s">
        <v>25</v>
      </c>
      <c r="F353" s="8" t="s">
        <v>101</v>
      </c>
      <c r="G353" s="8" t="s">
        <v>79</v>
      </c>
      <c r="H353" t="s">
        <v>20</v>
      </c>
      <c r="I353" s="4">
        <v>8902</v>
      </c>
      <c r="J353" s="8">
        <v>12</v>
      </c>
      <c r="K353" s="4">
        <v>106824</v>
      </c>
      <c r="L353" s="4">
        <v>37388.399999999994</v>
      </c>
      <c r="M353" s="3">
        <v>0.35</v>
      </c>
    </row>
    <row r="354" spans="2:13" x14ac:dyDescent="0.3">
      <c r="B354" t="s">
        <v>62</v>
      </c>
      <c r="C354" s="1" t="s">
        <v>63</v>
      </c>
      <c r="D354" s="2">
        <v>45165</v>
      </c>
      <c r="E354" s="8" t="s">
        <v>25</v>
      </c>
      <c r="F354" s="8" t="s">
        <v>101</v>
      </c>
      <c r="G354" s="8" t="s">
        <v>79</v>
      </c>
      <c r="H354" t="s">
        <v>14</v>
      </c>
      <c r="I354" s="4">
        <v>4500</v>
      </c>
      <c r="J354" s="8">
        <v>3</v>
      </c>
      <c r="K354" s="4">
        <v>13500</v>
      </c>
      <c r="L354" s="4">
        <v>3375</v>
      </c>
      <c r="M354" s="3">
        <v>0.25</v>
      </c>
    </row>
    <row r="355" spans="2:13" x14ac:dyDescent="0.3">
      <c r="B355" t="s">
        <v>62</v>
      </c>
      <c r="C355" s="1" t="s">
        <v>63</v>
      </c>
      <c r="D355" s="2">
        <v>44766</v>
      </c>
      <c r="E355" s="8" t="s">
        <v>23</v>
      </c>
      <c r="F355" s="8" t="s">
        <v>54</v>
      </c>
      <c r="G355" s="8" t="s">
        <v>28</v>
      </c>
      <c r="H355" t="s">
        <v>15</v>
      </c>
      <c r="I355" s="4">
        <v>5300</v>
      </c>
      <c r="J355" s="8">
        <v>9</v>
      </c>
      <c r="K355" s="4">
        <f t="shared" ref="K355:K386" si="6">I355*J355</f>
        <v>47700</v>
      </c>
      <c r="L355" s="4">
        <f t="shared" ref="L355:L386" si="7">K355*M355</f>
        <v>14310</v>
      </c>
      <c r="M355" s="3">
        <v>0.3</v>
      </c>
    </row>
    <row r="356" spans="2:13" x14ac:dyDescent="0.3">
      <c r="B356" t="s">
        <v>60</v>
      </c>
      <c r="C356" s="1" t="s">
        <v>63</v>
      </c>
      <c r="D356" s="2">
        <v>44773</v>
      </c>
      <c r="E356" s="8" t="s">
        <v>23</v>
      </c>
      <c r="F356" s="8" t="s">
        <v>54</v>
      </c>
      <c r="G356" s="8" t="s">
        <v>28</v>
      </c>
      <c r="H356" t="s">
        <v>8</v>
      </c>
      <c r="I356" s="4">
        <v>1200</v>
      </c>
      <c r="J356" s="8">
        <v>3</v>
      </c>
      <c r="K356" s="4">
        <f t="shared" si="6"/>
        <v>3600</v>
      </c>
      <c r="L356" s="4">
        <f t="shared" si="7"/>
        <v>1080</v>
      </c>
      <c r="M356" s="3">
        <v>0.3</v>
      </c>
    </row>
    <row r="357" spans="2:13" x14ac:dyDescent="0.3">
      <c r="B357" t="s">
        <v>65</v>
      </c>
      <c r="C357" s="1" t="s">
        <v>63</v>
      </c>
      <c r="D357" s="2">
        <v>44780</v>
      </c>
      <c r="E357" s="8" t="s">
        <v>23</v>
      </c>
      <c r="F357" s="8" t="s">
        <v>54</v>
      </c>
      <c r="G357" s="8" t="s">
        <v>28</v>
      </c>
      <c r="H357" t="s">
        <v>11</v>
      </c>
      <c r="I357" s="4">
        <v>300</v>
      </c>
      <c r="J357" s="8">
        <v>6</v>
      </c>
      <c r="K357" s="4">
        <f t="shared" si="6"/>
        <v>1800</v>
      </c>
      <c r="L357" s="4">
        <f t="shared" si="7"/>
        <v>270</v>
      </c>
      <c r="M357" s="3">
        <v>0.15</v>
      </c>
    </row>
    <row r="358" spans="2:13" x14ac:dyDescent="0.3">
      <c r="B358" t="s">
        <v>65</v>
      </c>
      <c r="C358" s="1" t="s">
        <v>64</v>
      </c>
      <c r="D358" s="2">
        <v>44787</v>
      </c>
      <c r="E358" s="8" t="s">
        <v>23</v>
      </c>
      <c r="F358" s="8" t="s">
        <v>54</v>
      </c>
      <c r="G358" s="8" t="s">
        <v>28</v>
      </c>
      <c r="H358" t="s">
        <v>14</v>
      </c>
      <c r="I358" s="4">
        <v>4500</v>
      </c>
      <c r="J358" s="8">
        <v>6</v>
      </c>
      <c r="K358" s="4">
        <f t="shared" si="6"/>
        <v>27000</v>
      </c>
      <c r="L358" s="4">
        <f t="shared" si="7"/>
        <v>6750</v>
      </c>
      <c r="M358" s="3">
        <v>0.25</v>
      </c>
    </row>
    <row r="359" spans="2:13" x14ac:dyDescent="0.3">
      <c r="B359" t="s">
        <v>65</v>
      </c>
      <c r="C359" s="1" t="s">
        <v>64</v>
      </c>
      <c r="D359" s="2">
        <v>44794</v>
      </c>
      <c r="E359" s="8" t="s">
        <v>23</v>
      </c>
      <c r="F359" s="8" t="s">
        <v>54</v>
      </c>
      <c r="G359" s="8" t="s">
        <v>28</v>
      </c>
      <c r="H359" t="s">
        <v>9</v>
      </c>
      <c r="I359" s="4">
        <v>1500</v>
      </c>
      <c r="J359" s="8">
        <v>5</v>
      </c>
      <c r="K359" s="4">
        <f t="shared" si="6"/>
        <v>7500</v>
      </c>
      <c r="L359" s="4">
        <f t="shared" si="7"/>
        <v>3000</v>
      </c>
      <c r="M359" s="3">
        <v>0.4</v>
      </c>
    </row>
    <row r="360" spans="2:13" x14ac:dyDescent="0.3">
      <c r="B360" t="s">
        <v>65</v>
      </c>
      <c r="C360" s="1" t="s">
        <v>64</v>
      </c>
      <c r="D360" s="2">
        <v>44801</v>
      </c>
      <c r="E360" s="8" t="s">
        <v>23</v>
      </c>
      <c r="F360" s="8" t="s">
        <v>54</v>
      </c>
      <c r="G360" s="8" t="s">
        <v>28</v>
      </c>
      <c r="H360" t="s">
        <v>14</v>
      </c>
      <c r="I360" s="4">
        <v>4500</v>
      </c>
      <c r="J360" s="8">
        <v>7</v>
      </c>
      <c r="K360" s="4">
        <f t="shared" si="6"/>
        <v>31500</v>
      </c>
      <c r="L360" s="4">
        <f t="shared" si="7"/>
        <v>7875</v>
      </c>
      <c r="M360" s="3">
        <v>0.25</v>
      </c>
    </row>
    <row r="361" spans="2:13" x14ac:dyDescent="0.3">
      <c r="B361" t="s">
        <v>65</v>
      </c>
      <c r="C361" s="1" t="s">
        <v>63</v>
      </c>
      <c r="D361" s="2">
        <v>44808</v>
      </c>
      <c r="E361" s="8" t="s">
        <v>23</v>
      </c>
      <c r="F361" s="8" t="s">
        <v>54</v>
      </c>
      <c r="G361" s="8" t="s">
        <v>28</v>
      </c>
      <c r="H361" t="s">
        <v>13</v>
      </c>
      <c r="I361" s="4">
        <v>3200</v>
      </c>
      <c r="J361" s="8">
        <v>7</v>
      </c>
      <c r="K361" s="4">
        <f t="shared" si="6"/>
        <v>22400</v>
      </c>
      <c r="L361" s="4">
        <f t="shared" si="7"/>
        <v>4480</v>
      </c>
      <c r="M361" s="3">
        <v>0.2</v>
      </c>
    </row>
    <row r="362" spans="2:13" x14ac:dyDescent="0.3">
      <c r="B362" t="s">
        <v>65</v>
      </c>
      <c r="C362" s="1" t="s">
        <v>63</v>
      </c>
      <c r="D362" s="2">
        <v>44815</v>
      </c>
      <c r="E362" s="8" t="s">
        <v>23</v>
      </c>
      <c r="F362" s="8" t="s">
        <v>54</v>
      </c>
      <c r="G362" s="8" t="s">
        <v>28</v>
      </c>
      <c r="H362" t="s">
        <v>9</v>
      </c>
      <c r="I362" s="4">
        <v>1500</v>
      </c>
      <c r="J362" s="8">
        <v>9</v>
      </c>
      <c r="K362" s="4">
        <f t="shared" si="6"/>
        <v>13500</v>
      </c>
      <c r="L362" s="4">
        <f t="shared" si="7"/>
        <v>5400</v>
      </c>
      <c r="M362" s="3">
        <v>0.4</v>
      </c>
    </row>
    <row r="363" spans="2:13" x14ac:dyDescent="0.3">
      <c r="B363" t="s">
        <v>60</v>
      </c>
      <c r="C363" s="1" t="s">
        <v>63</v>
      </c>
      <c r="D363" s="2">
        <v>44822</v>
      </c>
      <c r="E363" s="8" t="s">
        <v>23</v>
      </c>
      <c r="F363" s="8" t="s">
        <v>54</v>
      </c>
      <c r="G363" s="8" t="s">
        <v>28</v>
      </c>
      <c r="H363" t="s">
        <v>12</v>
      </c>
      <c r="I363" s="4">
        <v>500</v>
      </c>
      <c r="J363" s="8">
        <v>2</v>
      </c>
      <c r="K363" s="4">
        <f t="shared" si="6"/>
        <v>1000</v>
      </c>
      <c r="L363" s="4">
        <f t="shared" si="7"/>
        <v>250</v>
      </c>
      <c r="M363" s="3">
        <v>0.25</v>
      </c>
    </row>
    <row r="364" spans="2:13" x14ac:dyDescent="0.3">
      <c r="B364" t="s">
        <v>65</v>
      </c>
      <c r="C364" s="1" t="s">
        <v>64</v>
      </c>
      <c r="D364" s="2">
        <v>44829</v>
      </c>
      <c r="E364" s="8" t="s">
        <v>23</v>
      </c>
      <c r="F364" s="8" t="s">
        <v>54</v>
      </c>
      <c r="G364" s="8" t="s">
        <v>28</v>
      </c>
      <c r="H364" t="s">
        <v>12</v>
      </c>
      <c r="I364" s="4">
        <v>500</v>
      </c>
      <c r="J364" s="8">
        <v>9</v>
      </c>
      <c r="K364" s="4">
        <f t="shared" si="6"/>
        <v>4500</v>
      </c>
      <c r="L364" s="4">
        <f t="shared" si="7"/>
        <v>1125</v>
      </c>
      <c r="M364" s="3">
        <v>0.25</v>
      </c>
    </row>
    <row r="365" spans="2:13" x14ac:dyDescent="0.3">
      <c r="B365" t="s">
        <v>65</v>
      </c>
      <c r="C365" s="1" t="s">
        <v>63</v>
      </c>
      <c r="D365" s="2">
        <v>44836</v>
      </c>
      <c r="E365" s="8" t="s">
        <v>23</v>
      </c>
      <c r="F365" s="8" t="s">
        <v>54</v>
      </c>
      <c r="G365" s="8" t="s">
        <v>28</v>
      </c>
      <c r="H365" t="s">
        <v>15</v>
      </c>
      <c r="I365" s="4">
        <v>5300</v>
      </c>
      <c r="J365" s="8">
        <v>4</v>
      </c>
      <c r="K365" s="4">
        <f t="shared" si="6"/>
        <v>21200</v>
      </c>
      <c r="L365" s="4">
        <f t="shared" si="7"/>
        <v>6360</v>
      </c>
      <c r="M365" s="3">
        <v>0.3</v>
      </c>
    </row>
    <row r="366" spans="2:13" x14ac:dyDescent="0.3">
      <c r="B366" t="s">
        <v>60</v>
      </c>
      <c r="C366" s="1" t="s">
        <v>63</v>
      </c>
      <c r="D366" s="2">
        <v>44843</v>
      </c>
      <c r="E366" s="8" t="s">
        <v>23</v>
      </c>
      <c r="F366" s="8" t="s">
        <v>54</v>
      </c>
      <c r="G366" s="8" t="s">
        <v>28</v>
      </c>
      <c r="H366" t="s">
        <v>18</v>
      </c>
      <c r="I366" s="4">
        <v>4600</v>
      </c>
      <c r="J366" s="8">
        <v>5</v>
      </c>
      <c r="K366" s="4">
        <f t="shared" si="6"/>
        <v>23000</v>
      </c>
      <c r="L366" s="4">
        <f t="shared" si="7"/>
        <v>5750</v>
      </c>
      <c r="M366" s="3">
        <v>0.25</v>
      </c>
    </row>
    <row r="367" spans="2:13" x14ac:dyDescent="0.3">
      <c r="B367" t="s">
        <v>60</v>
      </c>
      <c r="C367" s="1" t="s">
        <v>63</v>
      </c>
      <c r="D367" s="2">
        <v>44850</v>
      </c>
      <c r="E367" s="8" t="s">
        <v>23</v>
      </c>
      <c r="F367" s="8" t="s">
        <v>54</v>
      </c>
      <c r="G367" s="8" t="s">
        <v>28</v>
      </c>
      <c r="H367" t="s">
        <v>18</v>
      </c>
      <c r="I367" s="4">
        <v>4600</v>
      </c>
      <c r="J367" s="8">
        <v>11</v>
      </c>
      <c r="K367" s="4">
        <f t="shared" si="6"/>
        <v>50600</v>
      </c>
      <c r="L367" s="4">
        <f t="shared" si="7"/>
        <v>12650</v>
      </c>
      <c r="M367" s="3">
        <v>0.25</v>
      </c>
    </row>
    <row r="368" spans="2:13" x14ac:dyDescent="0.3">
      <c r="B368" t="s">
        <v>65</v>
      </c>
      <c r="C368" s="1" t="s">
        <v>63</v>
      </c>
      <c r="D368" s="2">
        <v>44857</v>
      </c>
      <c r="E368" s="8" t="s">
        <v>23</v>
      </c>
      <c r="F368" s="8" t="s">
        <v>54</v>
      </c>
      <c r="G368" s="8" t="s">
        <v>28</v>
      </c>
      <c r="H368" t="s">
        <v>8</v>
      </c>
      <c r="I368" s="4">
        <v>1200</v>
      </c>
      <c r="J368" s="8">
        <v>6</v>
      </c>
      <c r="K368" s="4">
        <f t="shared" si="6"/>
        <v>7200</v>
      </c>
      <c r="L368" s="4">
        <f t="shared" si="7"/>
        <v>2160</v>
      </c>
      <c r="M368" s="3">
        <v>0.3</v>
      </c>
    </row>
    <row r="369" spans="2:13" x14ac:dyDescent="0.3">
      <c r="B369" t="s">
        <v>65</v>
      </c>
      <c r="C369" s="1" t="s">
        <v>64</v>
      </c>
      <c r="D369" s="2">
        <v>44864</v>
      </c>
      <c r="E369" s="8" t="s">
        <v>23</v>
      </c>
      <c r="F369" s="8" t="s">
        <v>54</v>
      </c>
      <c r="G369" s="8" t="s">
        <v>28</v>
      </c>
      <c r="H369" t="s">
        <v>13</v>
      </c>
      <c r="I369" s="4">
        <v>3200</v>
      </c>
      <c r="J369" s="8">
        <v>1</v>
      </c>
      <c r="K369" s="4">
        <f t="shared" si="6"/>
        <v>3200</v>
      </c>
      <c r="L369" s="4">
        <f t="shared" si="7"/>
        <v>640</v>
      </c>
      <c r="M369" s="3">
        <v>0.2</v>
      </c>
    </row>
    <row r="370" spans="2:13" x14ac:dyDescent="0.3">
      <c r="B370" t="s">
        <v>65</v>
      </c>
      <c r="C370" s="1" t="s">
        <v>64</v>
      </c>
      <c r="D370" s="2">
        <v>44871</v>
      </c>
      <c r="E370" s="8" t="s">
        <v>23</v>
      </c>
      <c r="F370" s="8" t="s">
        <v>54</v>
      </c>
      <c r="G370" s="8" t="s">
        <v>28</v>
      </c>
      <c r="H370" t="s">
        <v>15</v>
      </c>
      <c r="I370" s="4">
        <v>5300</v>
      </c>
      <c r="J370" s="8">
        <v>12</v>
      </c>
      <c r="K370" s="4">
        <f t="shared" si="6"/>
        <v>63600</v>
      </c>
      <c r="L370" s="4">
        <f t="shared" si="7"/>
        <v>19080</v>
      </c>
      <c r="M370" s="3">
        <v>0.3</v>
      </c>
    </row>
    <row r="371" spans="2:13" x14ac:dyDescent="0.3">
      <c r="B371" t="s">
        <v>60</v>
      </c>
      <c r="C371" s="1" t="s">
        <v>63</v>
      </c>
      <c r="D371" s="2">
        <v>44878</v>
      </c>
      <c r="E371" s="8" t="s">
        <v>23</v>
      </c>
      <c r="F371" s="8" t="s">
        <v>54</v>
      </c>
      <c r="G371" s="8" t="s">
        <v>28</v>
      </c>
      <c r="H371" t="s">
        <v>12</v>
      </c>
      <c r="I371" s="4">
        <v>500</v>
      </c>
      <c r="J371" s="8">
        <v>5</v>
      </c>
      <c r="K371" s="4">
        <f t="shared" si="6"/>
        <v>2500</v>
      </c>
      <c r="L371" s="4">
        <f t="shared" si="7"/>
        <v>625</v>
      </c>
      <c r="M371" s="3">
        <v>0.25</v>
      </c>
    </row>
    <row r="372" spans="2:13" x14ac:dyDescent="0.3">
      <c r="B372" t="s">
        <v>61</v>
      </c>
      <c r="C372" s="1" t="s">
        <v>63</v>
      </c>
      <c r="D372" s="2">
        <v>44885</v>
      </c>
      <c r="E372" s="8" t="s">
        <v>23</v>
      </c>
      <c r="F372" s="8" t="s">
        <v>54</v>
      </c>
      <c r="G372" s="8" t="s">
        <v>28</v>
      </c>
      <c r="H372" t="s">
        <v>17</v>
      </c>
      <c r="I372" s="4">
        <v>5130</v>
      </c>
      <c r="J372" s="8">
        <v>7</v>
      </c>
      <c r="K372" s="4">
        <f t="shared" si="6"/>
        <v>35910</v>
      </c>
      <c r="L372" s="4">
        <f t="shared" si="7"/>
        <v>14364</v>
      </c>
      <c r="M372" s="3">
        <v>0.4</v>
      </c>
    </row>
    <row r="373" spans="2:13" x14ac:dyDescent="0.3">
      <c r="B373" t="s">
        <v>65</v>
      </c>
      <c r="C373" s="1" t="s">
        <v>64</v>
      </c>
      <c r="D373" s="2">
        <v>44892</v>
      </c>
      <c r="E373" s="8" t="s">
        <v>23</v>
      </c>
      <c r="F373" s="8" t="s">
        <v>54</v>
      </c>
      <c r="G373" s="8" t="s">
        <v>28</v>
      </c>
      <c r="H373" t="s">
        <v>9</v>
      </c>
      <c r="I373" s="4">
        <v>1500</v>
      </c>
      <c r="J373" s="8">
        <v>5</v>
      </c>
      <c r="K373" s="4">
        <f t="shared" si="6"/>
        <v>7500</v>
      </c>
      <c r="L373" s="4">
        <f t="shared" si="7"/>
        <v>3000</v>
      </c>
      <c r="M373" s="3">
        <v>0.4</v>
      </c>
    </row>
    <row r="374" spans="2:13" x14ac:dyDescent="0.3">
      <c r="B374" t="s">
        <v>60</v>
      </c>
      <c r="C374" s="1" t="s">
        <v>63</v>
      </c>
      <c r="D374" s="2">
        <v>44899</v>
      </c>
      <c r="E374" s="8" t="s">
        <v>23</v>
      </c>
      <c r="F374" s="8" t="s">
        <v>54</v>
      </c>
      <c r="G374" s="8" t="s">
        <v>28</v>
      </c>
      <c r="H374" t="s">
        <v>15</v>
      </c>
      <c r="I374" s="4">
        <v>5300</v>
      </c>
      <c r="J374" s="8">
        <v>10</v>
      </c>
      <c r="K374" s="4">
        <f t="shared" si="6"/>
        <v>53000</v>
      </c>
      <c r="L374" s="4">
        <f t="shared" si="7"/>
        <v>15900</v>
      </c>
      <c r="M374" s="3">
        <v>0.3</v>
      </c>
    </row>
    <row r="375" spans="2:13" x14ac:dyDescent="0.3">
      <c r="B375" t="s">
        <v>65</v>
      </c>
      <c r="C375" s="1" t="s">
        <v>63</v>
      </c>
      <c r="D375" s="2">
        <v>44906</v>
      </c>
      <c r="E375" s="8" t="s">
        <v>23</v>
      </c>
      <c r="F375" s="8" t="s">
        <v>54</v>
      </c>
      <c r="G375" s="8" t="s">
        <v>28</v>
      </c>
      <c r="H375" t="s">
        <v>19</v>
      </c>
      <c r="I375" s="4">
        <v>5340</v>
      </c>
      <c r="J375" s="8">
        <v>8</v>
      </c>
      <c r="K375" s="4">
        <f t="shared" si="6"/>
        <v>42720</v>
      </c>
      <c r="L375" s="4">
        <f t="shared" si="7"/>
        <v>12816</v>
      </c>
      <c r="M375" s="3">
        <v>0.3</v>
      </c>
    </row>
    <row r="376" spans="2:13" x14ac:dyDescent="0.3">
      <c r="B376" t="s">
        <v>66</v>
      </c>
      <c r="C376" s="1" t="s">
        <v>63</v>
      </c>
      <c r="D376" s="2">
        <v>44913</v>
      </c>
      <c r="E376" s="8" t="s">
        <v>23</v>
      </c>
      <c r="F376" s="8" t="s">
        <v>54</v>
      </c>
      <c r="G376" s="8" t="s">
        <v>28</v>
      </c>
      <c r="H376" t="s">
        <v>15</v>
      </c>
      <c r="I376" s="4">
        <v>5300</v>
      </c>
      <c r="J376" s="8">
        <v>6</v>
      </c>
      <c r="K376" s="4">
        <f t="shared" si="6"/>
        <v>31800</v>
      </c>
      <c r="L376" s="4">
        <f t="shared" si="7"/>
        <v>9540</v>
      </c>
      <c r="M376" s="3">
        <v>0.3</v>
      </c>
    </row>
    <row r="377" spans="2:13" x14ac:dyDescent="0.3">
      <c r="B377" t="s">
        <v>60</v>
      </c>
      <c r="C377" s="1" t="s">
        <v>64</v>
      </c>
      <c r="D377" s="2">
        <v>44920</v>
      </c>
      <c r="E377" s="8" t="s">
        <v>23</v>
      </c>
      <c r="F377" s="8" t="s">
        <v>54</v>
      </c>
      <c r="G377" s="8" t="s">
        <v>28</v>
      </c>
      <c r="H377" t="s">
        <v>12</v>
      </c>
      <c r="I377" s="4">
        <v>500</v>
      </c>
      <c r="J377" s="8">
        <v>5</v>
      </c>
      <c r="K377" s="4">
        <f t="shared" si="6"/>
        <v>2500</v>
      </c>
      <c r="L377" s="4">
        <f t="shared" si="7"/>
        <v>625</v>
      </c>
      <c r="M377" s="3">
        <v>0.25</v>
      </c>
    </row>
    <row r="378" spans="2:13" x14ac:dyDescent="0.3">
      <c r="B378" t="s">
        <v>65</v>
      </c>
      <c r="C378" s="1" t="s">
        <v>63</v>
      </c>
      <c r="D378" s="2">
        <v>44927</v>
      </c>
      <c r="E378" s="8" t="s">
        <v>23</v>
      </c>
      <c r="F378" s="8" t="s">
        <v>54</v>
      </c>
      <c r="G378" s="8" t="s">
        <v>28</v>
      </c>
      <c r="H378" t="s">
        <v>20</v>
      </c>
      <c r="I378" s="4">
        <v>8902</v>
      </c>
      <c r="J378" s="8">
        <v>11</v>
      </c>
      <c r="K378" s="4">
        <f t="shared" si="6"/>
        <v>97922</v>
      </c>
      <c r="L378" s="4">
        <f t="shared" si="7"/>
        <v>34272.699999999997</v>
      </c>
      <c r="M378" s="3">
        <v>0.35</v>
      </c>
    </row>
    <row r="379" spans="2:13" x14ac:dyDescent="0.3">
      <c r="B379" t="s">
        <v>66</v>
      </c>
      <c r="C379" s="1" t="s">
        <v>63</v>
      </c>
      <c r="D379" s="2">
        <v>44934</v>
      </c>
      <c r="E379" s="8" t="s">
        <v>23</v>
      </c>
      <c r="F379" s="8" t="s">
        <v>54</v>
      </c>
      <c r="G379" s="8" t="s">
        <v>28</v>
      </c>
      <c r="H379" t="s">
        <v>19</v>
      </c>
      <c r="I379" s="4">
        <v>5340</v>
      </c>
      <c r="J379" s="8">
        <v>5</v>
      </c>
      <c r="K379" s="4">
        <f t="shared" si="6"/>
        <v>26700</v>
      </c>
      <c r="L379" s="4">
        <f t="shared" si="7"/>
        <v>8010</v>
      </c>
      <c r="M379" s="3">
        <v>0.3</v>
      </c>
    </row>
    <row r="380" spans="2:13" x14ac:dyDescent="0.3">
      <c r="B380" t="s">
        <v>66</v>
      </c>
      <c r="C380" s="1" t="s">
        <v>64</v>
      </c>
      <c r="D380" s="2">
        <v>44941</v>
      </c>
      <c r="E380" s="8" t="s">
        <v>23</v>
      </c>
      <c r="F380" s="8" t="s">
        <v>54</v>
      </c>
      <c r="G380" s="8" t="s">
        <v>28</v>
      </c>
      <c r="H380" t="s">
        <v>11</v>
      </c>
      <c r="I380" s="4">
        <v>300</v>
      </c>
      <c r="J380" s="8">
        <v>3</v>
      </c>
      <c r="K380" s="4">
        <f t="shared" si="6"/>
        <v>900</v>
      </c>
      <c r="L380" s="4">
        <f t="shared" si="7"/>
        <v>135</v>
      </c>
      <c r="M380" s="3">
        <v>0.15</v>
      </c>
    </row>
    <row r="381" spans="2:13" x14ac:dyDescent="0.3">
      <c r="B381" t="s">
        <v>65</v>
      </c>
      <c r="C381" s="1" t="s">
        <v>64</v>
      </c>
      <c r="D381" s="2">
        <v>44948</v>
      </c>
      <c r="E381" s="8" t="s">
        <v>23</v>
      </c>
      <c r="F381" s="8" t="s">
        <v>54</v>
      </c>
      <c r="G381" s="8" t="s">
        <v>28</v>
      </c>
      <c r="H381" t="s">
        <v>13</v>
      </c>
      <c r="I381" s="4">
        <v>3200</v>
      </c>
      <c r="J381" s="8">
        <v>3</v>
      </c>
      <c r="K381" s="4">
        <f t="shared" si="6"/>
        <v>9600</v>
      </c>
      <c r="L381" s="4">
        <f t="shared" si="7"/>
        <v>1920</v>
      </c>
      <c r="M381" s="3">
        <v>0.2</v>
      </c>
    </row>
    <row r="382" spans="2:13" x14ac:dyDescent="0.3">
      <c r="B382" t="s">
        <v>61</v>
      </c>
      <c r="C382" s="1" t="s">
        <v>63</v>
      </c>
      <c r="D382" s="2">
        <v>44955</v>
      </c>
      <c r="E382" s="8" t="s">
        <v>23</v>
      </c>
      <c r="F382" s="8" t="s">
        <v>54</v>
      </c>
      <c r="G382" s="8" t="s">
        <v>28</v>
      </c>
      <c r="H382" t="s">
        <v>15</v>
      </c>
      <c r="I382" s="4">
        <v>5300</v>
      </c>
      <c r="J382" s="8">
        <v>1</v>
      </c>
      <c r="K382" s="4">
        <f t="shared" si="6"/>
        <v>5300</v>
      </c>
      <c r="L382" s="4">
        <f t="shared" si="7"/>
        <v>1590</v>
      </c>
      <c r="M382" s="3">
        <v>0.3</v>
      </c>
    </row>
    <row r="383" spans="2:13" x14ac:dyDescent="0.3">
      <c r="B383" t="s">
        <v>60</v>
      </c>
      <c r="C383" s="1" t="s">
        <v>64</v>
      </c>
      <c r="D383" s="2">
        <v>44962</v>
      </c>
      <c r="E383" s="8" t="s">
        <v>23</v>
      </c>
      <c r="F383" s="8" t="s">
        <v>54</v>
      </c>
      <c r="G383" s="8" t="s">
        <v>28</v>
      </c>
      <c r="H383" t="s">
        <v>16</v>
      </c>
      <c r="I383" s="4">
        <v>3400</v>
      </c>
      <c r="J383" s="8">
        <v>1</v>
      </c>
      <c r="K383" s="4">
        <f t="shared" si="6"/>
        <v>3400</v>
      </c>
      <c r="L383" s="4">
        <f t="shared" si="7"/>
        <v>1190</v>
      </c>
      <c r="M383" s="3">
        <v>0.35</v>
      </c>
    </row>
    <row r="384" spans="2:13" x14ac:dyDescent="0.3">
      <c r="B384" t="s">
        <v>65</v>
      </c>
      <c r="C384" s="1" t="s">
        <v>63</v>
      </c>
      <c r="D384" s="2">
        <v>44969</v>
      </c>
      <c r="E384" s="8" t="s">
        <v>23</v>
      </c>
      <c r="F384" s="8" t="s">
        <v>54</v>
      </c>
      <c r="G384" s="8" t="s">
        <v>28</v>
      </c>
      <c r="H384" t="s">
        <v>13</v>
      </c>
      <c r="I384" s="4">
        <v>3200</v>
      </c>
      <c r="J384" s="8">
        <v>7</v>
      </c>
      <c r="K384" s="4">
        <f t="shared" si="6"/>
        <v>22400</v>
      </c>
      <c r="L384" s="4">
        <f t="shared" si="7"/>
        <v>4480</v>
      </c>
      <c r="M384" s="3">
        <v>0.2</v>
      </c>
    </row>
    <row r="385" spans="2:13" x14ac:dyDescent="0.3">
      <c r="B385" t="s">
        <v>65</v>
      </c>
      <c r="C385" s="1" t="s">
        <v>63</v>
      </c>
      <c r="D385" s="2">
        <v>44976</v>
      </c>
      <c r="E385" s="8" t="s">
        <v>23</v>
      </c>
      <c r="F385" s="8" t="s">
        <v>54</v>
      </c>
      <c r="G385" s="8" t="s">
        <v>28</v>
      </c>
      <c r="H385" t="s">
        <v>12</v>
      </c>
      <c r="I385" s="4">
        <v>500</v>
      </c>
      <c r="J385" s="8">
        <v>5</v>
      </c>
      <c r="K385" s="4">
        <f t="shared" si="6"/>
        <v>2500</v>
      </c>
      <c r="L385" s="4">
        <f t="shared" si="7"/>
        <v>625</v>
      </c>
      <c r="M385" s="3">
        <v>0.25</v>
      </c>
    </row>
    <row r="386" spans="2:13" x14ac:dyDescent="0.3">
      <c r="B386" t="s">
        <v>65</v>
      </c>
      <c r="C386" s="1" t="s">
        <v>63</v>
      </c>
      <c r="D386" s="2">
        <v>44983</v>
      </c>
      <c r="E386" s="8" t="s">
        <v>23</v>
      </c>
      <c r="F386" s="8" t="s">
        <v>54</v>
      </c>
      <c r="G386" s="8" t="s">
        <v>28</v>
      </c>
      <c r="H386" t="s">
        <v>18</v>
      </c>
      <c r="I386" s="4">
        <v>4600</v>
      </c>
      <c r="J386" s="8">
        <v>12</v>
      </c>
      <c r="K386" s="4">
        <f t="shared" si="6"/>
        <v>55200</v>
      </c>
      <c r="L386" s="4">
        <f t="shared" si="7"/>
        <v>13800</v>
      </c>
      <c r="M386" s="3">
        <v>0.25</v>
      </c>
    </row>
    <row r="387" spans="2:13" x14ac:dyDescent="0.3">
      <c r="B387" t="s">
        <v>66</v>
      </c>
      <c r="C387" s="1" t="s">
        <v>63</v>
      </c>
      <c r="D387" s="2">
        <v>44990</v>
      </c>
      <c r="E387" s="8" t="s">
        <v>23</v>
      </c>
      <c r="F387" s="8" t="s">
        <v>54</v>
      </c>
      <c r="G387" s="8" t="s">
        <v>28</v>
      </c>
      <c r="H387" t="s">
        <v>17</v>
      </c>
      <c r="I387" s="4">
        <v>5130</v>
      </c>
      <c r="J387" s="8">
        <v>7</v>
      </c>
      <c r="K387" s="4">
        <f t="shared" ref="K387:K418" si="8">I387*J387</f>
        <v>35910</v>
      </c>
      <c r="L387" s="4">
        <f t="shared" ref="L387:L418" si="9">K387*M387</f>
        <v>14364</v>
      </c>
      <c r="M387" s="3">
        <v>0.4</v>
      </c>
    </row>
    <row r="388" spans="2:13" x14ac:dyDescent="0.3">
      <c r="B388" t="s">
        <v>65</v>
      </c>
      <c r="C388" s="1" t="s">
        <v>63</v>
      </c>
      <c r="D388" s="2">
        <v>44997</v>
      </c>
      <c r="E388" s="8" t="s">
        <v>23</v>
      </c>
      <c r="F388" s="8" t="s">
        <v>54</v>
      </c>
      <c r="G388" s="8" t="s">
        <v>28</v>
      </c>
      <c r="H388" t="s">
        <v>20</v>
      </c>
      <c r="I388" s="4">
        <v>8902</v>
      </c>
      <c r="J388" s="8">
        <v>10</v>
      </c>
      <c r="K388" s="4">
        <f t="shared" si="8"/>
        <v>89020</v>
      </c>
      <c r="L388" s="4">
        <f t="shared" si="9"/>
        <v>31156.999999999996</v>
      </c>
      <c r="M388" s="3">
        <v>0.35</v>
      </c>
    </row>
    <row r="389" spans="2:13" x14ac:dyDescent="0.3">
      <c r="B389" t="s">
        <v>60</v>
      </c>
      <c r="C389" s="1" t="s">
        <v>63</v>
      </c>
      <c r="D389" s="2">
        <v>45004</v>
      </c>
      <c r="E389" s="8" t="s">
        <v>23</v>
      </c>
      <c r="F389" s="8" t="s">
        <v>54</v>
      </c>
      <c r="G389" s="8" t="s">
        <v>28</v>
      </c>
      <c r="H389" t="s">
        <v>20</v>
      </c>
      <c r="I389" s="4">
        <v>8902</v>
      </c>
      <c r="J389" s="8">
        <v>9</v>
      </c>
      <c r="K389" s="4">
        <f t="shared" si="8"/>
        <v>80118</v>
      </c>
      <c r="L389" s="4">
        <f t="shared" si="9"/>
        <v>28041.3</v>
      </c>
      <c r="M389" s="3">
        <v>0.35</v>
      </c>
    </row>
    <row r="390" spans="2:13" x14ac:dyDescent="0.3">
      <c r="B390" t="s">
        <v>60</v>
      </c>
      <c r="C390" s="1" t="s">
        <v>63</v>
      </c>
      <c r="D390" s="2">
        <v>45011</v>
      </c>
      <c r="E390" s="8" t="s">
        <v>23</v>
      </c>
      <c r="F390" s="8" t="s">
        <v>54</v>
      </c>
      <c r="G390" s="8" t="s">
        <v>28</v>
      </c>
      <c r="H390" t="s">
        <v>20</v>
      </c>
      <c r="I390" s="4">
        <v>8902</v>
      </c>
      <c r="J390" s="8">
        <v>9</v>
      </c>
      <c r="K390" s="4">
        <f t="shared" si="8"/>
        <v>80118</v>
      </c>
      <c r="L390" s="4">
        <f t="shared" si="9"/>
        <v>28041.3</v>
      </c>
      <c r="M390" s="3">
        <v>0.35</v>
      </c>
    </row>
    <row r="391" spans="2:13" x14ac:dyDescent="0.3">
      <c r="B391" t="s">
        <v>60</v>
      </c>
      <c r="C391" s="1" t="s">
        <v>63</v>
      </c>
      <c r="D391" s="2">
        <v>45018</v>
      </c>
      <c r="E391" s="8" t="s">
        <v>23</v>
      </c>
      <c r="F391" s="8" t="s">
        <v>54</v>
      </c>
      <c r="G391" s="8" t="s">
        <v>28</v>
      </c>
      <c r="H391" t="s">
        <v>12</v>
      </c>
      <c r="I391" s="4">
        <v>500</v>
      </c>
      <c r="J391" s="8">
        <v>6</v>
      </c>
      <c r="K391" s="4">
        <f t="shared" si="8"/>
        <v>3000</v>
      </c>
      <c r="L391" s="4">
        <f t="shared" si="9"/>
        <v>750</v>
      </c>
      <c r="M391" s="3">
        <v>0.25</v>
      </c>
    </row>
    <row r="392" spans="2:13" x14ac:dyDescent="0.3">
      <c r="B392" t="s">
        <v>61</v>
      </c>
      <c r="C392" s="1" t="s">
        <v>63</v>
      </c>
      <c r="D392" s="2">
        <v>45025</v>
      </c>
      <c r="E392" s="8" t="s">
        <v>23</v>
      </c>
      <c r="F392" s="8" t="s">
        <v>54</v>
      </c>
      <c r="G392" s="8" t="s">
        <v>28</v>
      </c>
      <c r="H392" t="s">
        <v>20</v>
      </c>
      <c r="I392" s="4">
        <v>8902</v>
      </c>
      <c r="J392" s="8">
        <v>6</v>
      </c>
      <c r="K392" s="4">
        <f t="shared" si="8"/>
        <v>53412</v>
      </c>
      <c r="L392" s="4">
        <f t="shared" si="9"/>
        <v>18694.199999999997</v>
      </c>
      <c r="M392" s="3">
        <v>0.35</v>
      </c>
    </row>
    <row r="393" spans="2:13" x14ac:dyDescent="0.3">
      <c r="B393" t="s">
        <v>65</v>
      </c>
      <c r="C393" s="1" t="s">
        <v>63</v>
      </c>
      <c r="D393" s="2">
        <v>45032</v>
      </c>
      <c r="E393" s="8" t="s">
        <v>23</v>
      </c>
      <c r="F393" s="8" t="s">
        <v>54</v>
      </c>
      <c r="G393" s="8" t="s">
        <v>28</v>
      </c>
      <c r="H393" t="s">
        <v>8</v>
      </c>
      <c r="I393" s="4">
        <v>1200</v>
      </c>
      <c r="J393" s="8">
        <v>8</v>
      </c>
      <c r="K393" s="4">
        <f t="shared" si="8"/>
        <v>9600</v>
      </c>
      <c r="L393" s="4">
        <f t="shared" si="9"/>
        <v>2880</v>
      </c>
      <c r="M393" s="3">
        <v>0.3</v>
      </c>
    </row>
    <row r="394" spans="2:13" x14ac:dyDescent="0.3">
      <c r="B394" t="s">
        <v>65</v>
      </c>
      <c r="C394" s="1" t="s">
        <v>63</v>
      </c>
      <c r="D394" s="2">
        <v>45039</v>
      </c>
      <c r="E394" s="8" t="s">
        <v>23</v>
      </c>
      <c r="F394" s="8" t="s">
        <v>54</v>
      </c>
      <c r="G394" s="8" t="s">
        <v>28</v>
      </c>
      <c r="H394" t="s">
        <v>9</v>
      </c>
      <c r="I394" s="4">
        <v>1500</v>
      </c>
      <c r="J394" s="8">
        <v>5</v>
      </c>
      <c r="K394" s="4">
        <f t="shared" si="8"/>
        <v>7500</v>
      </c>
      <c r="L394" s="4">
        <f t="shared" si="9"/>
        <v>3000</v>
      </c>
      <c r="M394" s="3">
        <v>0.4</v>
      </c>
    </row>
    <row r="395" spans="2:13" x14ac:dyDescent="0.3">
      <c r="B395" t="s">
        <v>66</v>
      </c>
      <c r="C395" s="1" t="s">
        <v>63</v>
      </c>
      <c r="D395" s="2">
        <v>45046</v>
      </c>
      <c r="E395" s="8" t="s">
        <v>23</v>
      </c>
      <c r="F395" s="8" t="s">
        <v>54</v>
      </c>
      <c r="G395" s="8" t="s">
        <v>28</v>
      </c>
      <c r="H395" t="s">
        <v>19</v>
      </c>
      <c r="I395" s="4">
        <v>5340</v>
      </c>
      <c r="J395" s="8">
        <v>9</v>
      </c>
      <c r="K395" s="4">
        <f t="shared" si="8"/>
        <v>48060</v>
      </c>
      <c r="L395" s="4">
        <f t="shared" si="9"/>
        <v>14418</v>
      </c>
      <c r="M395" s="3">
        <v>0.3</v>
      </c>
    </row>
    <row r="396" spans="2:13" x14ac:dyDescent="0.3">
      <c r="B396" t="s">
        <v>66</v>
      </c>
      <c r="C396" s="1" t="s">
        <v>63</v>
      </c>
      <c r="D396" s="2">
        <v>45053</v>
      </c>
      <c r="E396" s="8" t="s">
        <v>23</v>
      </c>
      <c r="F396" s="8" t="s">
        <v>54</v>
      </c>
      <c r="G396" s="8" t="s">
        <v>28</v>
      </c>
      <c r="H396" t="s">
        <v>13</v>
      </c>
      <c r="I396" s="4">
        <v>3200</v>
      </c>
      <c r="J396" s="8">
        <v>2</v>
      </c>
      <c r="K396" s="4">
        <f t="shared" si="8"/>
        <v>6400</v>
      </c>
      <c r="L396" s="4">
        <f t="shared" si="9"/>
        <v>1280</v>
      </c>
      <c r="M396" s="3">
        <v>0.2</v>
      </c>
    </row>
    <row r="397" spans="2:13" x14ac:dyDescent="0.3">
      <c r="B397" t="s">
        <v>65</v>
      </c>
      <c r="C397" s="1" t="s">
        <v>64</v>
      </c>
      <c r="D397" s="2">
        <v>45060</v>
      </c>
      <c r="E397" s="8" t="s">
        <v>23</v>
      </c>
      <c r="F397" s="8" t="s">
        <v>54</v>
      </c>
      <c r="G397" s="8" t="s">
        <v>28</v>
      </c>
      <c r="H397" t="s">
        <v>15</v>
      </c>
      <c r="I397" s="4">
        <v>5300</v>
      </c>
      <c r="J397" s="8">
        <v>2</v>
      </c>
      <c r="K397" s="4">
        <f t="shared" si="8"/>
        <v>10600</v>
      </c>
      <c r="L397" s="4">
        <f t="shared" si="9"/>
        <v>3180</v>
      </c>
      <c r="M397" s="3">
        <v>0.3</v>
      </c>
    </row>
    <row r="398" spans="2:13" x14ac:dyDescent="0.3">
      <c r="B398" t="s">
        <v>66</v>
      </c>
      <c r="C398" s="1" t="s">
        <v>63</v>
      </c>
      <c r="D398" s="2">
        <v>45067</v>
      </c>
      <c r="E398" s="8" t="s">
        <v>23</v>
      </c>
      <c r="F398" s="8" t="s">
        <v>54</v>
      </c>
      <c r="G398" s="8" t="s">
        <v>28</v>
      </c>
      <c r="H398" t="s">
        <v>9</v>
      </c>
      <c r="I398" s="4">
        <v>1500</v>
      </c>
      <c r="J398" s="8">
        <v>11</v>
      </c>
      <c r="K398" s="4">
        <f t="shared" si="8"/>
        <v>16500</v>
      </c>
      <c r="L398" s="4">
        <f t="shared" si="9"/>
        <v>6600</v>
      </c>
      <c r="M398" s="3">
        <v>0.4</v>
      </c>
    </row>
    <row r="399" spans="2:13" x14ac:dyDescent="0.3">
      <c r="B399" t="s">
        <v>62</v>
      </c>
      <c r="C399" s="1" t="s">
        <v>63</v>
      </c>
      <c r="D399" s="2">
        <v>45074</v>
      </c>
      <c r="E399" s="8" t="s">
        <v>23</v>
      </c>
      <c r="F399" s="8" t="s">
        <v>54</v>
      </c>
      <c r="G399" s="8" t="s">
        <v>28</v>
      </c>
      <c r="H399" t="s">
        <v>18</v>
      </c>
      <c r="I399" s="4">
        <v>4600</v>
      </c>
      <c r="J399" s="8">
        <v>9</v>
      </c>
      <c r="K399" s="4">
        <f t="shared" si="8"/>
        <v>41400</v>
      </c>
      <c r="L399" s="4">
        <f t="shared" si="9"/>
        <v>10350</v>
      </c>
      <c r="M399" s="3">
        <v>0.25</v>
      </c>
    </row>
    <row r="400" spans="2:13" x14ac:dyDescent="0.3">
      <c r="B400" t="s">
        <v>60</v>
      </c>
      <c r="C400" s="1" t="s">
        <v>63</v>
      </c>
      <c r="D400" s="2">
        <v>45081</v>
      </c>
      <c r="E400" s="8" t="s">
        <v>23</v>
      </c>
      <c r="F400" s="8" t="s">
        <v>54</v>
      </c>
      <c r="G400" s="8" t="s">
        <v>28</v>
      </c>
      <c r="H400" t="s">
        <v>10</v>
      </c>
      <c r="I400" s="4">
        <v>1700</v>
      </c>
      <c r="J400" s="8">
        <v>6</v>
      </c>
      <c r="K400" s="4">
        <f t="shared" si="8"/>
        <v>10200</v>
      </c>
      <c r="L400" s="4">
        <f t="shared" si="9"/>
        <v>5100</v>
      </c>
      <c r="M400" s="3">
        <v>0.5</v>
      </c>
    </row>
    <row r="401" spans="2:13" x14ac:dyDescent="0.3">
      <c r="B401" t="s">
        <v>60</v>
      </c>
      <c r="C401" s="1" t="s">
        <v>64</v>
      </c>
      <c r="D401" s="2">
        <v>45088</v>
      </c>
      <c r="E401" s="8" t="s">
        <v>23</v>
      </c>
      <c r="F401" s="8" t="s">
        <v>54</v>
      </c>
      <c r="G401" s="8" t="s">
        <v>28</v>
      </c>
      <c r="H401" t="s">
        <v>12</v>
      </c>
      <c r="I401" s="4">
        <v>500</v>
      </c>
      <c r="J401" s="8">
        <v>7</v>
      </c>
      <c r="K401" s="4">
        <f t="shared" si="8"/>
        <v>3500</v>
      </c>
      <c r="L401" s="4">
        <f t="shared" si="9"/>
        <v>875</v>
      </c>
      <c r="M401" s="3">
        <v>0.25</v>
      </c>
    </row>
    <row r="402" spans="2:13" x14ac:dyDescent="0.3">
      <c r="B402" t="s">
        <v>65</v>
      </c>
      <c r="C402" s="1" t="s">
        <v>63</v>
      </c>
      <c r="D402" s="2">
        <v>45095</v>
      </c>
      <c r="E402" s="8" t="s">
        <v>23</v>
      </c>
      <c r="F402" s="8" t="s">
        <v>54</v>
      </c>
      <c r="G402" s="8" t="s">
        <v>28</v>
      </c>
      <c r="H402" t="s">
        <v>11</v>
      </c>
      <c r="I402" s="4">
        <v>300</v>
      </c>
      <c r="J402" s="8">
        <v>12</v>
      </c>
      <c r="K402" s="4">
        <f t="shared" si="8"/>
        <v>3600</v>
      </c>
      <c r="L402" s="4">
        <f t="shared" si="9"/>
        <v>540</v>
      </c>
      <c r="M402" s="3">
        <v>0.15</v>
      </c>
    </row>
    <row r="403" spans="2:13" x14ac:dyDescent="0.3">
      <c r="B403" t="s">
        <v>65</v>
      </c>
      <c r="C403" s="1" t="s">
        <v>63</v>
      </c>
      <c r="D403" s="2">
        <v>45102</v>
      </c>
      <c r="E403" s="8" t="s">
        <v>23</v>
      </c>
      <c r="F403" s="8" t="s">
        <v>54</v>
      </c>
      <c r="G403" s="8" t="s">
        <v>28</v>
      </c>
      <c r="H403" t="s">
        <v>13</v>
      </c>
      <c r="I403" s="4">
        <v>3200</v>
      </c>
      <c r="J403" s="8">
        <v>15</v>
      </c>
      <c r="K403" s="4">
        <f t="shared" si="8"/>
        <v>48000</v>
      </c>
      <c r="L403" s="4">
        <f t="shared" si="9"/>
        <v>9600</v>
      </c>
      <c r="M403" s="3">
        <v>0.2</v>
      </c>
    </row>
    <row r="404" spans="2:13" x14ac:dyDescent="0.3">
      <c r="B404" t="s">
        <v>60</v>
      </c>
      <c r="C404" s="1" t="s">
        <v>64</v>
      </c>
      <c r="D404" s="2">
        <v>45109</v>
      </c>
      <c r="E404" s="8" t="s">
        <v>23</v>
      </c>
      <c r="F404" s="8" t="s">
        <v>54</v>
      </c>
      <c r="G404" s="8" t="s">
        <v>28</v>
      </c>
      <c r="H404" t="s">
        <v>12</v>
      </c>
      <c r="I404" s="4">
        <v>500</v>
      </c>
      <c r="J404" s="8">
        <v>12</v>
      </c>
      <c r="K404" s="4">
        <f t="shared" si="8"/>
        <v>6000</v>
      </c>
      <c r="L404" s="4">
        <f t="shared" si="9"/>
        <v>1500</v>
      </c>
      <c r="M404" s="3">
        <v>0.25</v>
      </c>
    </row>
    <row r="405" spans="2:13" x14ac:dyDescent="0.3">
      <c r="B405" t="s">
        <v>60</v>
      </c>
      <c r="C405" s="1" t="s">
        <v>63</v>
      </c>
      <c r="D405" s="2">
        <v>45116</v>
      </c>
      <c r="E405" s="8" t="s">
        <v>23</v>
      </c>
      <c r="F405" s="8" t="s">
        <v>54</v>
      </c>
      <c r="G405" s="8" t="s">
        <v>28</v>
      </c>
      <c r="H405" t="s">
        <v>8</v>
      </c>
      <c r="I405" s="4">
        <v>1200</v>
      </c>
      <c r="J405" s="8">
        <v>7</v>
      </c>
      <c r="K405" s="4">
        <f t="shared" si="8"/>
        <v>8400</v>
      </c>
      <c r="L405" s="4">
        <f t="shared" si="9"/>
        <v>2520</v>
      </c>
      <c r="M405" s="3">
        <v>0.3</v>
      </c>
    </row>
    <row r="406" spans="2:13" x14ac:dyDescent="0.3">
      <c r="B406" t="s">
        <v>61</v>
      </c>
      <c r="C406" s="1" t="s">
        <v>63</v>
      </c>
      <c r="D406" s="2">
        <v>45123</v>
      </c>
      <c r="E406" s="8" t="s">
        <v>23</v>
      </c>
      <c r="F406" s="8" t="s">
        <v>54</v>
      </c>
      <c r="G406" s="8" t="s">
        <v>28</v>
      </c>
      <c r="H406" t="s">
        <v>10</v>
      </c>
      <c r="I406" s="4">
        <v>1700</v>
      </c>
      <c r="J406" s="8">
        <v>2</v>
      </c>
      <c r="K406" s="4">
        <f t="shared" si="8"/>
        <v>3400</v>
      </c>
      <c r="L406" s="4">
        <f t="shared" si="9"/>
        <v>1700</v>
      </c>
      <c r="M406" s="3">
        <v>0.5</v>
      </c>
    </row>
    <row r="407" spans="2:13" x14ac:dyDescent="0.3">
      <c r="B407" t="s">
        <v>65</v>
      </c>
      <c r="C407" s="1" t="s">
        <v>63</v>
      </c>
      <c r="D407" s="2">
        <v>45130</v>
      </c>
      <c r="E407" s="8" t="s">
        <v>23</v>
      </c>
      <c r="F407" s="8" t="s">
        <v>54</v>
      </c>
      <c r="G407" s="8" t="s">
        <v>28</v>
      </c>
      <c r="H407" t="s">
        <v>16</v>
      </c>
      <c r="I407" s="4">
        <v>3400</v>
      </c>
      <c r="J407" s="8">
        <v>12</v>
      </c>
      <c r="K407" s="4">
        <f t="shared" si="8"/>
        <v>40800</v>
      </c>
      <c r="L407" s="4">
        <f t="shared" si="9"/>
        <v>14280</v>
      </c>
      <c r="M407" s="3">
        <v>0.35</v>
      </c>
    </row>
    <row r="408" spans="2:13" x14ac:dyDescent="0.3">
      <c r="B408" t="s">
        <v>65</v>
      </c>
      <c r="C408" s="1" t="s">
        <v>63</v>
      </c>
      <c r="D408" s="2">
        <v>45137</v>
      </c>
      <c r="E408" s="8" t="s">
        <v>23</v>
      </c>
      <c r="F408" s="8" t="s">
        <v>54</v>
      </c>
      <c r="G408" s="8" t="s">
        <v>28</v>
      </c>
      <c r="H408" t="s">
        <v>13</v>
      </c>
      <c r="I408" s="4">
        <v>3200</v>
      </c>
      <c r="J408" s="8">
        <v>3</v>
      </c>
      <c r="K408" s="4">
        <f t="shared" si="8"/>
        <v>9600</v>
      </c>
      <c r="L408" s="4">
        <f t="shared" si="9"/>
        <v>1920</v>
      </c>
      <c r="M408" s="3">
        <v>0.2</v>
      </c>
    </row>
    <row r="409" spans="2:13" x14ac:dyDescent="0.3">
      <c r="B409" t="s">
        <v>61</v>
      </c>
      <c r="C409" s="1" t="s">
        <v>63</v>
      </c>
      <c r="D409" s="2">
        <v>45139</v>
      </c>
      <c r="E409" s="8" t="s">
        <v>23</v>
      </c>
      <c r="F409" s="8" t="s">
        <v>54</v>
      </c>
      <c r="G409" s="8" t="s">
        <v>28</v>
      </c>
      <c r="H409" t="s">
        <v>16</v>
      </c>
      <c r="I409" s="4">
        <v>3400</v>
      </c>
      <c r="J409" s="8">
        <v>1</v>
      </c>
      <c r="K409" s="4">
        <f t="shared" si="8"/>
        <v>3400</v>
      </c>
      <c r="L409" s="4">
        <f t="shared" si="9"/>
        <v>1190</v>
      </c>
      <c r="M409" s="3">
        <v>0.35</v>
      </c>
    </row>
    <row r="410" spans="2:13" x14ac:dyDescent="0.3">
      <c r="B410" t="s">
        <v>60</v>
      </c>
      <c r="C410" s="1" t="s">
        <v>63</v>
      </c>
      <c r="D410" s="2">
        <v>45144</v>
      </c>
      <c r="E410" s="8" t="s">
        <v>23</v>
      </c>
      <c r="F410" s="8" t="s">
        <v>54</v>
      </c>
      <c r="G410" s="8" t="s">
        <v>28</v>
      </c>
      <c r="H410" t="s">
        <v>10</v>
      </c>
      <c r="I410" s="4">
        <v>1700</v>
      </c>
      <c r="J410" s="8">
        <v>4</v>
      </c>
      <c r="K410" s="4">
        <f t="shared" si="8"/>
        <v>6800</v>
      </c>
      <c r="L410" s="4">
        <f t="shared" si="9"/>
        <v>3400</v>
      </c>
      <c r="M410" s="3">
        <v>0.5</v>
      </c>
    </row>
    <row r="411" spans="2:13" x14ac:dyDescent="0.3">
      <c r="B411" t="s">
        <v>65</v>
      </c>
      <c r="C411" s="1" t="s">
        <v>63</v>
      </c>
      <c r="D411" s="2">
        <v>45146</v>
      </c>
      <c r="E411" s="8" t="s">
        <v>23</v>
      </c>
      <c r="F411" s="8" t="s">
        <v>54</v>
      </c>
      <c r="G411" s="8" t="s">
        <v>28</v>
      </c>
      <c r="H411" t="s">
        <v>18</v>
      </c>
      <c r="I411" s="4">
        <v>4600</v>
      </c>
      <c r="J411" s="8">
        <v>6</v>
      </c>
      <c r="K411" s="4">
        <f t="shared" si="8"/>
        <v>27600</v>
      </c>
      <c r="L411" s="4">
        <f t="shared" si="9"/>
        <v>6900</v>
      </c>
      <c r="M411" s="3">
        <v>0.25</v>
      </c>
    </row>
    <row r="412" spans="2:13" x14ac:dyDescent="0.3">
      <c r="B412" t="s">
        <v>60</v>
      </c>
      <c r="C412" s="1" t="s">
        <v>63</v>
      </c>
      <c r="D412" s="2">
        <v>45151</v>
      </c>
      <c r="E412" s="8" t="s">
        <v>23</v>
      </c>
      <c r="F412" s="8" t="s">
        <v>54</v>
      </c>
      <c r="G412" s="8" t="s">
        <v>28</v>
      </c>
      <c r="H412" t="s">
        <v>10</v>
      </c>
      <c r="I412" s="4">
        <v>1700</v>
      </c>
      <c r="J412" s="8">
        <v>7</v>
      </c>
      <c r="K412" s="4">
        <f t="shared" si="8"/>
        <v>11900</v>
      </c>
      <c r="L412" s="4">
        <f t="shared" si="9"/>
        <v>5950</v>
      </c>
      <c r="M412" s="3">
        <v>0.5</v>
      </c>
    </row>
    <row r="413" spans="2:13" x14ac:dyDescent="0.3">
      <c r="B413" t="s">
        <v>60</v>
      </c>
      <c r="C413" s="1" t="s">
        <v>63</v>
      </c>
      <c r="D413" s="2">
        <v>45153</v>
      </c>
      <c r="E413" s="8" t="s">
        <v>23</v>
      </c>
      <c r="F413" s="8" t="s">
        <v>54</v>
      </c>
      <c r="G413" s="8" t="s">
        <v>28</v>
      </c>
      <c r="H413" t="s">
        <v>14</v>
      </c>
      <c r="I413" s="4">
        <v>4500</v>
      </c>
      <c r="J413" s="8">
        <v>5</v>
      </c>
      <c r="K413" s="4">
        <f t="shared" si="8"/>
        <v>22500</v>
      </c>
      <c r="L413" s="4">
        <f t="shared" si="9"/>
        <v>5625</v>
      </c>
      <c r="M413" s="3">
        <v>0.25</v>
      </c>
    </row>
    <row r="414" spans="2:13" x14ac:dyDescent="0.3">
      <c r="B414" t="s">
        <v>60</v>
      </c>
      <c r="C414" s="1" t="s">
        <v>64</v>
      </c>
      <c r="D414" s="2">
        <v>45158</v>
      </c>
      <c r="E414" s="8" t="s">
        <v>23</v>
      </c>
      <c r="F414" s="8" t="s">
        <v>54</v>
      </c>
      <c r="G414" s="8" t="s">
        <v>28</v>
      </c>
      <c r="H414" t="s">
        <v>8</v>
      </c>
      <c r="I414" s="4">
        <v>1200</v>
      </c>
      <c r="J414" s="8">
        <v>5</v>
      </c>
      <c r="K414" s="4">
        <f t="shared" si="8"/>
        <v>6000</v>
      </c>
      <c r="L414" s="4">
        <f t="shared" si="9"/>
        <v>1800</v>
      </c>
      <c r="M414" s="3">
        <v>0.3</v>
      </c>
    </row>
    <row r="415" spans="2:13" x14ac:dyDescent="0.3">
      <c r="B415" t="s">
        <v>65</v>
      </c>
      <c r="C415" s="1" t="s">
        <v>64</v>
      </c>
      <c r="D415" s="2">
        <v>45160</v>
      </c>
      <c r="E415" s="8" t="s">
        <v>23</v>
      </c>
      <c r="F415" s="8" t="s">
        <v>54</v>
      </c>
      <c r="G415" s="8" t="s">
        <v>28</v>
      </c>
      <c r="H415" t="s">
        <v>20</v>
      </c>
      <c r="I415" s="4">
        <v>8902</v>
      </c>
      <c r="J415" s="8">
        <v>19</v>
      </c>
      <c r="K415" s="4">
        <f t="shared" si="8"/>
        <v>169138</v>
      </c>
      <c r="L415" s="4">
        <f t="shared" si="9"/>
        <v>59198.299999999996</v>
      </c>
      <c r="M415" s="3">
        <v>0.35</v>
      </c>
    </row>
    <row r="416" spans="2:13" x14ac:dyDescent="0.3">
      <c r="B416" t="s">
        <v>60</v>
      </c>
      <c r="C416" s="1" t="s">
        <v>64</v>
      </c>
      <c r="D416" s="2">
        <v>45165</v>
      </c>
      <c r="E416" s="8" t="s">
        <v>23</v>
      </c>
      <c r="F416" s="8" t="s">
        <v>54</v>
      </c>
      <c r="G416" s="8" t="s">
        <v>28</v>
      </c>
      <c r="H416" t="s">
        <v>11</v>
      </c>
      <c r="I416" s="4">
        <v>300</v>
      </c>
      <c r="J416" s="8">
        <v>1</v>
      </c>
      <c r="K416" s="4">
        <f t="shared" si="8"/>
        <v>300</v>
      </c>
      <c r="L416" s="4">
        <f t="shared" si="9"/>
        <v>45</v>
      </c>
      <c r="M416" s="3">
        <v>0.15</v>
      </c>
    </row>
    <row r="417" spans="2:13" x14ac:dyDescent="0.3">
      <c r="B417" t="s">
        <v>60</v>
      </c>
      <c r="C417" s="1" t="s">
        <v>63</v>
      </c>
      <c r="D417" s="2">
        <v>45165</v>
      </c>
      <c r="E417" s="8" t="s">
        <v>23</v>
      </c>
      <c r="F417" s="8" t="s">
        <v>54</v>
      </c>
      <c r="G417" s="8" t="s">
        <v>28</v>
      </c>
      <c r="H417" t="s">
        <v>11</v>
      </c>
      <c r="I417" s="4">
        <v>300</v>
      </c>
      <c r="J417" s="8">
        <v>7</v>
      </c>
      <c r="K417" s="4">
        <f t="shared" si="8"/>
        <v>2100</v>
      </c>
      <c r="L417" s="4">
        <f t="shared" si="9"/>
        <v>315</v>
      </c>
      <c r="M417" s="3">
        <v>0.15</v>
      </c>
    </row>
    <row r="418" spans="2:13" x14ac:dyDescent="0.3">
      <c r="B418" t="s">
        <v>60</v>
      </c>
      <c r="C418" s="1" t="s">
        <v>63</v>
      </c>
      <c r="D418" s="2">
        <v>45165</v>
      </c>
      <c r="E418" s="8" t="s">
        <v>23</v>
      </c>
      <c r="F418" s="8" t="s">
        <v>54</v>
      </c>
      <c r="G418" s="8" t="s">
        <v>28</v>
      </c>
      <c r="H418" t="s">
        <v>8</v>
      </c>
      <c r="I418" s="4">
        <v>1200</v>
      </c>
      <c r="J418" s="8">
        <v>18</v>
      </c>
      <c r="K418" s="4">
        <f t="shared" si="8"/>
        <v>21600</v>
      </c>
      <c r="L418" s="4">
        <f t="shared" si="9"/>
        <v>6480</v>
      </c>
      <c r="M418" s="3">
        <v>0.3</v>
      </c>
    </row>
    <row r="419" spans="2:13" x14ac:dyDescent="0.3">
      <c r="B419" t="s">
        <v>65</v>
      </c>
      <c r="C419" s="1" t="s">
        <v>64</v>
      </c>
      <c r="D419" s="2">
        <v>45165</v>
      </c>
      <c r="E419" s="8" t="s">
        <v>23</v>
      </c>
      <c r="F419" s="8" t="s">
        <v>54</v>
      </c>
      <c r="G419" s="8" t="s">
        <v>28</v>
      </c>
      <c r="H419" t="s">
        <v>13</v>
      </c>
      <c r="I419" s="4">
        <v>3200</v>
      </c>
      <c r="J419" s="8">
        <v>7</v>
      </c>
      <c r="K419" s="4">
        <f t="shared" ref="K419:K450" si="10">I419*J419</f>
        <v>22400</v>
      </c>
      <c r="L419" s="4">
        <f t="shared" ref="L419:L450" si="11">K419*M419</f>
        <v>4480</v>
      </c>
      <c r="M419" s="3">
        <v>0.2</v>
      </c>
    </row>
    <row r="420" spans="2:13" x14ac:dyDescent="0.3">
      <c r="B420" t="s">
        <v>65</v>
      </c>
      <c r="C420" s="1" t="s">
        <v>63</v>
      </c>
      <c r="D420" s="2">
        <v>45165</v>
      </c>
      <c r="E420" s="8" t="s">
        <v>23</v>
      </c>
      <c r="F420" s="8" t="s">
        <v>54</v>
      </c>
      <c r="G420" s="8" t="s">
        <v>28</v>
      </c>
      <c r="H420" t="s">
        <v>16</v>
      </c>
      <c r="I420" s="4">
        <v>3400</v>
      </c>
      <c r="J420" s="8">
        <v>7</v>
      </c>
      <c r="K420" s="4">
        <f t="shared" si="10"/>
        <v>23800</v>
      </c>
      <c r="L420" s="4">
        <f t="shared" si="11"/>
        <v>8330</v>
      </c>
      <c r="M420" s="3">
        <v>0.35</v>
      </c>
    </row>
    <row r="421" spans="2:13" x14ac:dyDescent="0.3">
      <c r="B421" t="s">
        <v>66</v>
      </c>
      <c r="C421" s="1" t="s">
        <v>63</v>
      </c>
      <c r="D421" s="2">
        <v>45165</v>
      </c>
      <c r="E421" s="8" t="s">
        <v>23</v>
      </c>
      <c r="F421" s="8" t="s">
        <v>54</v>
      </c>
      <c r="G421" s="8" t="s">
        <v>28</v>
      </c>
      <c r="H421" t="s">
        <v>17</v>
      </c>
      <c r="I421" s="4">
        <v>5130</v>
      </c>
      <c r="J421" s="8">
        <v>15</v>
      </c>
      <c r="K421" s="4">
        <f t="shared" si="10"/>
        <v>76950</v>
      </c>
      <c r="L421" s="4">
        <f t="shared" si="11"/>
        <v>30780</v>
      </c>
      <c r="M421" s="3">
        <v>0.4</v>
      </c>
    </row>
    <row r="422" spans="2:13" x14ac:dyDescent="0.3">
      <c r="B422" t="s">
        <v>61</v>
      </c>
      <c r="C422" s="1" t="s">
        <v>63</v>
      </c>
      <c r="D422" s="2">
        <v>44899</v>
      </c>
      <c r="E422" s="8" t="s">
        <v>23</v>
      </c>
      <c r="F422" s="8" t="s">
        <v>68</v>
      </c>
      <c r="G422" s="8" t="s">
        <v>22</v>
      </c>
      <c r="H422" t="s">
        <v>9</v>
      </c>
      <c r="I422" s="4">
        <v>1500</v>
      </c>
      <c r="J422" s="8">
        <v>3</v>
      </c>
      <c r="K422" s="4">
        <f t="shared" si="10"/>
        <v>4500</v>
      </c>
      <c r="L422" s="4">
        <f t="shared" si="11"/>
        <v>1800</v>
      </c>
      <c r="M422" s="3">
        <v>0.4</v>
      </c>
    </row>
    <row r="423" spans="2:13" x14ac:dyDescent="0.3">
      <c r="B423" t="s">
        <v>65</v>
      </c>
      <c r="C423" s="1" t="s">
        <v>63</v>
      </c>
      <c r="D423" s="2">
        <v>44906</v>
      </c>
      <c r="E423" s="8" t="s">
        <v>23</v>
      </c>
      <c r="F423" s="8" t="s">
        <v>68</v>
      </c>
      <c r="G423" s="8" t="s">
        <v>22</v>
      </c>
      <c r="H423" t="s">
        <v>17</v>
      </c>
      <c r="I423" s="4">
        <v>5130</v>
      </c>
      <c r="J423" s="8">
        <v>12</v>
      </c>
      <c r="K423" s="4">
        <f t="shared" si="10"/>
        <v>61560</v>
      </c>
      <c r="L423" s="4">
        <f t="shared" si="11"/>
        <v>24624</v>
      </c>
      <c r="M423" s="3">
        <v>0.4</v>
      </c>
    </row>
    <row r="424" spans="2:13" x14ac:dyDescent="0.3">
      <c r="B424" t="s">
        <v>66</v>
      </c>
      <c r="C424" s="1" t="s">
        <v>64</v>
      </c>
      <c r="D424" s="2">
        <v>44913</v>
      </c>
      <c r="E424" s="8" t="s">
        <v>23</v>
      </c>
      <c r="F424" s="8" t="s">
        <v>68</v>
      </c>
      <c r="G424" s="8" t="s">
        <v>22</v>
      </c>
      <c r="H424" t="s">
        <v>14</v>
      </c>
      <c r="I424" s="4">
        <v>4500</v>
      </c>
      <c r="J424" s="8">
        <v>1</v>
      </c>
      <c r="K424" s="4">
        <f t="shared" si="10"/>
        <v>4500</v>
      </c>
      <c r="L424" s="4">
        <f t="shared" si="11"/>
        <v>1125</v>
      </c>
      <c r="M424" s="3">
        <v>0.25</v>
      </c>
    </row>
    <row r="425" spans="2:13" x14ac:dyDescent="0.3">
      <c r="B425" t="s">
        <v>60</v>
      </c>
      <c r="C425" s="1" t="s">
        <v>63</v>
      </c>
      <c r="D425" s="2">
        <v>44920</v>
      </c>
      <c r="E425" s="8" t="s">
        <v>23</v>
      </c>
      <c r="F425" s="8" t="s">
        <v>68</v>
      </c>
      <c r="G425" s="8" t="s">
        <v>22</v>
      </c>
      <c r="H425" t="s">
        <v>13</v>
      </c>
      <c r="I425" s="4">
        <v>3200</v>
      </c>
      <c r="J425" s="8">
        <v>6</v>
      </c>
      <c r="K425" s="4">
        <f t="shared" si="10"/>
        <v>19200</v>
      </c>
      <c r="L425" s="4">
        <f t="shared" si="11"/>
        <v>3840</v>
      </c>
      <c r="M425" s="3">
        <v>0.2</v>
      </c>
    </row>
    <row r="426" spans="2:13" x14ac:dyDescent="0.3">
      <c r="B426" t="s">
        <v>60</v>
      </c>
      <c r="C426" s="1" t="s">
        <v>64</v>
      </c>
      <c r="D426" s="2">
        <v>44927</v>
      </c>
      <c r="E426" s="8" t="s">
        <v>23</v>
      </c>
      <c r="F426" s="8" t="s">
        <v>68</v>
      </c>
      <c r="G426" s="8" t="s">
        <v>22</v>
      </c>
      <c r="H426" t="s">
        <v>13</v>
      </c>
      <c r="I426" s="4">
        <v>3200</v>
      </c>
      <c r="J426" s="8">
        <v>10</v>
      </c>
      <c r="K426" s="4">
        <f t="shared" si="10"/>
        <v>32000</v>
      </c>
      <c r="L426" s="4">
        <f t="shared" si="11"/>
        <v>6400</v>
      </c>
      <c r="M426" s="3">
        <v>0.2</v>
      </c>
    </row>
    <row r="427" spans="2:13" x14ac:dyDescent="0.3">
      <c r="B427" t="s">
        <v>65</v>
      </c>
      <c r="C427" s="1" t="s">
        <v>63</v>
      </c>
      <c r="D427" s="2">
        <v>44934</v>
      </c>
      <c r="E427" s="8" t="s">
        <v>23</v>
      </c>
      <c r="F427" s="8" t="s">
        <v>68</v>
      </c>
      <c r="G427" s="8" t="s">
        <v>22</v>
      </c>
      <c r="H427" t="s">
        <v>9</v>
      </c>
      <c r="I427" s="4">
        <v>1500</v>
      </c>
      <c r="J427" s="8">
        <v>6</v>
      </c>
      <c r="K427" s="4">
        <f t="shared" si="10"/>
        <v>9000</v>
      </c>
      <c r="L427" s="4">
        <f t="shared" si="11"/>
        <v>3600</v>
      </c>
      <c r="M427" s="3">
        <v>0.4</v>
      </c>
    </row>
    <row r="428" spans="2:13" x14ac:dyDescent="0.3">
      <c r="B428" t="s">
        <v>66</v>
      </c>
      <c r="C428" s="1" t="s">
        <v>63</v>
      </c>
      <c r="D428" s="2">
        <v>44941</v>
      </c>
      <c r="E428" s="8" t="s">
        <v>23</v>
      </c>
      <c r="F428" s="8" t="s">
        <v>68</v>
      </c>
      <c r="G428" s="8" t="s">
        <v>22</v>
      </c>
      <c r="H428" t="s">
        <v>20</v>
      </c>
      <c r="I428" s="4">
        <v>8902</v>
      </c>
      <c r="J428" s="8">
        <v>6</v>
      </c>
      <c r="K428" s="4">
        <f t="shared" si="10"/>
        <v>53412</v>
      </c>
      <c r="L428" s="4">
        <f t="shared" si="11"/>
        <v>18694.199999999997</v>
      </c>
      <c r="M428" s="3">
        <v>0.35</v>
      </c>
    </row>
    <row r="429" spans="2:13" x14ac:dyDescent="0.3">
      <c r="B429" t="s">
        <v>65</v>
      </c>
      <c r="C429" s="1" t="s">
        <v>64</v>
      </c>
      <c r="D429" s="2">
        <v>44948</v>
      </c>
      <c r="E429" s="8" t="s">
        <v>23</v>
      </c>
      <c r="F429" s="8" t="s">
        <v>68</v>
      </c>
      <c r="G429" s="8" t="s">
        <v>22</v>
      </c>
      <c r="H429" t="s">
        <v>10</v>
      </c>
      <c r="I429" s="4">
        <v>1700</v>
      </c>
      <c r="J429" s="8">
        <v>2</v>
      </c>
      <c r="K429" s="4">
        <f t="shared" si="10"/>
        <v>3400</v>
      </c>
      <c r="L429" s="4">
        <f t="shared" si="11"/>
        <v>1700</v>
      </c>
      <c r="M429" s="3">
        <v>0.5</v>
      </c>
    </row>
    <row r="430" spans="2:13" x14ac:dyDescent="0.3">
      <c r="B430" t="s">
        <v>65</v>
      </c>
      <c r="C430" s="1" t="s">
        <v>63</v>
      </c>
      <c r="D430" s="2">
        <v>44955</v>
      </c>
      <c r="E430" s="8" t="s">
        <v>23</v>
      </c>
      <c r="F430" s="8" t="s">
        <v>68</v>
      </c>
      <c r="G430" s="8" t="s">
        <v>22</v>
      </c>
      <c r="H430" t="s">
        <v>16</v>
      </c>
      <c r="I430" s="4">
        <v>3400</v>
      </c>
      <c r="J430" s="8">
        <v>1</v>
      </c>
      <c r="K430" s="4">
        <f t="shared" si="10"/>
        <v>3400</v>
      </c>
      <c r="L430" s="4">
        <f t="shared" si="11"/>
        <v>1190</v>
      </c>
      <c r="M430" s="3">
        <v>0.35</v>
      </c>
    </row>
    <row r="431" spans="2:13" x14ac:dyDescent="0.3">
      <c r="B431" t="s">
        <v>66</v>
      </c>
      <c r="C431" s="1" t="s">
        <v>63</v>
      </c>
      <c r="D431" s="2">
        <v>44962</v>
      </c>
      <c r="E431" s="8" t="s">
        <v>23</v>
      </c>
      <c r="F431" s="8" t="s">
        <v>68</v>
      </c>
      <c r="G431" s="8" t="s">
        <v>22</v>
      </c>
      <c r="H431" t="s">
        <v>8</v>
      </c>
      <c r="I431" s="4">
        <v>1200</v>
      </c>
      <c r="J431" s="8">
        <v>2</v>
      </c>
      <c r="K431" s="4">
        <f t="shared" si="10"/>
        <v>2400</v>
      </c>
      <c r="L431" s="4">
        <f t="shared" si="11"/>
        <v>720</v>
      </c>
      <c r="M431" s="3">
        <v>0.3</v>
      </c>
    </row>
    <row r="432" spans="2:13" x14ac:dyDescent="0.3">
      <c r="B432" t="s">
        <v>62</v>
      </c>
      <c r="C432" s="1" t="s">
        <v>63</v>
      </c>
      <c r="D432" s="2">
        <v>44969</v>
      </c>
      <c r="E432" s="8" t="s">
        <v>23</v>
      </c>
      <c r="F432" s="8" t="s">
        <v>68</v>
      </c>
      <c r="G432" s="8" t="s">
        <v>22</v>
      </c>
      <c r="H432" t="s">
        <v>14</v>
      </c>
      <c r="I432" s="4">
        <v>4500</v>
      </c>
      <c r="J432" s="8">
        <v>5</v>
      </c>
      <c r="K432" s="4">
        <f t="shared" si="10"/>
        <v>22500</v>
      </c>
      <c r="L432" s="4">
        <f t="shared" si="11"/>
        <v>5625</v>
      </c>
      <c r="M432" s="3">
        <v>0.25</v>
      </c>
    </row>
    <row r="433" spans="2:13" x14ac:dyDescent="0.3">
      <c r="B433" t="s">
        <v>65</v>
      </c>
      <c r="C433" s="1" t="s">
        <v>63</v>
      </c>
      <c r="D433" s="2">
        <v>44976</v>
      </c>
      <c r="E433" s="8" t="s">
        <v>23</v>
      </c>
      <c r="F433" s="8" t="s">
        <v>68</v>
      </c>
      <c r="G433" s="8" t="s">
        <v>22</v>
      </c>
      <c r="H433" t="s">
        <v>8</v>
      </c>
      <c r="I433" s="4">
        <v>1200</v>
      </c>
      <c r="J433" s="8">
        <v>6</v>
      </c>
      <c r="K433" s="4">
        <f t="shared" si="10"/>
        <v>7200</v>
      </c>
      <c r="L433" s="4">
        <f t="shared" si="11"/>
        <v>2160</v>
      </c>
      <c r="M433" s="3">
        <v>0.3</v>
      </c>
    </row>
    <row r="434" spans="2:13" x14ac:dyDescent="0.3">
      <c r="B434" t="s">
        <v>61</v>
      </c>
      <c r="C434" s="1" t="s">
        <v>64</v>
      </c>
      <c r="D434" s="2">
        <v>44983</v>
      </c>
      <c r="E434" s="8" t="s">
        <v>23</v>
      </c>
      <c r="F434" s="8" t="s">
        <v>68</v>
      </c>
      <c r="G434" s="8" t="s">
        <v>22</v>
      </c>
      <c r="H434" t="s">
        <v>17</v>
      </c>
      <c r="I434" s="4">
        <v>5130</v>
      </c>
      <c r="J434" s="8">
        <v>2</v>
      </c>
      <c r="K434" s="4">
        <f t="shared" si="10"/>
        <v>10260</v>
      </c>
      <c r="L434" s="4">
        <f t="shared" si="11"/>
        <v>4104</v>
      </c>
      <c r="M434" s="3">
        <v>0.4</v>
      </c>
    </row>
    <row r="435" spans="2:13" x14ac:dyDescent="0.3">
      <c r="B435" t="s">
        <v>62</v>
      </c>
      <c r="C435" s="1" t="s">
        <v>63</v>
      </c>
      <c r="D435" s="2">
        <v>44990</v>
      </c>
      <c r="E435" s="8" t="s">
        <v>23</v>
      </c>
      <c r="F435" s="8" t="s">
        <v>68</v>
      </c>
      <c r="G435" s="8" t="s">
        <v>22</v>
      </c>
      <c r="H435" t="s">
        <v>8</v>
      </c>
      <c r="I435" s="4">
        <v>1200</v>
      </c>
      <c r="J435" s="8">
        <v>9</v>
      </c>
      <c r="K435" s="4">
        <f t="shared" si="10"/>
        <v>10800</v>
      </c>
      <c r="L435" s="4">
        <f t="shared" si="11"/>
        <v>3240</v>
      </c>
      <c r="M435" s="3">
        <v>0.3</v>
      </c>
    </row>
    <row r="436" spans="2:13" x14ac:dyDescent="0.3">
      <c r="B436" t="s">
        <v>65</v>
      </c>
      <c r="C436" s="1" t="s">
        <v>64</v>
      </c>
      <c r="D436" s="2">
        <v>44997</v>
      </c>
      <c r="E436" s="8" t="s">
        <v>23</v>
      </c>
      <c r="F436" s="8" t="s">
        <v>68</v>
      </c>
      <c r="G436" s="8" t="s">
        <v>22</v>
      </c>
      <c r="H436" t="s">
        <v>11</v>
      </c>
      <c r="I436" s="4">
        <v>300</v>
      </c>
      <c r="J436" s="8">
        <v>2</v>
      </c>
      <c r="K436" s="4">
        <f t="shared" si="10"/>
        <v>600</v>
      </c>
      <c r="L436" s="4">
        <f t="shared" si="11"/>
        <v>90</v>
      </c>
      <c r="M436" s="3">
        <v>0.15</v>
      </c>
    </row>
    <row r="437" spans="2:13" x14ac:dyDescent="0.3">
      <c r="B437" t="s">
        <v>65</v>
      </c>
      <c r="C437" s="1" t="s">
        <v>63</v>
      </c>
      <c r="D437" s="2">
        <v>45004</v>
      </c>
      <c r="E437" s="8" t="s">
        <v>23</v>
      </c>
      <c r="F437" s="8" t="s">
        <v>68</v>
      </c>
      <c r="G437" s="8" t="s">
        <v>22</v>
      </c>
      <c r="H437" t="s">
        <v>18</v>
      </c>
      <c r="I437" s="4">
        <v>4600</v>
      </c>
      <c r="J437" s="8">
        <v>8</v>
      </c>
      <c r="K437" s="4">
        <f t="shared" si="10"/>
        <v>36800</v>
      </c>
      <c r="L437" s="4">
        <f t="shared" si="11"/>
        <v>9200</v>
      </c>
      <c r="M437" s="3">
        <v>0.25</v>
      </c>
    </row>
    <row r="438" spans="2:13" x14ac:dyDescent="0.3">
      <c r="B438" t="s">
        <v>60</v>
      </c>
      <c r="C438" s="1" t="s">
        <v>63</v>
      </c>
      <c r="D438" s="2">
        <v>45011</v>
      </c>
      <c r="E438" s="8" t="s">
        <v>23</v>
      </c>
      <c r="F438" s="8" t="s">
        <v>68</v>
      </c>
      <c r="G438" s="8" t="s">
        <v>22</v>
      </c>
      <c r="H438" t="s">
        <v>16</v>
      </c>
      <c r="I438" s="4">
        <v>3400</v>
      </c>
      <c r="J438" s="8">
        <v>8</v>
      </c>
      <c r="K438" s="4">
        <f t="shared" si="10"/>
        <v>27200</v>
      </c>
      <c r="L438" s="4">
        <f t="shared" si="11"/>
        <v>9520</v>
      </c>
      <c r="M438" s="3">
        <v>0.35</v>
      </c>
    </row>
    <row r="439" spans="2:13" x14ac:dyDescent="0.3">
      <c r="B439" t="s">
        <v>65</v>
      </c>
      <c r="C439" s="1" t="s">
        <v>64</v>
      </c>
      <c r="D439" s="2">
        <v>45018</v>
      </c>
      <c r="E439" s="8" t="s">
        <v>23</v>
      </c>
      <c r="F439" s="8" t="s">
        <v>68</v>
      </c>
      <c r="G439" s="8" t="s">
        <v>22</v>
      </c>
      <c r="H439" t="s">
        <v>11</v>
      </c>
      <c r="I439" s="4">
        <v>300</v>
      </c>
      <c r="J439" s="8">
        <v>6</v>
      </c>
      <c r="K439" s="4">
        <f t="shared" si="10"/>
        <v>1800</v>
      </c>
      <c r="L439" s="4">
        <f t="shared" si="11"/>
        <v>270</v>
      </c>
      <c r="M439" s="3">
        <v>0.15</v>
      </c>
    </row>
    <row r="440" spans="2:13" x14ac:dyDescent="0.3">
      <c r="B440" t="s">
        <v>60</v>
      </c>
      <c r="C440" s="1" t="s">
        <v>64</v>
      </c>
      <c r="D440" s="2">
        <v>45025</v>
      </c>
      <c r="E440" s="8" t="s">
        <v>23</v>
      </c>
      <c r="F440" s="8" t="s">
        <v>68</v>
      </c>
      <c r="G440" s="8" t="s">
        <v>22</v>
      </c>
      <c r="H440" t="s">
        <v>16</v>
      </c>
      <c r="I440" s="4">
        <v>3400</v>
      </c>
      <c r="J440" s="8">
        <v>8</v>
      </c>
      <c r="K440" s="4">
        <f t="shared" si="10"/>
        <v>27200</v>
      </c>
      <c r="L440" s="4">
        <f t="shared" si="11"/>
        <v>9520</v>
      </c>
      <c r="M440" s="3">
        <v>0.35</v>
      </c>
    </row>
    <row r="441" spans="2:13" x14ac:dyDescent="0.3">
      <c r="B441" t="s">
        <v>65</v>
      </c>
      <c r="C441" s="1" t="s">
        <v>63</v>
      </c>
      <c r="D441" s="2">
        <v>45032</v>
      </c>
      <c r="E441" s="8" t="s">
        <v>23</v>
      </c>
      <c r="F441" s="8" t="s">
        <v>68</v>
      </c>
      <c r="G441" s="8" t="s">
        <v>22</v>
      </c>
      <c r="H441" t="s">
        <v>8</v>
      </c>
      <c r="I441" s="4">
        <v>1200</v>
      </c>
      <c r="J441" s="8">
        <v>6</v>
      </c>
      <c r="K441" s="4">
        <f t="shared" si="10"/>
        <v>7200</v>
      </c>
      <c r="L441" s="4">
        <f t="shared" si="11"/>
        <v>2160</v>
      </c>
      <c r="M441" s="3">
        <v>0.3</v>
      </c>
    </row>
    <row r="442" spans="2:13" x14ac:dyDescent="0.3">
      <c r="B442" t="s">
        <v>60</v>
      </c>
      <c r="C442" s="1" t="s">
        <v>63</v>
      </c>
      <c r="D442" s="2">
        <v>45039</v>
      </c>
      <c r="E442" s="8" t="s">
        <v>23</v>
      </c>
      <c r="F442" s="8" t="s">
        <v>68</v>
      </c>
      <c r="G442" s="8" t="s">
        <v>22</v>
      </c>
      <c r="H442" t="s">
        <v>19</v>
      </c>
      <c r="I442" s="4">
        <v>5340</v>
      </c>
      <c r="J442" s="8">
        <v>1</v>
      </c>
      <c r="K442" s="4">
        <f t="shared" si="10"/>
        <v>5340</v>
      </c>
      <c r="L442" s="4">
        <f t="shared" si="11"/>
        <v>1602</v>
      </c>
      <c r="M442" s="3">
        <v>0.3</v>
      </c>
    </row>
    <row r="443" spans="2:13" x14ac:dyDescent="0.3">
      <c r="B443" t="s">
        <v>60</v>
      </c>
      <c r="C443" s="1" t="s">
        <v>63</v>
      </c>
      <c r="D443" s="2">
        <v>45046</v>
      </c>
      <c r="E443" s="8" t="s">
        <v>23</v>
      </c>
      <c r="F443" s="8" t="s">
        <v>68</v>
      </c>
      <c r="G443" s="8" t="s">
        <v>22</v>
      </c>
      <c r="H443" t="s">
        <v>20</v>
      </c>
      <c r="I443" s="4">
        <v>8902</v>
      </c>
      <c r="J443" s="8">
        <v>7</v>
      </c>
      <c r="K443" s="4">
        <f t="shared" si="10"/>
        <v>62314</v>
      </c>
      <c r="L443" s="4">
        <f t="shared" si="11"/>
        <v>21809.899999999998</v>
      </c>
      <c r="M443" s="3">
        <v>0.35</v>
      </c>
    </row>
    <row r="444" spans="2:13" x14ac:dyDescent="0.3">
      <c r="B444" t="s">
        <v>65</v>
      </c>
      <c r="C444" s="1" t="s">
        <v>63</v>
      </c>
      <c r="D444" s="2">
        <v>45053</v>
      </c>
      <c r="E444" s="8" t="s">
        <v>23</v>
      </c>
      <c r="F444" s="8" t="s">
        <v>68</v>
      </c>
      <c r="G444" s="8" t="s">
        <v>22</v>
      </c>
      <c r="H444" t="s">
        <v>19</v>
      </c>
      <c r="I444" s="4">
        <v>5340</v>
      </c>
      <c r="J444" s="8">
        <v>6</v>
      </c>
      <c r="K444" s="4">
        <f t="shared" si="10"/>
        <v>32040</v>
      </c>
      <c r="L444" s="4">
        <f t="shared" si="11"/>
        <v>9612</v>
      </c>
      <c r="M444" s="3">
        <v>0.3</v>
      </c>
    </row>
    <row r="445" spans="2:13" x14ac:dyDescent="0.3">
      <c r="B445" t="s">
        <v>60</v>
      </c>
      <c r="C445" s="1" t="s">
        <v>63</v>
      </c>
      <c r="D445" s="2">
        <v>45060</v>
      </c>
      <c r="E445" s="8" t="s">
        <v>23</v>
      </c>
      <c r="F445" s="8" t="s">
        <v>68</v>
      </c>
      <c r="G445" s="8" t="s">
        <v>22</v>
      </c>
      <c r="H445" t="s">
        <v>12</v>
      </c>
      <c r="I445" s="4">
        <v>500</v>
      </c>
      <c r="J445" s="8">
        <v>9</v>
      </c>
      <c r="K445" s="4">
        <f t="shared" si="10"/>
        <v>4500</v>
      </c>
      <c r="L445" s="4">
        <f t="shared" si="11"/>
        <v>1125</v>
      </c>
      <c r="M445" s="3">
        <v>0.25</v>
      </c>
    </row>
    <row r="446" spans="2:13" x14ac:dyDescent="0.3">
      <c r="B446" t="s">
        <v>65</v>
      </c>
      <c r="C446" s="1" t="s">
        <v>63</v>
      </c>
      <c r="D446" s="2">
        <v>45067</v>
      </c>
      <c r="E446" s="8" t="s">
        <v>23</v>
      </c>
      <c r="F446" s="8" t="s">
        <v>68</v>
      </c>
      <c r="G446" s="8" t="s">
        <v>22</v>
      </c>
      <c r="H446" t="s">
        <v>18</v>
      </c>
      <c r="I446" s="4">
        <v>4600</v>
      </c>
      <c r="J446" s="8">
        <v>3</v>
      </c>
      <c r="K446" s="4">
        <f t="shared" si="10"/>
        <v>13800</v>
      </c>
      <c r="L446" s="4">
        <f t="shared" si="11"/>
        <v>3450</v>
      </c>
      <c r="M446" s="3">
        <v>0.25</v>
      </c>
    </row>
    <row r="447" spans="2:13" x14ac:dyDescent="0.3">
      <c r="B447" t="s">
        <v>65</v>
      </c>
      <c r="C447" s="1" t="s">
        <v>64</v>
      </c>
      <c r="D447" s="2">
        <v>45074</v>
      </c>
      <c r="E447" s="8" t="s">
        <v>23</v>
      </c>
      <c r="F447" s="8" t="s">
        <v>68</v>
      </c>
      <c r="G447" s="8" t="s">
        <v>22</v>
      </c>
      <c r="H447" t="s">
        <v>18</v>
      </c>
      <c r="I447" s="4">
        <v>4600</v>
      </c>
      <c r="J447" s="8">
        <v>8</v>
      </c>
      <c r="K447" s="4">
        <f t="shared" si="10"/>
        <v>36800</v>
      </c>
      <c r="L447" s="4">
        <f t="shared" si="11"/>
        <v>9200</v>
      </c>
      <c r="M447" s="3">
        <v>0.25</v>
      </c>
    </row>
    <row r="448" spans="2:13" x14ac:dyDescent="0.3">
      <c r="B448" t="s">
        <v>65</v>
      </c>
      <c r="C448" s="1" t="s">
        <v>63</v>
      </c>
      <c r="D448" s="2">
        <v>45081</v>
      </c>
      <c r="E448" s="8" t="s">
        <v>23</v>
      </c>
      <c r="F448" s="8" t="s">
        <v>68</v>
      </c>
      <c r="G448" s="8" t="s">
        <v>22</v>
      </c>
      <c r="H448" t="s">
        <v>13</v>
      </c>
      <c r="I448" s="4">
        <v>3200</v>
      </c>
      <c r="J448" s="8">
        <v>16</v>
      </c>
      <c r="K448" s="4">
        <f t="shared" si="10"/>
        <v>51200</v>
      </c>
      <c r="L448" s="4">
        <f t="shared" si="11"/>
        <v>10240</v>
      </c>
      <c r="M448" s="3">
        <v>0.2</v>
      </c>
    </row>
    <row r="449" spans="2:13" x14ac:dyDescent="0.3">
      <c r="B449" t="s">
        <v>60</v>
      </c>
      <c r="C449" s="1" t="s">
        <v>63</v>
      </c>
      <c r="D449" s="2">
        <v>45088</v>
      </c>
      <c r="E449" s="8" t="s">
        <v>23</v>
      </c>
      <c r="F449" s="8" t="s">
        <v>68</v>
      </c>
      <c r="G449" s="8" t="s">
        <v>22</v>
      </c>
      <c r="H449" t="s">
        <v>20</v>
      </c>
      <c r="I449" s="4">
        <v>8902</v>
      </c>
      <c r="J449" s="8">
        <v>15</v>
      </c>
      <c r="K449" s="4">
        <f t="shared" si="10"/>
        <v>133530</v>
      </c>
      <c r="L449" s="4">
        <f t="shared" si="11"/>
        <v>46735.5</v>
      </c>
      <c r="M449" s="3">
        <v>0.35</v>
      </c>
    </row>
    <row r="450" spans="2:13" x14ac:dyDescent="0.3">
      <c r="B450" t="s">
        <v>65</v>
      </c>
      <c r="C450" s="1" t="s">
        <v>64</v>
      </c>
      <c r="D450" s="2">
        <v>45095</v>
      </c>
      <c r="E450" s="8" t="s">
        <v>23</v>
      </c>
      <c r="F450" s="8" t="s">
        <v>68</v>
      </c>
      <c r="G450" s="8" t="s">
        <v>22</v>
      </c>
      <c r="H450" t="s">
        <v>8</v>
      </c>
      <c r="I450" s="4">
        <v>1200</v>
      </c>
      <c r="J450" s="8">
        <v>5</v>
      </c>
      <c r="K450" s="4">
        <f t="shared" si="10"/>
        <v>6000</v>
      </c>
      <c r="L450" s="4">
        <f t="shared" si="11"/>
        <v>1800</v>
      </c>
      <c r="M450" s="3">
        <v>0.3</v>
      </c>
    </row>
    <row r="451" spans="2:13" x14ac:dyDescent="0.3">
      <c r="B451" t="s">
        <v>60</v>
      </c>
      <c r="C451" s="1" t="s">
        <v>63</v>
      </c>
      <c r="D451" s="2">
        <v>45102</v>
      </c>
      <c r="E451" s="8" t="s">
        <v>23</v>
      </c>
      <c r="F451" s="8" t="s">
        <v>68</v>
      </c>
      <c r="G451" s="8" t="s">
        <v>22</v>
      </c>
      <c r="H451" t="s">
        <v>19</v>
      </c>
      <c r="I451" s="4">
        <v>5340</v>
      </c>
      <c r="J451" s="8">
        <v>5</v>
      </c>
      <c r="K451" s="4">
        <f t="shared" ref="K451:K482" si="12">I451*J451</f>
        <v>26700</v>
      </c>
      <c r="L451" s="4">
        <f t="shared" ref="L451:L482" si="13">K451*M451</f>
        <v>8010</v>
      </c>
      <c r="M451" s="3">
        <v>0.3</v>
      </c>
    </row>
    <row r="452" spans="2:13" x14ac:dyDescent="0.3">
      <c r="B452" t="s">
        <v>65</v>
      </c>
      <c r="C452" s="1" t="s">
        <v>63</v>
      </c>
      <c r="D452" s="2">
        <v>45109</v>
      </c>
      <c r="E452" s="8" t="s">
        <v>23</v>
      </c>
      <c r="F452" s="8" t="s">
        <v>68</v>
      </c>
      <c r="G452" s="8" t="s">
        <v>22</v>
      </c>
      <c r="H452" t="s">
        <v>16</v>
      </c>
      <c r="I452" s="4">
        <v>3400</v>
      </c>
      <c r="J452" s="8">
        <v>5</v>
      </c>
      <c r="K452" s="4">
        <f t="shared" si="12"/>
        <v>17000</v>
      </c>
      <c r="L452" s="4">
        <f t="shared" si="13"/>
        <v>5950</v>
      </c>
      <c r="M452" s="3">
        <v>0.35</v>
      </c>
    </row>
    <row r="453" spans="2:13" x14ac:dyDescent="0.3">
      <c r="B453" t="s">
        <v>65</v>
      </c>
      <c r="C453" s="1" t="s">
        <v>63</v>
      </c>
      <c r="D453" s="2">
        <v>45116</v>
      </c>
      <c r="E453" s="8" t="s">
        <v>23</v>
      </c>
      <c r="F453" s="8" t="s">
        <v>68</v>
      </c>
      <c r="G453" s="8" t="s">
        <v>22</v>
      </c>
      <c r="H453" t="s">
        <v>11</v>
      </c>
      <c r="I453" s="4">
        <v>300</v>
      </c>
      <c r="J453" s="8">
        <v>2</v>
      </c>
      <c r="K453" s="4">
        <f t="shared" si="12"/>
        <v>600</v>
      </c>
      <c r="L453" s="4">
        <f t="shared" si="13"/>
        <v>90</v>
      </c>
      <c r="M453" s="3">
        <v>0.15</v>
      </c>
    </row>
    <row r="454" spans="2:13" x14ac:dyDescent="0.3">
      <c r="B454" t="s">
        <v>65</v>
      </c>
      <c r="C454" s="1" t="s">
        <v>63</v>
      </c>
      <c r="D454" s="2">
        <v>45123</v>
      </c>
      <c r="E454" s="8" t="s">
        <v>23</v>
      </c>
      <c r="F454" s="8" t="s">
        <v>68</v>
      </c>
      <c r="G454" s="8" t="s">
        <v>22</v>
      </c>
      <c r="H454" t="s">
        <v>12</v>
      </c>
      <c r="I454" s="4">
        <v>500</v>
      </c>
      <c r="J454" s="8">
        <v>5</v>
      </c>
      <c r="K454" s="4">
        <f t="shared" si="12"/>
        <v>2500</v>
      </c>
      <c r="L454" s="4">
        <f t="shared" si="13"/>
        <v>625</v>
      </c>
      <c r="M454" s="3">
        <v>0.25</v>
      </c>
    </row>
    <row r="455" spans="2:13" x14ac:dyDescent="0.3">
      <c r="B455" t="s">
        <v>62</v>
      </c>
      <c r="C455" s="1" t="s">
        <v>63</v>
      </c>
      <c r="D455" s="2">
        <v>45130</v>
      </c>
      <c r="E455" s="8" t="s">
        <v>23</v>
      </c>
      <c r="F455" s="8" t="s">
        <v>68</v>
      </c>
      <c r="G455" s="8" t="s">
        <v>22</v>
      </c>
      <c r="H455" t="s">
        <v>15</v>
      </c>
      <c r="I455" s="4">
        <v>5300</v>
      </c>
      <c r="J455" s="8">
        <v>3</v>
      </c>
      <c r="K455" s="4">
        <f t="shared" si="12"/>
        <v>15900</v>
      </c>
      <c r="L455" s="4">
        <f t="shared" si="13"/>
        <v>4770</v>
      </c>
      <c r="M455" s="3">
        <v>0.3</v>
      </c>
    </row>
    <row r="456" spans="2:13" x14ac:dyDescent="0.3">
      <c r="B456" t="s">
        <v>60</v>
      </c>
      <c r="C456" s="1" t="s">
        <v>63</v>
      </c>
      <c r="D456" s="2">
        <v>45137</v>
      </c>
      <c r="E456" s="8" t="s">
        <v>23</v>
      </c>
      <c r="F456" s="8" t="s">
        <v>68</v>
      </c>
      <c r="G456" s="8" t="s">
        <v>22</v>
      </c>
      <c r="H456" t="s">
        <v>13</v>
      </c>
      <c r="I456" s="4">
        <v>3200</v>
      </c>
      <c r="J456" s="8">
        <v>8</v>
      </c>
      <c r="K456" s="4">
        <f t="shared" si="12"/>
        <v>25600</v>
      </c>
      <c r="L456" s="4">
        <f t="shared" si="13"/>
        <v>5120</v>
      </c>
      <c r="M456" s="3">
        <v>0.2</v>
      </c>
    </row>
    <row r="457" spans="2:13" x14ac:dyDescent="0.3">
      <c r="B457" t="s">
        <v>65</v>
      </c>
      <c r="C457" s="1" t="s">
        <v>64</v>
      </c>
      <c r="D457" s="2">
        <v>45144</v>
      </c>
      <c r="E457" s="8" t="s">
        <v>23</v>
      </c>
      <c r="F457" s="8" t="s">
        <v>68</v>
      </c>
      <c r="G457" s="8" t="s">
        <v>22</v>
      </c>
      <c r="H457" t="s">
        <v>13</v>
      </c>
      <c r="I457" s="4">
        <v>3200</v>
      </c>
      <c r="J457" s="8">
        <v>7</v>
      </c>
      <c r="K457" s="4">
        <f t="shared" si="12"/>
        <v>22400</v>
      </c>
      <c r="L457" s="4">
        <f t="shared" si="13"/>
        <v>4480</v>
      </c>
      <c r="M457" s="3">
        <v>0.2</v>
      </c>
    </row>
    <row r="458" spans="2:13" x14ac:dyDescent="0.3">
      <c r="B458" t="s">
        <v>61</v>
      </c>
      <c r="C458" s="1" t="s">
        <v>63</v>
      </c>
      <c r="D458" s="2">
        <v>45151</v>
      </c>
      <c r="E458" s="8" t="s">
        <v>23</v>
      </c>
      <c r="F458" s="8" t="s">
        <v>68</v>
      </c>
      <c r="G458" s="8" t="s">
        <v>22</v>
      </c>
      <c r="H458" t="s">
        <v>18</v>
      </c>
      <c r="I458" s="4">
        <v>4600</v>
      </c>
      <c r="J458" s="8">
        <v>8</v>
      </c>
      <c r="K458" s="4">
        <f t="shared" si="12"/>
        <v>36800</v>
      </c>
      <c r="L458" s="4">
        <f t="shared" si="13"/>
        <v>9200</v>
      </c>
      <c r="M458" s="3">
        <v>0.25</v>
      </c>
    </row>
    <row r="459" spans="2:13" x14ac:dyDescent="0.3">
      <c r="B459" t="s">
        <v>66</v>
      </c>
      <c r="C459" s="1" t="s">
        <v>63</v>
      </c>
      <c r="D459" s="2">
        <v>45158</v>
      </c>
      <c r="E459" s="8" t="s">
        <v>23</v>
      </c>
      <c r="F459" s="8" t="s">
        <v>68</v>
      </c>
      <c r="G459" s="8" t="s">
        <v>22</v>
      </c>
      <c r="H459" t="s">
        <v>17</v>
      </c>
      <c r="I459" s="4">
        <v>5130</v>
      </c>
      <c r="J459" s="8">
        <v>12</v>
      </c>
      <c r="K459" s="4">
        <f t="shared" si="12"/>
        <v>61560</v>
      </c>
      <c r="L459" s="4">
        <f t="shared" si="13"/>
        <v>24624</v>
      </c>
      <c r="M459" s="3">
        <v>0.4</v>
      </c>
    </row>
    <row r="460" spans="2:13" x14ac:dyDescent="0.3">
      <c r="B460" t="s">
        <v>60</v>
      </c>
      <c r="C460" s="1" t="s">
        <v>63</v>
      </c>
      <c r="D460" s="2">
        <v>45165</v>
      </c>
      <c r="E460" s="8" t="s">
        <v>23</v>
      </c>
      <c r="F460" s="8" t="s">
        <v>68</v>
      </c>
      <c r="G460" s="8" t="s">
        <v>22</v>
      </c>
      <c r="H460" t="s">
        <v>8</v>
      </c>
      <c r="I460" s="4">
        <v>1200</v>
      </c>
      <c r="J460" s="8">
        <v>9</v>
      </c>
      <c r="K460" s="4">
        <f t="shared" si="12"/>
        <v>10800</v>
      </c>
      <c r="L460" s="4">
        <f t="shared" si="13"/>
        <v>3240</v>
      </c>
      <c r="M460" s="3">
        <v>0.3</v>
      </c>
    </row>
    <row r="461" spans="2:13" x14ac:dyDescent="0.3">
      <c r="B461" t="s">
        <v>60</v>
      </c>
      <c r="C461" s="1" t="s">
        <v>64</v>
      </c>
      <c r="D461" s="2">
        <v>44562</v>
      </c>
      <c r="E461" s="8" t="s">
        <v>23</v>
      </c>
      <c r="F461" s="8" t="s">
        <v>57</v>
      </c>
      <c r="G461" s="8" t="s">
        <v>32</v>
      </c>
      <c r="H461" t="s">
        <v>10</v>
      </c>
      <c r="I461" s="4">
        <v>1700</v>
      </c>
      <c r="J461" s="8">
        <v>7</v>
      </c>
      <c r="K461" s="4">
        <f t="shared" si="12"/>
        <v>11900</v>
      </c>
      <c r="L461" s="4">
        <f t="shared" si="13"/>
        <v>5950</v>
      </c>
      <c r="M461" s="3">
        <v>0.5</v>
      </c>
    </row>
    <row r="462" spans="2:13" x14ac:dyDescent="0.3">
      <c r="B462" t="s">
        <v>62</v>
      </c>
      <c r="C462" s="1" t="s">
        <v>63</v>
      </c>
      <c r="D462" s="2">
        <v>44577</v>
      </c>
      <c r="E462" s="8" t="s">
        <v>23</v>
      </c>
      <c r="F462" s="8" t="s">
        <v>57</v>
      </c>
      <c r="G462" s="8" t="s">
        <v>32</v>
      </c>
      <c r="H462" t="s">
        <v>9</v>
      </c>
      <c r="I462" s="4">
        <v>1500</v>
      </c>
      <c r="J462" s="8">
        <v>3</v>
      </c>
      <c r="K462" s="4">
        <f t="shared" si="12"/>
        <v>4500</v>
      </c>
      <c r="L462" s="4">
        <f t="shared" si="13"/>
        <v>1800</v>
      </c>
      <c r="M462" s="3">
        <v>0.4</v>
      </c>
    </row>
    <row r="463" spans="2:13" x14ac:dyDescent="0.3">
      <c r="B463" t="s">
        <v>66</v>
      </c>
      <c r="C463" s="1" t="s">
        <v>64</v>
      </c>
      <c r="D463" s="2">
        <v>44584</v>
      </c>
      <c r="E463" s="8" t="s">
        <v>23</v>
      </c>
      <c r="F463" s="8" t="s">
        <v>57</v>
      </c>
      <c r="G463" s="8" t="s">
        <v>32</v>
      </c>
      <c r="H463" t="s">
        <v>10</v>
      </c>
      <c r="I463" s="4">
        <v>1700</v>
      </c>
      <c r="J463" s="8">
        <v>6</v>
      </c>
      <c r="K463" s="4">
        <f t="shared" si="12"/>
        <v>10200</v>
      </c>
      <c r="L463" s="4">
        <f t="shared" si="13"/>
        <v>5100</v>
      </c>
      <c r="M463" s="3">
        <v>0.5</v>
      </c>
    </row>
    <row r="464" spans="2:13" x14ac:dyDescent="0.3">
      <c r="B464" t="s">
        <v>66</v>
      </c>
      <c r="C464" s="1" t="s">
        <v>64</v>
      </c>
      <c r="D464" s="2">
        <v>44591</v>
      </c>
      <c r="E464" s="8" t="s">
        <v>23</v>
      </c>
      <c r="F464" s="8" t="s">
        <v>57</v>
      </c>
      <c r="G464" s="8" t="s">
        <v>32</v>
      </c>
      <c r="H464" t="s">
        <v>14</v>
      </c>
      <c r="I464" s="4">
        <v>4500</v>
      </c>
      <c r="J464" s="8">
        <v>11</v>
      </c>
      <c r="K464" s="4">
        <f t="shared" si="12"/>
        <v>49500</v>
      </c>
      <c r="L464" s="4">
        <f t="shared" si="13"/>
        <v>12375</v>
      </c>
      <c r="M464" s="3">
        <v>0.25</v>
      </c>
    </row>
    <row r="465" spans="2:13" x14ac:dyDescent="0.3">
      <c r="B465" t="s">
        <v>60</v>
      </c>
      <c r="C465" s="1" t="s">
        <v>63</v>
      </c>
      <c r="D465" s="2">
        <v>44598</v>
      </c>
      <c r="E465" s="8" t="s">
        <v>23</v>
      </c>
      <c r="F465" s="8" t="s">
        <v>57</v>
      </c>
      <c r="G465" s="8" t="s">
        <v>32</v>
      </c>
      <c r="H465" t="s">
        <v>18</v>
      </c>
      <c r="I465" s="4">
        <v>4600</v>
      </c>
      <c r="J465" s="8">
        <v>5</v>
      </c>
      <c r="K465" s="4">
        <f t="shared" si="12"/>
        <v>23000</v>
      </c>
      <c r="L465" s="4">
        <f t="shared" si="13"/>
        <v>5750</v>
      </c>
      <c r="M465" s="3">
        <v>0.25</v>
      </c>
    </row>
    <row r="466" spans="2:13" x14ac:dyDescent="0.3">
      <c r="B466" t="s">
        <v>62</v>
      </c>
      <c r="C466" s="1" t="s">
        <v>63</v>
      </c>
      <c r="D466" s="2">
        <v>44605</v>
      </c>
      <c r="E466" s="8" t="s">
        <v>23</v>
      </c>
      <c r="F466" s="8" t="s">
        <v>57</v>
      </c>
      <c r="G466" s="8" t="s">
        <v>32</v>
      </c>
      <c r="H466" t="s">
        <v>19</v>
      </c>
      <c r="I466" s="4">
        <v>5340</v>
      </c>
      <c r="J466" s="8">
        <v>1</v>
      </c>
      <c r="K466" s="4">
        <f t="shared" si="12"/>
        <v>5340</v>
      </c>
      <c r="L466" s="4">
        <f t="shared" si="13"/>
        <v>1602</v>
      </c>
      <c r="M466" s="3">
        <v>0.3</v>
      </c>
    </row>
    <row r="467" spans="2:13" x14ac:dyDescent="0.3">
      <c r="B467" t="s">
        <v>65</v>
      </c>
      <c r="C467" s="1" t="s">
        <v>63</v>
      </c>
      <c r="D467" s="2">
        <v>44612</v>
      </c>
      <c r="E467" s="8" t="s">
        <v>23</v>
      </c>
      <c r="F467" s="8" t="s">
        <v>57</v>
      </c>
      <c r="G467" s="8" t="s">
        <v>32</v>
      </c>
      <c r="H467" t="s">
        <v>9</v>
      </c>
      <c r="I467" s="4">
        <v>1500</v>
      </c>
      <c r="J467" s="8">
        <v>5</v>
      </c>
      <c r="K467" s="4">
        <f t="shared" si="12"/>
        <v>7500</v>
      </c>
      <c r="L467" s="4">
        <f t="shared" si="13"/>
        <v>3000</v>
      </c>
      <c r="M467" s="3">
        <v>0.4</v>
      </c>
    </row>
    <row r="468" spans="2:13" x14ac:dyDescent="0.3">
      <c r="B468" t="s">
        <v>65</v>
      </c>
      <c r="C468" s="1" t="s">
        <v>63</v>
      </c>
      <c r="D468" s="2">
        <v>44619</v>
      </c>
      <c r="E468" s="8" t="s">
        <v>23</v>
      </c>
      <c r="F468" s="8" t="s">
        <v>57</v>
      </c>
      <c r="G468" s="8" t="s">
        <v>32</v>
      </c>
      <c r="H468" t="s">
        <v>18</v>
      </c>
      <c r="I468" s="4">
        <v>4600</v>
      </c>
      <c r="J468" s="8">
        <v>12</v>
      </c>
      <c r="K468" s="4">
        <f t="shared" si="12"/>
        <v>55200</v>
      </c>
      <c r="L468" s="4">
        <f t="shared" si="13"/>
        <v>13800</v>
      </c>
      <c r="M468" s="3">
        <v>0.25</v>
      </c>
    </row>
    <row r="469" spans="2:13" x14ac:dyDescent="0.3">
      <c r="B469" t="s">
        <v>62</v>
      </c>
      <c r="C469" s="1" t="s">
        <v>64</v>
      </c>
      <c r="D469" s="2">
        <v>44626</v>
      </c>
      <c r="E469" s="8" t="s">
        <v>23</v>
      </c>
      <c r="F469" s="8" t="s">
        <v>57</v>
      </c>
      <c r="G469" s="8" t="s">
        <v>32</v>
      </c>
      <c r="H469" t="s">
        <v>20</v>
      </c>
      <c r="I469" s="4">
        <v>8902</v>
      </c>
      <c r="J469" s="8">
        <v>5</v>
      </c>
      <c r="K469" s="4">
        <f t="shared" si="12"/>
        <v>44510</v>
      </c>
      <c r="L469" s="4">
        <f t="shared" si="13"/>
        <v>15578.499999999998</v>
      </c>
      <c r="M469" s="3">
        <v>0.35</v>
      </c>
    </row>
    <row r="470" spans="2:13" x14ac:dyDescent="0.3">
      <c r="B470" t="s">
        <v>65</v>
      </c>
      <c r="C470" s="1" t="s">
        <v>63</v>
      </c>
      <c r="D470" s="2">
        <v>44633</v>
      </c>
      <c r="E470" s="8" t="s">
        <v>23</v>
      </c>
      <c r="F470" s="8" t="s">
        <v>57</v>
      </c>
      <c r="G470" s="8" t="s">
        <v>32</v>
      </c>
      <c r="H470" t="s">
        <v>18</v>
      </c>
      <c r="I470" s="4">
        <v>4600</v>
      </c>
      <c r="J470" s="8">
        <v>10</v>
      </c>
      <c r="K470" s="4">
        <f t="shared" si="12"/>
        <v>46000</v>
      </c>
      <c r="L470" s="4">
        <f t="shared" si="13"/>
        <v>11500</v>
      </c>
      <c r="M470" s="3">
        <v>0.25</v>
      </c>
    </row>
    <row r="471" spans="2:13" x14ac:dyDescent="0.3">
      <c r="B471" t="s">
        <v>65</v>
      </c>
      <c r="C471" s="1" t="s">
        <v>63</v>
      </c>
      <c r="D471" s="2">
        <v>44640</v>
      </c>
      <c r="E471" s="8" t="s">
        <v>23</v>
      </c>
      <c r="F471" s="8" t="s">
        <v>57</v>
      </c>
      <c r="G471" s="8" t="s">
        <v>32</v>
      </c>
      <c r="H471" t="s">
        <v>11</v>
      </c>
      <c r="I471" s="4">
        <v>300</v>
      </c>
      <c r="J471" s="8">
        <v>4</v>
      </c>
      <c r="K471" s="4">
        <f t="shared" si="12"/>
        <v>1200</v>
      </c>
      <c r="L471" s="4">
        <f t="shared" si="13"/>
        <v>180</v>
      </c>
      <c r="M471" s="3">
        <v>0.15</v>
      </c>
    </row>
    <row r="472" spans="2:13" x14ac:dyDescent="0.3">
      <c r="B472" t="s">
        <v>65</v>
      </c>
      <c r="C472" s="1" t="s">
        <v>64</v>
      </c>
      <c r="D472" s="2">
        <v>44647</v>
      </c>
      <c r="E472" s="8" t="s">
        <v>23</v>
      </c>
      <c r="F472" s="8" t="s">
        <v>57</v>
      </c>
      <c r="G472" s="8" t="s">
        <v>32</v>
      </c>
      <c r="H472" t="s">
        <v>13</v>
      </c>
      <c r="I472" s="4">
        <v>3200</v>
      </c>
      <c r="J472" s="8">
        <v>1</v>
      </c>
      <c r="K472" s="4">
        <f t="shared" si="12"/>
        <v>3200</v>
      </c>
      <c r="L472" s="4">
        <f t="shared" si="13"/>
        <v>640</v>
      </c>
      <c r="M472" s="3">
        <v>0.2</v>
      </c>
    </row>
    <row r="473" spans="2:13" x14ac:dyDescent="0.3">
      <c r="B473" t="s">
        <v>61</v>
      </c>
      <c r="C473" s="1" t="s">
        <v>64</v>
      </c>
      <c r="D473" s="2">
        <v>44654</v>
      </c>
      <c r="E473" s="8" t="s">
        <v>23</v>
      </c>
      <c r="F473" s="8" t="s">
        <v>57</v>
      </c>
      <c r="G473" s="8" t="s">
        <v>32</v>
      </c>
      <c r="H473" t="s">
        <v>17</v>
      </c>
      <c r="I473" s="4">
        <v>5130</v>
      </c>
      <c r="J473" s="8">
        <v>11</v>
      </c>
      <c r="K473" s="4">
        <f t="shared" si="12"/>
        <v>56430</v>
      </c>
      <c r="L473" s="4">
        <f t="shared" si="13"/>
        <v>22572</v>
      </c>
      <c r="M473" s="3">
        <v>0.4</v>
      </c>
    </row>
    <row r="474" spans="2:13" x14ac:dyDescent="0.3">
      <c r="B474" t="s">
        <v>65</v>
      </c>
      <c r="C474" s="1" t="s">
        <v>63</v>
      </c>
      <c r="D474" s="2">
        <v>44661</v>
      </c>
      <c r="E474" s="8" t="s">
        <v>23</v>
      </c>
      <c r="F474" s="8" t="s">
        <v>57</v>
      </c>
      <c r="G474" s="8" t="s">
        <v>32</v>
      </c>
      <c r="H474" t="s">
        <v>18</v>
      </c>
      <c r="I474" s="4">
        <v>4600</v>
      </c>
      <c r="J474" s="8">
        <v>4</v>
      </c>
      <c r="K474" s="4">
        <f t="shared" si="12"/>
        <v>18400</v>
      </c>
      <c r="L474" s="4">
        <f t="shared" si="13"/>
        <v>4600</v>
      </c>
      <c r="M474" s="3">
        <v>0.25</v>
      </c>
    </row>
    <row r="475" spans="2:13" x14ac:dyDescent="0.3">
      <c r="B475" t="s">
        <v>65</v>
      </c>
      <c r="C475" s="1" t="s">
        <v>63</v>
      </c>
      <c r="D475" s="2">
        <v>44668</v>
      </c>
      <c r="E475" s="8" t="s">
        <v>23</v>
      </c>
      <c r="F475" s="8" t="s">
        <v>57</v>
      </c>
      <c r="G475" s="8" t="s">
        <v>32</v>
      </c>
      <c r="H475" t="s">
        <v>9</v>
      </c>
      <c r="I475" s="4">
        <v>1500</v>
      </c>
      <c r="J475" s="8">
        <v>11</v>
      </c>
      <c r="K475" s="4">
        <f t="shared" si="12"/>
        <v>16500</v>
      </c>
      <c r="L475" s="4">
        <f t="shared" si="13"/>
        <v>6600</v>
      </c>
      <c r="M475" s="3">
        <v>0.4</v>
      </c>
    </row>
    <row r="476" spans="2:13" x14ac:dyDescent="0.3">
      <c r="B476" t="s">
        <v>65</v>
      </c>
      <c r="C476" s="1" t="s">
        <v>63</v>
      </c>
      <c r="D476" s="2">
        <v>44675</v>
      </c>
      <c r="E476" s="8" t="s">
        <v>23</v>
      </c>
      <c r="F476" s="8" t="s">
        <v>57</v>
      </c>
      <c r="G476" s="8" t="s">
        <v>32</v>
      </c>
      <c r="H476" t="s">
        <v>15</v>
      </c>
      <c r="I476" s="4">
        <v>5300</v>
      </c>
      <c r="J476" s="8">
        <v>4</v>
      </c>
      <c r="K476" s="4">
        <f t="shared" si="12"/>
        <v>21200</v>
      </c>
      <c r="L476" s="4">
        <f t="shared" si="13"/>
        <v>6360</v>
      </c>
      <c r="M476" s="3">
        <v>0.3</v>
      </c>
    </row>
    <row r="477" spans="2:13" x14ac:dyDescent="0.3">
      <c r="B477" t="s">
        <v>65</v>
      </c>
      <c r="C477" s="1" t="s">
        <v>64</v>
      </c>
      <c r="D477" s="2">
        <v>44682</v>
      </c>
      <c r="E477" s="8" t="s">
        <v>23</v>
      </c>
      <c r="F477" s="8" t="s">
        <v>57</v>
      </c>
      <c r="G477" s="8" t="s">
        <v>32</v>
      </c>
      <c r="H477" t="s">
        <v>20</v>
      </c>
      <c r="I477" s="4">
        <v>8902</v>
      </c>
      <c r="J477" s="8">
        <v>6</v>
      </c>
      <c r="K477" s="4">
        <f t="shared" si="12"/>
        <v>53412</v>
      </c>
      <c r="L477" s="4">
        <f t="shared" si="13"/>
        <v>18694.199999999997</v>
      </c>
      <c r="M477" s="3">
        <v>0.35</v>
      </c>
    </row>
    <row r="478" spans="2:13" x14ac:dyDescent="0.3">
      <c r="B478" t="s">
        <v>65</v>
      </c>
      <c r="C478" s="1" t="s">
        <v>64</v>
      </c>
      <c r="D478" s="2">
        <v>44689</v>
      </c>
      <c r="E478" s="8" t="s">
        <v>23</v>
      </c>
      <c r="F478" s="8" t="s">
        <v>57</v>
      </c>
      <c r="G478" s="8" t="s">
        <v>32</v>
      </c>
      <c r="H478" t="s">
        <v>8</v>
      </c>
      <c r="I478" s="4">
        <v>1200</v>
      </c>
      <c r="J478" s="8">
        <v>1</v>
      </c>
      <c r="K478" s="4">
        <f t="shared" si="12"/>
        <v>1200</v>
      </c>
      <c r="L478" s="4">
        <f t="shared" si="13"/>
        <v>360</v>
      </c>
      <c r="M478" s="3">
        <v>0.3</v>
      </c>
    </row>
    <row r="479" spans="2:13" x14ac:dyDescent="0.3">
      <c r="B479" t="s">
        <v>61</v>
      </c>
      <c r="C479" s="1" t="s">
        <v>63</v>
      </c>
      <c r="D479" s="2">
        <v>44696</v>
      </c>
      <c r="E479" s="8" t="s">
        <v>23</v>
      </c>
      <c r="F479" s="8" t="s">
        <v>57</v>
      </c>
      <c r="G479" s="8" t="s">
        <v>32</v>
      </c>
      <c r="H479" t="s">
        <v>17</v>
      </c>
      <c r="I479" s="4">
        <v>5130</v>
      </c>
      <c r="J479" s="8">
        <v>7</v>
      </c>
      <c r="K479" s="4">
        <f t="shared" si="12"/>
        <v>35910</v>
      </c>
      <c r="L479" s="4">
        <f t="shared" si="13"/>
        <v>14364</v>
      </c>
      <c r="M479" s="3">
        <v>0.4</v>
      </c>
    </row>
    <row r="480" spans="2:13" x14ac:dyDescent="0.3">
      <c r="B480" t="s">
        <v>65</v>
      </c>
      <c r="C480" s="1" t="s">
        <v>63</v>
      </c>
      <c r="D480" s="2">
        <v>44703</v>
      </c>
      <c r="E480" s="8" t="s">
        <v>23</v>
      </c>
      <c r="F480" s="8" t="s">
        <v>57</v>
      </c>
      <c r="G480" s="8" t="s">
        <v>32</v>
      </c>
      <c r="H480" t="s">
        <v>9</v>
      </c>
      <c r="I480" s="4">
        <v>1500</v>
      </c>
      <c r="J480" s="8">
        <v>4</v>
      </c>
      <c r="K480" s="4">
        <f t="shared" si="12"/>
        <v>6000</v>
      </c>
      <c r="L480" s="4">
        <f t="shared" si="13"/>
        <v>2400</v>
      </c>
      <c r="M480" s="3">
        <v>0.4</v>
      </c>
    </row>
    <row r="481" spans="2:13" x14ac:dyDescent="0.3">
      <c r="B481" t="s">
        <v>60</v>
      </c>
      <c r="C481" s="1" t="s">
        <v>63</v>
      </c>
      <c r="D481" s="2">
        <v>44710</v>
      </c>
      <c r="E481" s="8" t="s">
        <v>23</v>
      </c>
      <c r="F481" s="8" t="s">
        <v>57</v>
      </c>
      <c r="G481" s="8" t="s">
        <v>32</v>
      </c>
      <c r="H481" t="s">
        <v>17</v>
      </c>
      <c r="I481" s="4">
        <v>5130</v>
      </c>
      <c r="J481" s="8">
        <v>4</v>
      </c>
      <c r="K481" s="4">
        <f t="shared" si="12"/>
        <v>20520</v>
      </c>
      <c r="L481" s="4">
        <f t="shared" si="13"/>
        <v>8208</v>
      </c>
      <c r="M481" s="3">
        <v>0.4</v>
      </c>
    </row>
    <row r="482" spans="2:13" x14ac:dyDescent="0.3">
      <c r="B482" t="s">
        <v>60</v>
      </c>
      <c r="C482" s="1" t="s">
        <v>63</v>
      </c>
      <c r="D482" s="2">
        <v>44717</v>
      </c>
      <c r="E482" s="8" t="s">
        <v>23</v>
      </c>
      <c r="F482" s="8" t="s">
        <v>57</v>
      </c>
      <c r="G482" s="8" t="s">
        <v>32</v>
      </c>
      <c r="H482" t="s">
        <v>14</v>
      </c>
      <c r="I482" s="4">
        <v>4500</v>
      </c>
      <c r="J482" s="8">
        <v>2</v>
      </c>
      <c r="K482" s="4">
        <f t="shared" si="12"/>
        <v>9000</v>
      </c>
      <c r="L482" s="4">
        <f t="shared" si="13"/>
        <v>2250</v>
      </c>
      <c r="M482" s="3">
        <v>0.25</v>
      </c>
    </row>
    <row r="483" spans="2:13" x14ac:dyDescent="0.3">
      <c r="B483" t="s">
        <v>65</v>
      </c>
      <c r="C483" s="1" t="s">
        <v>64</v>
      </c>
      <c r="D483" s="2">
        <v>44724</v>
      </c>
      <c r="E483" s="8" t="s">
        <v>23</v>
      </c>
      <c r="F483" s="8" t="s">
        <v>57</v>
      </c>
      <c r="G483" s="8" t="s">
        <v>32</v>
      </c>
      <c r="H483" t="s">
        <v>15</v>
      </c>
      <c r="I483" s="4">
        <v>5300</v>
      </c>
      <c r="J483" s="8">
        <v>2</v>
      </c>
      <c r="K483" s="4">
        <f t="shared" ref="K483:K514" si="14">I483*J483</f>
        <v>10600</v>
      </c>
      <c r="L483" s="4">
        <f t="shared" ref="L483:L514" si="15">K483*M483</f>
        <v>3180</v>
      </c>
      <c r="M483" s="3">
        <v>0.3</v>
      </c>
    </row>
    <row r="484" spans="2:13" x14ac:dyDescent="0.3">
      <c r="B484" t="s">
        <v>65</v>
      </c>
      <c r="C484" s="1" t="s">
        <v>63</v>
      </c>
      <c r="D484" s="2">
        <v>44731</v>
      </c>
      <c r="E484" s="8" t="s">
        <v>23</v>
      </c>
      <c r="F484" s="8" t="s">
        <v>57</v>
      </c>
      <c r="G484" s="8" t="s">
        <v>32</v>
      </c>
      <c r="H484" t="s">
        <v>11</v>
      </c>
      <c r="I484" s="4">
        <v>300</v>
      </c>
      <c r="J484" s="8">
        <v>2</v>
      </c>
      <c r="K484" s="4">
        <f t="shared" si="14"/>
        <v>600</v>
      </c>
      <c r="L484" s="4">
        <f t="shared" si="15"/>
        <v>90</v>
      </c>
      <c r="M484" s="3">
        <v>0.15</v>
      </c>
    </row>
    <row r="485" spans="2:13" x14ac:dyDescent="0.3">
      <c r="B485" t="s">
        <v>61</v>
      </c>
      <c r="C485" s="1" t="s">
        <v>64</v>
      </c>
      <c r="D485" s="2">
        <v>44738</v>
      </c>
      <c r="E485" s="8" t="s">
        <v>23</v>
      </c>
      <c r="F485" s="8" t="s">
        <v>57</v>
      </c>
      <c r="G485" s="8" t="s">
        <v>32</v>
      </c>
      <c r="H485" t="s">
        <v>12</v>
      </c>
      <c r="I485" s="4">
        <v>500</v>
      </c>
      <c r="J485" s="8">
        <v>12</v>
      </c>
      <c r="K485" s="4">
        <f t="shared" si="14"/>
        <v>6000</v>
      </c>
      <c r="L485" s="4">
        <f t="shared" si="15"/>
        <v>1500</v>
      </c>
      <c r="M485" s="3">
        <v>0.25</v>
      </c>
    </row>
    <row r="486" spans="2:13" x14ac:dyDescent="0.3">
      <c r="B486" t="s">
        <v>66</v>
      </c>
      <c r="C486" s="1" t="s">
        <v>64</v>
      </c>
      <c r="D486" s="2">
        <v>44745</v>
      </c>
      <c r="E486" s="8" t="s">
        <v>23</v>
      </c>
      <c r="F486" s="8" t="s">
        <v>57</v>
      </c>
      <c r="G486" s="8" t="s">
        <v>32</v>
      </c>
      <c r="H486" t="s">
        <v>11</v>
      </c>
      <c r="I486" s="4">
        <v>300</v>
      </c>
      <c r="J486" s="8">
        <v>1</v>
      </c>
      <c r="K486" s="4">
        <f t="shared" si="14"/>
        <v>300</v>
      </c>
      <c r="L486" s="4">
        <f t="shared" si="15"/>
        <v>45</v>
      </c>
      <c r="M486" s="3">
        <v>0.15</v>
      </c>
    </row>
    <row r="487" spans="2:13" x14ac:dyDescent="0.3">
      <c r="B487" t="s">
        <v>60</v>
      </c>
      <c r="C487" s="1" t="s">
        <v>63</v>
      </c>
      <c r="D487" s="2">
        <v>44752</v>
      </c>
      <c r="E487" s="8" t="s">
        <v>23</v>
      </c>
      <c r="F487" s="8" t="s">
        <v>57</v>
      </c>
      <c r="G487" s="8" t="s">
        <v>32</v>
      </c>
      <c r="H487" t="s">
        <v>9</v>
      </c>
      <c r="I487" s="4">
        <v>1500</v>
      </c>
      <c r="J487" s="8">
        <v>1</v>
      </c>
      <c r="K487" s="4">
        <f t="shared" si="14"/>
        <v>1500</v>
      </c>
      <c r="L487" s="4">
        <f t="shared" si="15"/>
        <v>600</v>
      </c>
      <c r="M487" s="3">
        <v>0.4</v>
      </c>
    </row>
    <row r="488" spans="2:13" x14ac:dyDescent="0.3">
      <c r="B488" t="s">
        <v>65</v>
      </c>
      <c r="C488" s="1" t="s">
        <v>63</v>
      </c>
      <c r="D488" s="2">
        <v>44759</v>
      </c>
      <c r="E488" s="8" t="s">
        <v>23</v>
      </c>
      <c r="F488" s="8" t="s">
        <v>57</v>
      </c>
      <c r="G488" s="8" t="s">
        <v>32</v>
      </c>
      <c r="H488" t="s">
        <v>9</v>
      </c>
      <c r="I488" s="4">
        <v>1500</v>
      </c>
      <c r="J488" s="8">
        <v>11</v>
      </c>
      <c r="K488" s="4">
        <f t="shared" si="14"/>
        <v>16500</v>
      </c>
      <c r="L488" s="4">
        <f t="shared" si="15"/>
        <v>6600</v>
      </c>
      <c r="M488" s="3">
        <v>0.4</v>
      </c>
    </row>
    <row r="489" spans="2:13" x14ac:dyDescent="0.3">
      <c r="B489" t="s">
        <v>65</v>
      </c>
      <c r="C489" s="1" t="s">
        <v>63</v>
      </c>
      <c r="D489" s="2">
        <v>44766</v>
      </c>
      <c r="E489" s="8" t="s">
        <v>23</v>
      </c>
      <c r="F489" s="8" t="s">
        <v>57</v>
      </c>
      <c r="G489" s="8" t="s">
        <v>32</v>
      </c>
      <c r="H489" t="s">
        <v>8</v>
      </c>
      <c r="I489" s="4">
        <v>1200</v>
      </c>
      <c r="J489" s="8">
        <v>2</v>
      </c>
      <c r="K489" s="4">
        <f t="shared" si="14"/>
        <v>2400</v>
      </c>
      <c r="L489" s="4">
        <f t="shared" si="15"/>
        <v>720</v>
      </c>
      <c r="M489" s="3">
        <v>0.3</v>
      </c>
    </row>
    <row r="490" spans="2:13" x14ac:dyDescent="0.3">
      <c r="B490" t="s">
        <v>60</v>
      </c>
      <c r="C490" s="1" t="s">
        <v>63</v>
      </c>
      <c r="D490" s="2">
        <v>44766</v>
      </c>
      <c r="E490" s="8" t="s">
        <v>23</v>
      </c>
      <c r="F490" s="8" t="s">
        <v>57</v>
      </c>
      <c r="G490" s="8" t="s">
        <v>32</v>
      </c>
      <c r="H490" t="s">
        <v>12</v>
      </c>
      <c r="I490" s="4">
        <v>500</v>
      </c>
      <c r="J490" s="8">
        <v>5</v>
      </c>
      <c r="K490" s="4">
        <f t="shared" si="14"/>
        <v>2500</v>
      </c>
      <c r="L490" s="4">
        <f t="shared" si="15"/>
        <v>625</v>
      </c>
      <c r="M490" s="3">
        <v>0.25</v>
      </c>
    </row>
    <row r="491" spans="2:13" x14ac:dyDescent="0.3">
      <c r="B491" t="s">
        <v>62</v>
      </c>
      <c r="C491" s="1" t="s">
        <v>64</v>
      </c>
      <c r="D491" s="2">
        <v>44773</v>
      </c>
      <c r="E491" s="8" t="s">
        <v>23</v>
      </c>
      <c r="F491" s="8" t="s">
        <v>57</v>
      </c>
      <c r="G491" s="8" t="s">
        <v>32</v>
      </c>
      <c r="H491" t="s">
        <v>13</v>
      </c>
      <c r="I491" s="4">
        <v>3200</v>
      </c>
      <c r="J491" s="8">
        <v>12</v>
      </c>
      <c r="K491" s="4">
        <f t="shared" si="14"/>
        <v>38400</v>
      </c>
      <c r="L491" s="4">
        <f t="shared" si="15"/>
        <v>7680</v>
      </c>
      <c r="M491" s="3">
        <v>0.2</v>
      </c>
    </row>
    <row r="492" spans="2:13" x14ac:dyDescent="0.3">
      <c r="B492" t="s">
        <v>61</v>
      </c>
      <c r="C492" s="1" t="s">
        <v>63</v>
      </c>
      <c r="D492" s="2">
        <v>44780</v>
      </c>
      <c r="E492" s="8" t="s">
        <v>23</v>
      </c>
      <c r="F492" s="8" t="s">
        <v>57</v>
      </c>
      <c r="G492" s="8" t="s">
        <v>32</v>
      </c>
      <c r="H492" t="s">
        <v>15</v>
      </c>
      <c r="I492" s="4">
        <v>5300</v>
      </c>
      <c r="J492" s="8">
        <v>4</v>
      </c>
      <c r="K492" s="4">
        <f t="shared" si="14"/>
        <v>21200</v>
      </c>
      <c r="L492" s="4">
        <f t="shared" si="15"/>
        <v>6360</v>
      </c>
      <c r="M492" s="3">
        <v>0.3</v>
      </c>
    </row>
    <row r="493" spans="2:13" x14ac:dyDescent="0.3">
      <c r="B493" t="s">
        <v>61</v>
      </c>
      <c r="C493" s="1" t="s">
        <v>63</v>
      </c>
      <c r="D493" s="2">
        <v>44787</v>
      </c>
      <c r="E493" s="8" t="s">
        <v>23</v>
      </c>
      <c r="F493" s="8" t="s">
        <v>57</v>
      </c>
      <c r="G493" s="8" t="s">
        <v>32</v>
      </c>
      <c r="H493" t="s">
        <v>17</v>
      </c>
      <c r="I493" s="4">
        <v>5130</v>
      </c>
      <c r="J493" s="8">
        <v>8</v>
      </c>
      <c r="K493" s="4">
        <f t="shared" si="14"/>
        <v>41040</v>
      </c>
      <c r="L493" s="4">
        <f t="shared" si="15"/>
        <v>16416</v>
      </c>
      <c r="M493" s="3">
        <v>0.4</v>
      </c>
    </row>
    <row r="494" spans="2:13" x14ac:dyDescent="0.3">
      <c r="B494" t="s">
        <v>65</v>
      </c>
      <c r="C494" s="1" t="s">
        <v>63</v>
      </c>
      <c r="D494" s="2">
        <v>44794</v>
      </c>
      <c r="E494" s="8" t="s">
        <v>23</v>
      </c>
      <c r="F494" s="8" t="s">
        <v>57</v>
      </c>
      <c r="G494" s="8" t="s">
        <v>32</v>
      </c>
      <c r="H494" t="s">
        <v>19</v>
      </c>
      <c r="I494" s="4">
        <v>5340</v>
      </c>
      <c r="J494" s="8">
        <v>2</v>
      </c>
      <c r="K494" s="4">
        <f t="shared" si="14"/>
        <v>10680</v>
      </c>
      <c r="L494" s="4">
        <f t="shared" si="15"/>
        <v>3204</v>
      </c>
      <c r="M494" s="3">
        <v>0.3</v>
      </c>
    </row>
    <row r="495" spans="2:13" x14ac:dyDescent="0.3">
      <c r="B495" t="s">
        <v>62</v>
      </c>
      <c r="C495" s="1" t="s">
        <v>63</v>
      </c>
      <c r="D495" s="2">
        <v>44801</v>
      </c>
      <c r="E495" s="8" t="s">
        <v>23</v>
      </c>
      <c r="F495" s="8" t="s">
        <v>57</v>
      </c>
      <c r="G495" s="8" t="s">
        <v>32</v>
      </c>
      <c r="H495" t="s">
        <v>8</v>
      </c>
      <c r="I495" s="4">
        <v>1200</v>
      </c>
      <c r="J495" s="8">
        <v>5</v>
      </c>
      <c r="K495" s="4">
        <f t="shared" si="14"/>
        <v>6000</v>
      </c>
      <c r="L495" s="4">
        <f t="shared" si="15"/>
        <v>1800</v>
      </c>
      <c r="M495" s="3">
        <v>0.3</v>
      </c>
    </row>
    <row r="496" spans="2:13" x14ac:dyDescent="0.3">
      <c r="B496" t="s">
        <v>60</v>
      </c>
      <c r="C496" s="1" t="s">
        <v>63</v>
      </c>
      <c r="D496" s="2">
        <v>44808</v>
      </c>
      <c r="E496" s="8" t="s">
        <v>23</v>
      </c>
      <c r="F496" s="8" t="s">
        <v>57</v>
      </c>
      <c r="G496" s="8" t="s">
        <v>32</v>
      </c>
      <c r="H496" t="s">
        <v>15</v>
      </c>
      <c r="I496" s="4">
        <v>5300</v>
      </c>
      <c r="J496" s="8">
        <v>10</v>
      </c>
      <c r="K496" s="4">
        <f t="shared" si="14"/>
        <v>53000</v>
      </c>
      <c r="L496" s="4">
        <f t="shared" si="15"/>
        <v>15900</v>
      </c>
      <c r="M496" s="3">
        <v>0.3</v>
      </c>
    </row>
    <row r="497" spans="2:13" x14ac:dyDescent="0.3">
      <c r="B497" t="s">
        <v>65</v>
      </c>
      <c r="C497" s="1" t="s">
        <v>63</v>
      </c>
      <c r="D497" s="2">
        <v>44815</v>
      </c>
      <c r="E497" s="8" t="s">
        <v>23</v>
      </c>
      <c r="F497" s="8" t="s">
        <v>57</v>
      </c>
      <c r="G497" s="8" t="s">
        <v>32</v>
      </c>
      <c r="H497" t="s">
        <v>12</v>
      </c>
      <c r="I497" s="4">
        <v>500</v>
      </c>
      <c r="J497" s="8">
        <v>9</v>
      </c>
      <c r="K497" s="4">
        <f t="shared" si="14"/>
        <v>4500</v>
      </c>
      <c r="L497" s="4">
        <f t="shared" si="15"/>
        <v>1125</v>
      </c>
      <c r="M497" s="3">
        <v>0.25</v>
      </c>
    </row>
    <row r="498" spans="2:13" x14ac:dyDescent="0.3">
      <c r="B498" t="s">
        <v>60</v>
      </c>
      <c r="C498" s="1" t="s">
        <v>64</v>
      </c>
      <c r="D498" s="2">
        <v>44822</v>
      </c>
      <c r="E498" s="8" t="s">
        <v>23</v>
      </c>
      <c r="F498" s="8" t="s">
        <v>57</v>
      </c>
      <c r="G498" s="8" t="s">
        <v>32</v>
      </c>
      <c r="H498" t="s">
        <v>19</v>
      </c>
      <c r="I498" s="4">
        <v>5340</v>
      </c>
      <c r="J498" s="8">
        <v>7</v>
      </c>
      <c r="K498" s="4">
        <f t="shared" si="14"/>
        <v>37380</v>
      </c>
      <c r="L498" s="4">
        <f t="shared" si="15"/>
        <v>11214</v>
      </c>
      <c r="M498" s="3">
        <v>0.3</v>
      </c>
    </row>
    <row r="499" spans="2:13" x14ac:dyDescent="0.3">
      <c r="B499" t="s">
        <v>65</v>
      </c>
      <c r="C499" s="1" t="s">
        <v>63</v>
      </c>
      <c r="D499" s="2">
        <v>44829</v>
      </c>
      <c r="E499" s="8" t="s">
        <v>23</v>
      </c>
      <c r="F499" s="8" t="s">
        <v>57</v>
      </c>
      <c r="G499" s="8" t="s">
        <v>32</v>
      </c>
      <c r="H499" t="s">
        <v>20</v>
      </c>
      <c r="I499" s="4">
        <v>8902</v>
      </c>
      <c r="J499" s="8">
        <v>8</v>
      </c>
      <c r="K499" s="4">
        <f t="shared" si="14"/>
        <v>71216</v>
      </c>
      <c r="L499" s="4">
        <f t="shared" si="15"/>
        <v>24925.599999999999</v>
      </c>
      <c r="M499" s="3">
        <v>0.35</v>
      </c>
    </row>
    <row r="500" spans="2:13" x14ac:dyDescent="0.3">
      <c r="B500" t="s">
        <v>65</v>
      </c>
      <c r="C500" s="1" t="s">
        <v>63</v>
      </c>
      <c r="D500" s="2">
        <v>44836</v>
      </c>
      <c r="E500" s="8" t="s">
        <v>23</v>
      </c>
      <c r="F500" s="8" t="s">
        <v>57</v>
      </c>
      <c r="G500" s="8" t="s">
        <v>32</v>
      </c>
      <c r="H500" t="s">
        <v>13</v>
      </c>
      <c r="I500" s="4">
        <v>3200</v>
      </c>
      <c r="J500" s="8">
        <v>7</v>
      </c>
      <c r="K500" s="4">
        <f t="shared" si="14"/>
        <v>22400</v>
      </c>
      <c r="L500" s="4">
        <f t="shared" si="15"/>
        <v>4480</v>
      </c>
      <c r="M500" s="3">
        <v>0.2</v>
      </c>
    </row>
    <row r="501" spans="2:13" x14ac:dyDescent="0.3">
      <c r="B501" t="s">
        <v>60</v>
      </c>
      <c r="C501" s="1" t="s">
        <v>63</v>
      </c>
      <c r="D501" s="2">
        <v>44843</v>
      </c>
      <c r="E501" s="8" t="s">
        <v>23</v>
      </c>
      <c r="F501" s="8" t="s">
        <v>57</v>
      </c>
      <c r="G501" s="8" t="s">
        <v>32</v>
      </c>
      <c r="H501" t="s">
        <v>12</v>
      </c>
      <c r="I501" s="4">
        <v>500</v>
      </c>
      <c r="J501" s="8">
        <v>2</v>
      </c>
      <c r="K501" s="4">
        <f t="shared" si="14"/>
        <v>1000</v>
      </c>
      <c r="L501" s="4">
        <f t="shared" si="15"/>
        <v>250</v>
      </c>
      <c r="M501" s="3">
        <v>0.25</v>
      </c>
    </row>
    <row r="502" spans="2:13" x14ac:dyDescent="0.3">
      <c r="B502" t="s">
        <v>65</v>
      </c>
      <c r="C502" s="1" t="s">
        <v>63</v>
      </c>
      <c r="D502" s="2">
        <v>44850</v>
      </c>
      <c r="E502" s="8" t="s">
        <v>23</v>
      </c>
      <c r="F502" s="8" t="s">
        <v>57</v>
      </c>
      <c r="G502" s="8" t="s">
        <v>32</v>
      </c>
      <c r="H502" t="s">
        <v>19</v>
      </c>
      <c r="I502" s="4">
        <v>5340</v>
      </c>
      <c r="J502" s="8">
        <v>2</v>
      </c>
      <c r="K502" s="4">
        <f t="shared" si="14"/>
        <v>10680</v>
      </c>
      <c r="L502" s="4">
        <f t="shared" si="15"/>
        <v>3204</v>
      </c>
      <c r="M502" s="3">
        <v>0.3</v>
      </c>
    </row>
    <row r="503" spans="2:13" x14ac:dyDescent="0.3">
      <c r="B503" t="s">
        <v>60</v>
      </c>
      <c r="C503" s="1" t="s">
        <v>63</v>
      </c>
      <c r="D503" s="2">
        <v>44857</v>
      </c>
      <c r="E503" s="8" t="s">
        <v>23</v>
      </c>
      <c r="F503" s="8" t="s">
        <v>57</v>
      </c>
      <c r="G503" s="8" t="s">
        <v>32</v>
      </c>
      <c r="H503" t="s">
        <v>12</v>
      </c>
      <c r="I503" s="4">
        <v>500</v>
      </c>
      <c r="J503" s="8">
        <v>2</v>
      </c>
      <c r="K503" s="4">
        <f t="shared" si="14"/>
        <v>1000</v>
      </c>
      <c r="L503" s="4">
        <f t="shared" si="15"/>
        <v>250</v>
      </c>
      <c r="M503" s="3">
        <v>0.25</v>
      </c>
    </row>
    <row r="504" spans="2:13" x14ac:dyDescent="0.3">
      <c r="B504" t="s">
        <v>65</v>
      </c>
      <c r="C504" s="1" t="s">
        <v>64</v>
      </c>
      <c r="D504" s="2">
        <v>44864</v>
      </c>
      <c r="E504" s="8" t="s">
        <v>23</v>
      </c>
      <c r="F504" s="8" t="s">
        <v>57</v>
      </c>
      <c r="G504" s="8" t="s">
        <v>32</v>
      </c>
      <c r="H504" t="s">
        <v>17</v>
      </c>
      <c r="I504" s="4">
        <v>5130</v>
      </c>
      <c r="J504" s="8">
        <v>1</v>
      </c>
      <c r="K504" s="4">
        <f t="shared" si="14"/>
        <v>5130</v>
      </c>
      <c r="L504" s="4">
        <f t="shared" si="15"/>
        <v>2052</v>
      </c>
      <c r="M504" s="3">
        <v>0.4</v>
      </c>
    </row>
    <row r="505" spans="2:13" x14ac:dyDescent="0.3">
      <c r="B505" t="s">
        <v>60</v>
      </c>
      <c r="C505" s="1" t="s">
        <v>63</v>
      </c>
      <c r="D505" s="2">
        <v>44871</v>
      </c>
      <c r="E505" s="8" t="s">
        <v>23</v>
      </c>
      <c r="F505" s="8" t="s">
        <v>57</v>
      </c>
      <c r="G505" s="8" t="s">
        <v>32</v>
      </c>
      <c r="H505" t="s">
        <v>9</v>
      </c>
      <c r="I505" s="4">
        <v>1500</v>
      </c>
      <c r="J505" s="8">
        <v>10</v>
      </c>
      <c r="K505" s="4">
        <f t="shared" si="14"/>
        <v>15000</v>
      </c>
      <c r="L505" s="4">
        <f t="shared" si="15"/>
        <v>6000</v>
      </c>
      <c r="M505" s="3">
        <v>0.4</v>
      </c>
    </row>
    <row r="506" spans="2:13" x14ac:dyDescent="0.3">
      <c r="B506" t="s">
        <v>65</v>
      </c>
      <c r="C506" s="1" t="s">
        <v>63</v>
      </c>
      <c r="D506" s="2">
        <v>44878</v>
      </c>
      <c r="E506" s="8" t="s">
        <v>23</v>
      </c>
      <c r="F506" s="8" t="s">
        <v>57</v>
      </c>
      <c r="G506" s="8" t="s">
        <v>32</v>
      </c>
      <c r="H506" t="s">
        <v>18</v>
      </c>
      <c r="I506" s="4">
        <v>4600</v>
      </c>
      <c r="J506" s="8">
        <v>3</v>
      </c>
      <c r="K506" s="4">
        <f t="shared" si="14"/>
        <v>13800</v>
      </c>
      <c r="L506" s="4">
        <f t="shared" si="15"/>
        <v>3450</v>
      </c>
      <c r="M506" s="3">
        <v>0.25</v>
      </c>
    </row>
    <row r="507" spans="2:13" x14ac:dyDescent="0.3">
      <c r="B507" t="s">
        <v>66</v>
      </c>
      <c r="C507" s="1" t="s">
        <v>64</v>
      </c>
      <c r="D507" s="2">
        <v>44885</v>
      </c>
      <c r="E507" s="8" t="s">
        <v>23</v>
      </c>
      <c r="F507" s="8" t="s">
        <v>57</v>
      </c>
      <c r="G507" s="8" t="s">
        <v>32</v>
      </c>
      <c r="H507" t="s">
        <v>19</v>
      </c>
      <c r="I507" s="4">
        <v>5340</v>
      </c>
      <c r="J507" s="8">
        <v>5</v>
      </c>
      <c r="K507" s="4">
        <f t="shared" si="14"/>
        <v>26700</v>
      </c>
      <c r="L507" s="4">
        <f t="shared" si="15"/>
        <v>8010</v>
      </c>
      <c r="M507" s="3">
        <v>0.3</v>
      </c>
    </row>
    <row r="508" spans="2:13" x14ac:dyDescent="0.3">
      <c r="B508" t="s">
        <v>62</v>
      </c>
      <c r="C508" s="1" t="s">
        <v>63</v>
      </c>
      <c r="D508" s="2">
        <v>44892</v>
      </c>
      <c r="E508" s="8" t="s">
        <v>23</v>
      </c>
      <c r="F508" s="8" t="s">
        <v>57</v>
      </c>
      <c r="G508" s="8" t="s">
        <v>32</v>
      </c>
      <c r="H508" t="s">
        <v>8</v>
      </c>
      <c r="I508" s="4">
        <v>1200</v>
      </c>
      <c r="J508" s="8">
        <v>4</v>
      </c>
      <c r="K508" s="4">
        <f t="shared" si="14"/>
        <v>4800</v>
      </c>
      <c r="L508" s="4">
        <f t="shared" si="15"/>
        <v>1440</v>
      </c>
      <c r="M508" s="3">
        <v>0.3</v>
      </c>
    </row>
    <row r="509" spans="2:13" x14ac:dyDescent="0.3">
      <c r="B509" t="s">
        <v>66</v>
      </c>
      <c r="C509" s="1" t="s">
        <v>63</v>
      </c>
      <c r="D509" s="2">
        <v>44899</v>
      </c>
      <c r="E509" s="8" t="s">
        <v>23</v>
      </c>
      <c r="F509" s="8" t="s">
        <v>57</v>
      </c>
      <c r="G509" s="8" t="s">
        <v>32</v>
      </c>
      <c r="H509" t="s">
        <v>9</v>
      </c>
      <c r="I509" s="4">
        <v>1500</v>
      </c>
      <c r="J509" s="8">
        <v>3</v>
      </c>
      <c r="K509" s="4">
        <f t="shared" si="14"/>
        <v>4500</v>
      </c>
      <c r="L509" s="4">
        <f t="shared" si="15"/>
        <v>1800</v>
      </c>
      <c r="M509" s="3">
        <v>0.4</v>
      </c>
    </row>
    <row r="510" spans="2:13" x14ac:dyDescent="0.3">
      <c r="B510" t="s">
        <v>62</v>
      </c>
      <c r="C510" s="1" t="s">
        <v>63</v>
      </c>
      <c r="D510" s="2">
        <v>44906</v>
      </c>
      <c r="E510" s="8" t="s">
        <v>23</v>
      </c>
      <c r="F510" s="8" t="s">
        <v>57</v>
      </c>
      <c r="G510" s="8" t="s">
        <v>32</v>
      </c>
      <c r="H510" t="s">
        <v>12</v>
      </c>
      <c r="I510" s="4">
        <v>500</v>
      </c>
      <c r="J510" s="8">
        <v>8</v>
      </c>
      <c r="K510" s="4">
        <f t="shared" si="14"/>
        <v>4000</v>
      </c>
      <c r="L510" s="4">
        <f t="shared" si="15"/>
        <v>1000</v>
      </c>
      <c r="M510" s="3">
        <v>0.25</v>
      </c>
    </row>
    <row r="511" spans="2:13" x14ac:dyDescent="0.3">
      <c r="B511" t="s">
        <v>61</v>
      </c>
      <c r="C511" s="1" t="s">
        <v>63</v>
      </c>
      <c r="D511" s="2">
        <v>44913</v>
      </c>
      <c r="E511" s="8" t="s">
        <v>23</v>
      </c>
      <c r="F511" s="8" t="s">
        <v>57</v>
      </c>
      <c r="G511" s="8" t="s">
        <v>32</v>
      </c>
      <c r="H511" t="s">
        <v>9</v>
      </c>
      <c r="I511" s="4">
        <v>1500</v>
      </c>
      <c r="J511" s="8">
        <v>9</v>
      </c>
      <c r="K511" s="4">
        <f t="shared" si="14"/>
        <v>13500</v>
      </c>
      <c r="L511" s="4">
        <f t="shared" si="15"/>
        <v>5400</v>
      </c>
      <c r="M511" s="3">
        <v>0.4</v>
      </c>
    </row>
    <row r="512" spans="2:13" x14ac:dyDescent="0.3">
      <c r="B512" t="s">
        <v>62</v>
      </c>
      <c r="C512" s="1" t="s">
        <v>63</v>
      </c>
      <c r="D512" s="2">
        <v>44920</v>
      </c>
      <c r="E512" s="8" t="s">
        <v>23</v>
      </c>
      <c r="F512" s="8" t="s">
        <v>57</v>
      </c>
      <c r="G512" s="8" t="s">
        <v>32</v>
      </c>
      <c r="H512" t="s">
        <v>11</v>
      </c>
      <c r="I512" s="4">
        <v>300</v>
      </c>
      <c r="J512" s="8">
        <v>11</v>
      </c>
      <c r="K512" s="4">
        <f t="shared" si="14"/>
        <v>3300</v>
      </c>
      <c r="L512" s="4">
        <f t="shared" si="15"/>
        <v>495</v>
      </c>
      <c r="M512" s="3">
        <v>0.15</v>
      </c>
    </row>
    <row r="513" spans="2:13" x14ac:dyDescent="0.3">
      <c r="B513" t="s">
        <v>60</v>
      </c>
      <c r="C513" s="1" t="s">
        <v>64</v>
      </c>
      <c r="D513" s="2">
        <v>44927</v>
      </c>
      <c r="E513" s="8" t="s">
        <v>23</v>
      </c>
      <c r="F513" s="8" t="s">
        <v>57</v>
      </c>
      <c r="G513" s="8" t="s">
        <v>32</v>
      </c>
      <c r="H513" t="s">
        <v>20</v>
      </c>
      <c r="I513" s="4">
        <v>8902</v>
      </c>
      <c r="J513" s="8">
        <v>12</v>
      </c>
      <c r="K513" s="4">
        <f t="shared" si="14"/>
        <v>106824</v>
      </c>
      <c r="L513" s="4">
        <f t="shared" si="15"/>
        <v>37388.399999999994</v>
      </c>
      <c r="M513" s="3">
        <v>0.35</v>
      </c>
    </row>
    <row r="514" spans="2:13" x14ac:dyDescent="0.3">
      <c r="B514" t="s">
        <v>60</v>
      </c>
      <c r="C514" s="1" t="s">
        <v>63</v>
      </c>
      <c r="D514" s="2">
        <v>44934</v>
      </c>
      <c r="E514" s="8" t="s">
        <v>23</v>
      </c>
      <c r="F514" s="8" t="s">
        <v>57</v>
      </c>
      <c r="G514" s="8" t="s">
        <v>32</v>
      </c>
      <c r="H514" t="s">
        <v>14</v>
      </c>
      <c r="I514" s="4">
        <v>4500</v>
      </c>
      <c r="J514" s="8">
        <v>10</v>
      </c>
      <c r="K514" s="4">
        <f t="shared" si="14"/>
        <v>45000</v>
      </c>
      <c r="L514" s="4">
        <f t="shared" si="15"/>
        <v>11250</v>
      </c>
      <c r="M514" s="3">
        <v>0.25</v>
      </c>
    </row>
    <row r="515" spans="2:13" x14ac:dyDescent="0.3">
      <c r="B515" t="s">
        <v>66</v>
      </c>
      <c r="C515" s="1" t="s">
        <v>63</v>
      </c>
      <c r="D515" s="2">
        <v>44941</v>
      </c>
      <c r="E515" s="8" t="s">
        <v>23</v>
      </c>
      <c r="F515" s="8" t="s">
        <v>57</v>
      </c>
      <c r="G515" s="8" t="s">
        <v>32</v>
      </c>
      <c r="H515" t="s">
        <v>8</v>
      </c>
      <c r="I515" s="4">
        <v>1200</v>
      </c>
      <c r="J515" s="8">
        <v>1</v>
      </c>
      <c r="K515" s="4">
        <f t="shared" ref="K515:K546" si="16">I515*J515</f>
        <v>1200</v>
      </c>
      <c r="L515" s="4">
        <f t="shared" ref="L515:L546" si="17">K515*M515</f>
        <v>360</v>
      </c>
      <c r="M515" s="3">
        <v>0.3</v>
      </c>
    </row>
    <row r="516" spans="2:13" x14ac:dyDescent="0.3">
      <c r="B516" t="s">
        <v>65</v>
      </c>
      <c r="C516" s="1" t="s">
        <v>64</v>
      </c>
      <c r="D516" s="2">
        <v>44948</v>
      </c>
      <c r="E516" s="8" t="s">
        <v>23</v>
      </c>
      <c r="F516" s="8" t="s">
        <v>57</v>
      </c>
      <c r="G516" s="8" t="s">
        <v>32</v>
      </c>
      <c r="H516" t="s">
        <v>12</v>
      </c>
      <c r="I516" s="4">
        <v>500</v>
      </c>
      <c r="J516" s="8">
        <v>5</v>
      </c>
      <c r="K516" s="4">
        <f t="shared" si="16"/>
        <v>2500</v>
      </c>
      <c r="L516" s="4">
        <f t="shared" si="17"/>
        <v>625</v>
      </c>
      <c r="M516" s="3">
        <v>0.25</v>
      </c>
    </row>
    <row r="517" spans="2:13" x14ac:dyDescent="0.3">
      <c r="B517" t="s">
        <v>65</v>
      </c>
      <c r="C517" s="1" t="s">
        <v>64</v>
      </c>
      <c r="D517" s="2">
        <v>44955</v>
      </c>
      <c r="E517" s="8" t="s">
        <v>23</v>
      </c>
      <c r="F517" s="8" t="s">
        <v>57</v>
      </c>
      <c r="G517" s="8" t="s">
        <v>32</v>
      </c>
      <c r="H517" t="s">
        <v>18</v>
      </c>
      <c r="I517" s="4">
        <v>4600</v>
      </c>
      <c r="J517" s="8">
        <v>12</v>
      </c>
      <c r="K517" s="4">
        <f t="shared" si="16"/>
        <v>55200</v>
      </c>
      <c r="L517" s="4">
        <f t="shared" si="17"/>
        <v>13800</v>
      </c>
      <c r="M517" s="3">
        <v>0.25</v>
      </c>
    </row>
    <row r="518" spans="2:13" x14ac:dyDescent="0.3">
      <c r="B518" t="s">
        <v>61</v>
      </c>
      <c r="C518" s="1" t="s">
        <v>64</v>
      </c>
      <c r="D518" s="2">
        <v>44962</v>
      </c>
      <c r="E518" s="8" t="s">
        <v>23</v>
      </c>
      <c r="F518" s="8" t="s">
        <v>57</v>
      </c>
      <c r="G518" s="8" t="s">
        <v>32</v>
      </c>
      <c r="H518" t="s">
        <v>18</v>
      </c>
      <c r="I518" s="4">
        <v>4600</v>
      </c>
      <c r="J518" s="8">
        <v>7</v>
      </c>
      <c r="K518" s="4">
        <f t="shared" si="16"/>
        <v>32200</v>
      </c>
      <c r="L518" s="4">
        <f t="shared" si="17"/>
        <v>8050</v>
      </c>
      <c r="M518" s="3">
        <v>0.25</v>
      </c>
    </row>
    <row r="519" spans="2:13" x14ac:dyDescent="0.3">
      <c r="B519" t="s">
        <v>60</v>
      </c>
      <c r="C519" s="1" t="s">
        <v>63</v>
      </c>
      <c r="D519" s="2">
        <v>44969</v>
      </c>
      <c r="E519" s="8" t="s">
        <v>23</v>
      </c>
      <c r="F519" s="8" t="s">
        <v>57</v>
      </c>
      <c r="G519" s="8" t="s">
        <v>32</v>
      </c>
      <c r="H519" t="s">
        <v>20</v>
      </c>
      <c r="I519" s="4">
        <v>8902</v>
      </c>
      <c r="J519" s="8">
        <v>9</v>
      </c>
      <c r="K519" s="4">
        <f t="shared" si="16"/>
        <v>80118</v>
      </c>
      <c r="L519" s="4">
        <f t="shared" si="17"/>
        <v>28041.3</v>
      </c>
      <c r="M519" s="3">
        <v>0.35</v>
      </c>
    </row>
    <row r="520" spans="2:13" x14ac:dyDescent="0.3">
      <c r="B520" t="s">
        <v>65</v>
      </c>
      <c r="C520" s="1" t="s">
        <v>64</v>
      </c>
      <c r="D520" s="2">
        <v>44976</v>
      </c>
      <c r="E520" s="8" t="s">
        <v>23</v>
      </c>
      <c r="F520" s="8" t="s">
        <v>57</v>
      </c>
      <c r="G520" s="8" t="s">
        <v>32</v>
      </c>
      <c r="H520" t="s">
        <v>11</v>
      </c>
      <c r="I520" s="4">
        <v>300</v>
      </c>
      <c r="J520" s="8">
        <v>5</v>
      </c>
      <c r="K520" s="4">
        <f t="shared" si="16"/>
        <v>1500</v>
      </c>
      <c r="L520" s="4">
        <f t="shared" si="17"/>
        <v>225</v>
      </c>
      <c r="M520" s="3">
        <v>0.15</v>
      </c>
    </row>
    <row r="521" spans="2:13" x14ac:dyDescent="0.3">
      <c r="B521" t="s">
        <v>66</v>
      </c>
      <c r="C521" s="1" t="s">
        <v>63</v>
      </c>
      <c r="D521" s="2">
        <v>44983</v>
      </c>
      <c r="E521" s="8" t="s">
        <v>23</v>
      </c>
      <c r="F521" s="8" t="s">
        <v>57</v>
      </c>
      <c r="G521" s="8" t="s">
        <v>32</v>
      </c>
      <c r="H521" t="s">
        <v>13</v>
      </c>
      <c r="I521" s="4">
        <v>3200</v>
      </c>
      <c r="J521" s="8">
        <v>2</v>
      </c>
      <c r="K521" s="4">
        <f t="shared" si="16"/>
        <v>6400</v>
      </c>
      <c r="L521" s="4">
        <f t="shared" si="17"/>
        <v>1280</v>
      </c>
      <c r="M521" s="3">
        <v>0.2</v>
      </c>
    </row>
    <row r="522" spans="2:13" x14ac:dyDescent="0.3">
      <c r="B522" t="s">
        <v>60</v>
      </c>
      <c r="C522" s="1" t="s">
        <v>63</v>
      </c>
      <c r="D522" s="2">
        <v>44990</v>
      </c>
      <c r="E522" s="8" t="s">
        <v>23</v>
      </c>
      <c r="F522" s="8" t="s">
        <v>57</v>
      </c>
      <c r="G522" s="8" t="s">
        <v>32</v>
      </c>
      <c r="H522" t="s">
        <v>14</v>
      </c>
      <c r="I522" s="4">
        <v>4500</v>
      </c>
      <c r="J522" s="8">
        <v>12</v>
      </c>
      <c r="K522" s="4">
        <f t="shared" si="16"/>
        <v>54000</v>
      </c>
      <c r="L522" s="4">
        <f t="shared" si="17"/>
        <v>13500</v>
      </c>
      <c r="M522" s="3">
        <v>0.25</v>
      </c>
    </row>
    <row r="523" spans="2:13" x14ac:dyDescent="0.3">
      <c r="B523" t="s">
        <v>61</v>
      </c>
      <c r="C523" s="1" t="s">
        <v>63</v>
      </c>
      <c r="D523" s="2">
        <v>44997</v>
      </c>
      <c r="E523" s="8" t="s">
        <v>23</v>
      </c>
      <c r="F523" s="8" t="s">
        <v>57</v>
      </c>
      <c r="G523" s="8" t="s">
        <v>32</v>
      </c>
      <c r="H523" t="s">
        <v>10</v>
      </c>
      <c r="I523" s="4">
        <v>1700</v>
      </c>
      <c r="J523" s="8">
        <v>12</v>
      </c>
      <c r="K523" s="4">
        <f t="shared" si="16"/>
        <v>20400</v>
      </c>
      <c r="L523" s="4">
        <f t="shared" si="17"/>
        <v>10200</v>
      </c>
      <c r="M523" s="3">
        <v>0.5</v>
      </c>
    </row>
    <row r="524" spans="2:13" x14ac:dyDescent="0.3">
      <c r="B524" t="s">
        <v>62</v>
      </c>
      <c r="C524" s="1" t="s">
        <v>63</v>
      </c>
      <c r="D524" s="2">
        <v>45004</v>
      </c>
      <c r="E524" s="8" t="s">
        <v>23</v>
      </c>
      <c r="F524" s="8" t="s">
        <v>57</v>
      </c>
      <c r="G524" s="8" t="s">
        <v>32</v>
      </c>
      <c r="H524" t="s">
        <v>13</v>
      </c>
      <c r="I524" s="4">
        <v>3200</v>
      </c>
      <c r="J524" s="8">
        <v>8</v>
      </c>
      <c r="K524" s="4">
        <f t="shared" si="16"/>
        <v>25600</v>
      </c>
      <c r="L524" s="4">
        <f t="shared" si="17"/>
        <v>5120</v>
      </c>
      <c r="M524" s="3">
        <v>0.2</v>
      </c>
    </row>
    <row r="525" spans="2:13" x14ac:dyDescent="0.3">
      <c r="B525" t="s">
        <v>60</v>
      </c>
      <c r="C525" s="1" t="s">
        <v>64</v>
      </c>
      <c r="D525" s="2">
        <v>45011</v>
      </c>
      <c r="E525" s="8" t="s">
        <v>23</v>
      </c>
      <c r="F525" s="8" t="s">
        <v>57</v>
      </c>
      <c r="G525" s="8" t="s">
        <v>32</v>
      </c>
      <c r="H525" t="s">
        <v>11</v>
      </c>
      <c r="I525" s="4">
        <v>300</v>
      </c>
      <c r="J525" s="8">
        <v>7</v>
      </c>
      <c r="K525" s="4">
        <f t="shared" si="16"/>
        <v>2100</v>
      </c>
      <c r="L525" s="4">
        <f t="shared" si="17"/>
        <v>315</v>
      </c>
      <c r="M525" s="3">
        <v>0.15</v>
      </c>
    </row>
    <row r="526" spans="2:13" x14ac:dyDescent="0.3">
      <c r="B526" t="s">
        <v>65</v>
      </c>
      <c r="C526" s="1" t="s">
        <v>63</v>
      </c>
      <c r="D526" s="2">
        <v>45018</v>
      </c>
      <c r="E526" s="8" t="s">
        <v>23</v>
      </c>
      <c r="F526" s="8" t="s">
        <v>57</v>
      </c>
      <c r="G526" s="8" t="s">
        <v>32</v>
      </c>
      <c r="H526" t="s">
        <v>16</v>
      </c>
      <c r="I526" s="4">
        <v>3400</v>
      </c>
      <c r="J526" s="8">
        <v>12</v>
      </c>
      <c r="K526" s="4">
        <f t="shared" si="16"/>
        <v>40800</v>
      </c>
      <c r="L526" s="4">
        <f t="shared" si="17"/>
        <v>14280</v>
      </c>
      <c r="M526" s="3">
        <v>0.35</v>
      </c>
    </row>
    <row r="527" spans="2:13" x14ac:dyDescent="0.3">
      <c r="B527" t="s">
        <v>65</v>
      </c>
      <c r="C527" s="1" t="s">
        <v>64</v>
      </c>
      <c r="D527" s="2">
        <v>45025</v>
      </c>
      <c r="E527" s="8" t="s">
        <v>23</v>
      </c>
      <c r="F527" s="8" t="s">
        <v>57</v>
      </c>
      <c r="G527" s="8" t="s">
        <v>32</v>
      </c>
      <c r="H527" t="s">
        <v>18</v>
      </c>
      <c r="I527" s="4">
        <v>4600</v>
      </c>
      <c r="J527" s="8">
        <v>3</v>
      </c>
      <c r="K527" s="4">
        <f t="shared" si="16"/>
        <v>13800</v>
      </c>
      <c r="L527" s="4">
        <f t="shared" si="17"/>
        <v>3450</v>
      </c>
      <c r="M527" s="3">
        <v>0.25</v>
      </c>
    </row>
    <row r="528" spans="2:13" x14ac:dyDescent="0.3">
      <c r="B528" t="s">
        <v>60</v>
      </c>
      <c r="C528" s="1" t="s">
        <v>63</v>
      </c>
      <c r="D528" s="2">
        <v>45032</v>
      </c>
      <c r="E528" s="8" t="s">
        <v>23</v>
      </c>
      <c r="F528" s="8" t="s">
        <v>57</v>
      </c>
      <c r="G528" s="8" t="s">
        <v>32</v>
      </c>
      <c r="H528" t="s">
        <v>16</v>
      </c>
      <c r="I528" s="4">
        <v>3400</v>
      </c>
      <c r="J528" s="8">
        <v>3</v>
      </c>
      <c r="K528" s="4">
        <f t="shared" si="16"/>
        <v>10200</v>
      </c>
      <c r="L528" s="4">
        <f t="shared" si="17"/>
        <v>3570</v>
      </c>
      <c r="M528" s="3">
        <v>0.35</v>
      </c>
    </row>
    <row r="529" spans="2:13" x14ac:dyDescent="0.3">
      <c r="B529" t="s">
        <v>65</v>
      </c>
      <c r="C529" s="1" t="s">
        <v>63</v>
      </c>
      <c r="D529" s="2">
        <v>45039</v>
      </c>
      <c r="E529" s="8" t="s">
        <v>23</v>
      </c>
      <c r="F529" s="8" t="s">
        <v>57</v>
      </c>
      <c r="G529" s="8" t="s">
        <v>32</v>
      </c>
      <c r="H529" t="s">
        <v>10</v>
      </c>
      <c r="I529" s="4">
        <v>1700</v>
      </c>
      <c r="J529" s="8">
        <v>3</v>
      </c>
      <c r="K529" s="4">
        <f t="shared" si="16"/>
        <v>5100</v>
      </c>
      <c r="L529" s="4">
        <f t="shared" si="17"/>
        <v>2550</v>
      </c>
      <c r="M529" s="3">
        <v>0.5</v>
      </c>
    </row>
    <row r="530" spans="2:13" x14ac:dyDescent="0.3">
      <c r="B530" t="s">
        <v>62</v>
      </c>
      <c r="C530" s="1" t="s">
        <v>64</v>
      </c>
      <c r="D530" s="2">
        <v>45046</v>
      </c>
      <c r="E530" s="8" t="s">
        <v>23</v>
      </c>
      <c r="F530" s="8" t="s">
        <v>57</v>
      </c>
      <c r="G530" s="8" t="s">
        <v>32</v>
      </c>
      <c r="H530" t="s">
        <v>13</v>
      </c>
      <c r="I530" s="4">
        <v>3200</v>
      </c>
      <c r="J530" s="8">
        <v>8</v>
      </c>
      <c r="K530" s="4">
        <f t="shared" si="16"/>
        <v>25600</v>
      </c>
      <c r="L530" s="4">
        <f t="shared" si="17"/>
        <v>5120</v>
      </c>
      <c r="M530" s="3">
        <v>0.2</v>
      </c>
    </row>
    <row r="531" spans="2:13" x14ac:dyDescent="0.3">
      <c r="B531" t="s">
        <v>65</v>
      </c>
      <c r="C531" s="1" t="s">
        <v>63</v>
      </c>
      <c r="D531" s="2">
        <v>45053</v>
      </c>
      <c r="E531" s="8" t="s">
        <v>23</v>
      </c>
      <c r="F531" s="8" t="s">
        <v>57</v>
      </c>
      <c r="G531" s="8" t="s">
        <v>32</v>
      </c>
      <c r="H531" t="s">
        <v>20</v>
      </c>
      <c r="I531" s="4">
        <v>8902</v>
      </c>
      <c r="J531" s="8">
        <v>7</v>
      </c>
      <c r="K531" s="4">
        <f t="shared" si="16"/>
        <v>62314</v>
      </c>
      <c r="L531" s="4">
        <f t="shared" si="17"/>
        <v>21809.899999999998</v>
      </c>
      <c r="M531" s="3">
        <v>0.35</v>
      </c>
    </row>
    <row r="532" spans="2:13" x14ac:dyDescent="0.3">
      <c r="B532" t="s">
        <v>65</v>
      </c>
      <c r="C532" s="1" t="s">
        <v>63</v>
      </c>
      <c r="D532" s="2">
        <v>45060</v>
      </c>
      <c r="E532" s="8" t="s">
        <v>23</v>
      </c>
      <c r="F532" s="8" t="s">
        <v>57</v>
      </c>
      <c r="G532" s="8" t="s">
        <v>32</v>
      </c>
      <c r="H532" t="s">
        <v>14</v>
      </c>
      <c r="I532" s="4">
        <v>4500</v>
      </c>
      <c r="J532" s="8">
        <v>10</v>
      </c>
      <c r="K532" s="4">
        <f t="shared" si="16"/>
        <v>45000</v>
      </c>
      <c r="L532" s="4">
        <f t="shared" si="17"/>
        <v>11250</v>
      </c>
      <c r="M532" s="3">
        <v>0.25</v>
      </c>
    </row>
    <row r="533" spans="2:13" x14ac:dyDescent="0.3">
      <c r="B533" t="s">
        <v>65</v>
      </c>
      <c r="C533" s="1" t="s">
        <v>63</v>
      </c>
      <c r="D533" s="2">
        <v>45067</v>
      </c>
      <c r="E533" s="8" t="s">
        <v>23</v>
      </c>
      <c r="F533" s="8" t="s">
        <v>57</v>
      </c>
      <c r="G533" s="8" t="s">
        <v>32</v>
      </c>
      <c r="H533" t="s">
        <v>17</v>
      </c>
      <c r="I533" s="4">
        <v>5130</v>
      </c>
      <c r="J533" s="8">
        <v>6</v>
      </c>
      <c r="K533" s="4">
        <f t="shared" si="16"/>
        <v>30780</v>
      </c>
      <c r="L533" s="4">
        <f t="shared" si="17"/>
        <v>12312</v>
      </c>
      <c r="M533" s="3">
        <v>0.4</v>
      </c>
    </row>
    <row r="534" spans="2:13" x14ac:dyDescent="0.3">
      <c r="B534" t="s">
        <v>62</v>
      </c>
      <c r="C534" s="1" t="s">
        <v>63</v>
      </c>
      <c r="D534" s="2">
        <v>45074</v>
      </c>
      <c r="E534" s="8" t="s">
        <v>23</v>
      </c>
      <c r="F534" s="8" t="s">
        <v>57</v>
      </c>
      <c r="G534" s="8" t="s">
        <v>32</v>
      </c>
      <c r="H534" t="s">
        <v>20</v>
      </c>
      <c r="I534" s="4">
        <v>8902</v>
      </c>
      <c r="J534" s="8">
        <v>1</v>
      </c>
      <c r="K534" s="4">
        <f t="shared" si="16"/>
        <v>8902</v>
      </c>
      <c r="L534" s="4">
        <f t="shared" si="17"/>
        <v>3115.7</v>
      </c>
      <c r="M534" s="3">
        <v>0.35</v>
      </c>
    </row>
    <row r="535" spans="2:13" x14ac:dyDescent="0.3">
      <c r="B535" t="s">
        <v>62</v>
      </c>
      <c r="C535" s="1" t="s">
        <v>64</v>
      </c>
      <c r="D535" s="2">
        <v>45081</v>
      </c>
      <c r="E535" s="8" t="s">
        <v>23</v>
      </c>
      <c r="F535" s="8" t="s">
        <v>57</v>
      </c>
      <c r="G535" s="8" t="s">
        <v>32</v>
      </c>
      <c r="H535" t="s">
        <v>11</v>
      </c>
      <c r="I535" s="4">
        <v>300</v>
      </c>
      <c r="J535" s="8">
        <v>4</v>
      </c>
      <c r="K535" s="4">
        <f t="shared" si="16"/>
        <v>1200</v>
      </c>
      <c r="L535" s="4">
        <f t="shared" si="17"/>
        <v>180</v>
      </c>
      <c r="M535" s="3">
        <v>0.15</v>
      </c>
    </row>
    <row r="536" spans="2:13" x14ac:dyDescent="0.3">
      <c r="B536" t="s">
        <v>60</v>
      </c>
      <c r="C536" s="1" t="s">
        <v>63</v>
      </c>
      <c r="D536" s="2">
        <v>45088</v>
      </c>
      <c r="E536" s="8" t="s">
        <v>23</v>
      </c>
      <c r="F536" s="8" t="s">
        <v>57</v>
      </c>
      <c r="G536" s="8" t="s">
        <v>32</v>
      </c>
      <c r="H536" t="s">
        <v>9</v>
      </c>
      <c r="I536" s="4">
        <v>1500</v>
      </c>
      <c r="J536" s="8">
        <v>10</v>
      </c>
      <c r="K536" s="4">
        <f t="shared" si="16"/>
        <v>15000</v>
      </c>
      <c r="L536" s="4">
        <f t="shared" si="17"/>
        <v>6000</v>
      </c>
      <c r="M536" s="3">
        <v>0.4</v>
      </c>
    </row>
    <row r="537" spans="2:13" x14ac:dyDescent="0.3">
      <c r="B537" t="s">
        <v>60</v>
      </c>
      <c r="C537" s="1" t="s">
        <v>64</v>
      </c>
      <c r="D537" s="2">
        <v>45095</v>
      </c>
      <c r="E537" s="8" t="s">
        <v>23</v>
      </c>
      <c r="F537" s="8" t="s">
        <v>57</v>
      </c>
      <c r="G537" s="8" t="s">
        <v>32</v>
      </c>
      <c r="H537" t="s">
        <v>9</v>
      </c>
      <c r="I537" s="4">
        <v>1500</v>
      </c>
      <c r="J537" s="8">
        <v>10</v>
      </c>
      <c r="K537" s="4">
        <f t="shared" si="16"/>
        <v>15000</v>
      </c>
      <c r="L537" s="4">
        <f t="shared" si="17"/>
        <v>6000</v>
      </c>
      <c r="M537" s="3">
        <v>0.4</v>
      </c>
    </row>
    <row r="538" spans="2:13" x14ac:dyDescent="0.3">
      <c r="B538" t="s">
        <v>65</v>
      </c>
      <c r="C538" s="1" t="s">
        <v>63</v>
      </c>
      <c r="D538" s="2">
        <v>45102</v>
      </c>
      <c r="E538" s="8" t="s">
        <v>23</v>
      </c>
      <c r="F538" s="8" t="s">
        <v>57</v>
      </c>
      <c r="G538" s="8" t="s">
        <v>32</v>
      </c>
      <c r="H538" t="s">
        <v>8</v>
      </c>
      <c r="I538" s="4">
        <v>1200</v>
      </c>
      <c r="J538" s="8">
        <v>8</v>
      </c>
      <c r="K538" s="4">
        <f t="shared" si="16"/>
        <v>9600</v>
      </c>
      <c r="L538" s="4">
        <f t="shared" si="17"/>
        <v>2880</v>
      </c>
      <c r="M538" s="3">
        <v>0.3</v>
      </c>
    </row>
    <row r="539" spans="2:13" x14ac:dyDescent="0.3">
      <c r="B539" t="s">
        <v>60</v>
      </c>
      <c r="C539" s="1" t="s">
        <v>63</v>
      </c>
      <c r="D539" s="2">
        <v>45109</v>
      </c>
      <c r="E539" s="8" t="s">
        <v>23</v>
      </c>
      <c r="F539" s="8" t="s">
        <v>57</v>
      </c>
      <c r="G539" s="8" t="s">
        <v>32</v>
      </c>
      <c r="H539" t="s">
        <v>12</v>
      </c>
      <c r="I539" s="4">
        <v>500</v>
      </c>
      <c r="J539" s="8">
        <v>7</v>
      </c>
      <c r="K539" s="4">
        <f t="shared" si="16"/>
        <v>3500</v>
      </c>
      <c r="L539" s="4">
        <f t="shared" si="17"/>
        <v>875</v>
      </c>
      <c r="M539" s="3">
        <v>0.25</v>
      </c>
    </row>
    <row r="540" spans="2:13" x14ac:dyDescent="0.3">
      <c r="B540" t="s">
        <v>65</v>
      </c>
      <c r="C540" s="1" t="s">
        <v>63</v>
      </c>
      <c r="D540" s="2">
        <v>45116</v>
      </c>
      <c r="E540" s="8" t="s">
        <v>23</v>
      </c>
      <c r="F540" s="8" t="s">
        <v>57</v>
      </c>
      <c r="G540" s="8" t="s">
        <v>32</v>
      </c>
      <c r="H540" t="s">
        <v>9</v>
      </c>
      <c r="I540" s="4">
        <v>1500</v>
      </c>
      <c r="J540" s="8">
        <v>2</v>
      </c>
      <c r="K540" s="4">
        <f t="shared" si="16"/>
        <v>3000</v>
      </c>
      <c r="L540" s="4">
        <f t="shared" si="17"/>
        <v>1200</v>
      </c>
      <c r="M540" s="3">
        <v>0.4</v>
      </c>
    </row>
    <row r="541" spans="2:13" x14ac:dyDescent="0.3">
      <c r="B541" t="s">
        <v>66</v>
      </c>
      <c r="C541" s="1" t="s">
        <v>64</v>
      </c>
      <c r="D541" s="2">
        <v>45123</v>
      </c>
      <c r="E541" s="8" t="s">
        <v>23</v>
      </c>
      <c r="F541" s="8" t="s">
        <v>57</v>
      </c>
      <c r="G541" s="8" t="s">
        <v>32</v>
      </c>
      <c r="H541" t="s">
        <v>12</v>
      </c>
      <c r="I541" s="4">
        <v>500</v>
      </c>
      <c r="J541" s="8">
        <v>4</v>
      </c>
      <c r="K541" s="4">
        <f t="shared" si="16"/>
        <v>2000</v>
      </c>
      <c r="L541" s="4">
        <f t="shared" si="17"/>
        <v>500</v>
      </c>
      <c r="M541" s="3">
        <v>0.25</v>
      </c>
    </row>
    <row r="542" spans="2:13" x14ac:dyDescent="0.3">
      <c r="B542" t="s">
        <v>65</v>
      </c>
      <c r="C542" s="1" t="s">
        <v>63</v>
      </c>
      <c r="D542" s="2">
        <v>45130</v>
      </c>
      <c r="E542" s="8" t="s">
        <v>23</v>
      </c>
      <c r="F542" s="8" t="s">
        <v>57</v>
      </c>
      <c r="G542" s="8" t="s">
        <v>32</v>
      </c>
      <c r="H542" t="s">
        <v>12</v>
      </c>
      <c r="I542" s="4">
        <v>500</v>
      </c>
      <c r="J542" s="8">
        <v>5</v>
      </c>
      <c r="K542" s="4">
        <f t="shared" si="16"/>
        <v>2500</v>
      </c>
      <c r="L542" s="4">
        <f t="shared" si="17"/>
        <v>625</v>
      </c>
      <c r="M542" s="3">
        <v>0.25</v>
      </c>
    </row>
    <row r="543" spans="2:13" x14ac:dyDescent="0.3">
      <c r="B543" t="s">
        <v>60</v>
      </c>
      <c r="C543" s="1" t="s">
        <v>63</v>
      </c>
      <c r="D543" s="2">
        <v>45137</v>
      </c>
      <c r="E543" s="8" t="s">
        <v>23</v>
      </c>
      <c r="F543" s="8" t="s">
        <v>57</v>
      </c>
      <c r="G543" s="8" t="s">
        <v>32</v>
      </c>
      <c r="H543" t="s">
        <v>15</v>
      </c>
      <c r="I543" s="4">
        <v>5300</v>
      </c>
      <c r="J543" s="8">
        <v>11</v>
      </c>
      <c r="K543" s="4">
        <f t="shared" si="16"/>
        <v>58300</v>
      </c>
      <c r="L543" s="4">
        <f t="shared" si="17"/>
        <v>17490</v>
      </c>
      <c r="M543" s="3">
        <v>0.3</v>
      </c>
    </row>
    <row r="544" spans="2:13" x14ac:dyDescent="0.3">
      <c r="B544" t="s">
        <v>60</v>
      </c>
      <c r="C544" s="1" t="s">
        <v>64</v>
      </c>
      <c r="D544" s="2">
        <v>45144</v>
      </c>
      <c r="E544" s="8" t="s">
        <v>23</v>
      </c>
      <c r="F544" s="8" t="s">
        <v>57</v>
      </c>
      <c r="G544" s="8" t="s">
        <v>32</v>
      </c>
      <c r="H544" t="s">
        <v>15</v>
      </c>
      <c r="I544" s="4">
        <v>5300</v>
      </c>
      <c r="J544" s="8">
        <v>11</v>
      </c>
      <c r="K544" s="4">
        <f t="shared" si="16"/>
        <v>58300</v>
      </c>
      <c r="L544" s="4">
        <f t="shared" si="17"/>
        <v>17490</v>
      </c>
      <c r="M544" s="3">
        <v>0.3</v>
      </c>
    </row>
    <row r="545" spans="2:13" x14ac:dyDescent="0.3">
      <c r="B545" t="s">
        <v>61</v>
      </c>
      <c r="C545" s="1" t="s">
        <v>64</v>
      </c>
      <c r="D545" s="2">
        <v>45151</v>
      </c>
      <c r="E545" s="8" t="s">
        <v>23</v>
      </c>
      <c r="F545" s="8" t="s">
        <v>57</v>
      </c>
      <c r="G545" s="8" t="s">
        <v>32</v>
      </c>
      <c r="H545" t="s">
        <v>18</v>
      </c>
      <c r="I545" s="4">
        <v>4600</v>
      </c>
      <c r="J545" s="8">
        <v>1</v>
      </c>
      <c r="K545" s="4">
        <f t="shared" si="16"/>
        <v>4600</v>
      </c>
      <c r="L545" s="4">
        <f t="shared" si="17"/>
        <v>1150</v>
      </c>
      <c r="M545" s="3">
        <v>0.25</v>
      </c>
    </row>
    <row r="546" spans="2:13" x14ac:dyDescent="0.3">
      <c r="B546" t="s">
        <v>60</v>
      </c>
      <c r="C546" s="1" t="s">
        <v>63</v>
      </c>
      <c r="D546" s="2">
        <v>45158</v>
      </c>
      <c r="E546" s="8" t="s">
        <v>23</v>
      </c>
      <c r="F546" s="8" t="s">
        <v>57</v>
      </c>
      <c r="G546" s="8" t="s">
        <v>32</v>
      </c>
      <c r="H546" t="s">
        <v>20</v>
      </c>
      <c r="I546" s="4">
        <v>8902</v>
      </c>
      <c r="J546" s="8">
        <v>17</v>
      </c>
      <c r="K546" s="4">
        <f t="shared" si="16"/>
        <v>151334</v>
      </c>
      <c r="L546" s="4">
        <f t="shared" si="17"/>
        <v>52966.899999999994</v>
      </c>
      <c r="M546" s="3">
        <v>0.35</v>
      </c>
    </row>
    <row r="547" spans="2:13" x14ac:dyDescent="0.3">
      <c r="B547" t="s">
        <v>65</v>
      </c>
      <c r="C547" s="1" t="s">
        <v>63</v>
      </c>
      <c r="D547" s="2">
        <v>45165</v>
      </c>
      <c r="E547" s="8" t="s">
        <v>23</v>
      </c>
      <c r="F547" s="8" t="s">
        <v>57</v>
      </c>
      <c r="G547" s="8" t="s">
        <v>32</v>
      </c>
      <c r="H547" t="s">
        <v>18</v>
      </c>
      <c r="I547" s="4">
        <v>4600</v>
      </c>
      <c r="J547" s="8">
        <v>6</v>
      </c>
      <c r="K547" s="4">
        <f t="shared" ref="K547" si="18">I547*J547</f>
        <v>27600</v>
      </c>
      <c r="L547" s="4">
        <f t="shared" ref="L547" si="19">K547*M547</f>
        <v>6900</v>
      </c>
      <c r="M547" s="3">
        <v>0.25</v>
      </c>
    </row>
    <row r="548" spans="2:13" x14ac:dyDescent="0.3">
      <c r="B548" t="s">
        <v>62</v>
      </c>
      <c r="C548" s="1" t="s">
        <v>63</v>
      </c>
      <c r="D548" s="2">
        <v>44766</v>
      </c>
      <c r="E548" s="8" t="s">
        <v>23</v>
      </c>
      <c r="F548" s="8" t="s">
        <v>68</v>
      </c>
      <c r="G548" s="8" t="s">
        <v>22</v>
      </c>
      <c r="H548" t="s">
        <v>15</v>
      </c>
      <c r="I548" s="4">
        <v>5300</v>
      </c>
      <c r="J548" s="8">
        <v>9</v>
      </c>
      <c r="K548" s="4">
        <v>47700</v>
      </c>
      <c r="L548" s="4">
        <v>14310</v>
      </c>
      <c r="M548" s="3">
        <v>0.3</v>
      </c>
    </row>
    <row r="549" spans="2:13" x14ac:dyDescent="0.3">
      <c r="B549" t="s">
        <v>60</v>
      </c>
      <c r="C549" s="1" t="s">
        <v>63</v>
      </c>
      <c r="D549" s="2">
        <v>44773</v>
      </c>
      <c r="E549" s="8" t="s">
        <v>23</v>
      </c>
      <c r="F549" s="8" t="s">
        <v>68</v>
      </c>
      <c r="G549" s="8" t="s">
        <v>22</v>
      </c>
      <c r="H549" t="s">
        <v>8</v>
      </c>
      <c r="I549" s="4">
        <v>1200</v>
      </c>
      <c r="J549" s="8">
        <v>3</v>
      </c>
      <c r="K549" s="4">
        <v>3600</v>
      </c>
      <c r="L549" s="4">
        <v>1080</v>
      </c>
      <c r="M549" s="3">
        <v>0.3</v>
      </c>
    </row>
    <row r="550" spans="2:13" x14ac:dyDescent="0.3">
      <c r="B550" t="s">
        <v>65</v>
      </c>
      <c r="C550" s="1" t="s">
        <v>63</v>
      </c>
      <c r="D550" s="2">
        <v>44780</v>
      </c>
      <c r="E550" s="8" t="s">
        <v>23</v>
      </c>
      <c r="F550" s="8" t="s">
        <v>68</v>
      </c>
      <c r="G550" s="8" t="s">
        <v>22</v>
      </c>
      <c r="H550" t="s">
        <v>11</v>
      </c>
      <c r="I550" s="4">
        <v>300</v>
      </c>
      <c r="J550" s="8">
        <v>6</v>
      </c>
      <c r="K550" s="4">
        <v>1800</v>
      </c>
      <c r="L550" s="4">
        <v>270</v>
      </c>
      <c r="M550" s="3">
        <v>0.15</v>
      </c>
    </row>
    <row r="551" spans="2:13" x14ac:dyDescent="0.3">
      <c r="B551" t="s">
        <v>65</v>
      </c>
      <c r="C551" s="1" t="s">
        <v>64</v>
      </c>
      <c r="D551" s="2">
        <v>44787</v>
      </c>
      <c r="E551" s="8" t="s">
        <v>23</v>
      </c>
      <c r="F551" s="8" t="s">
        <v>68</v>
      </c>
      <c r="G551" s="8" t="s">
        <v>22</v>
      </c>
      <c r="H551" t="s">
        <v>14</v>
      </c>
      <c r="I551" s="4">
        <v>4500</v>
      </c>
      <c r="J551" s="8">
        <v>6</v>
      </c>
      <c r="K551" s="4">
        <v>27000</v>
      </c>
      <c r="L551" s="4">
        <v>6750</v>
      </c>
      <c r="M551" s="3">
        <v>0.25</v>
      </c>
    </row>
    <row r="552" spans="2:13" x14ac:dyDescent="0.3">
      <c r="B552" t="s">
        <v>65</v>
      </c>
      <c r="C552" s="1" t="s">
        <v>64</v>
      </c>
      <c r="D552" s="2">
        <v>44794</v>
      </c>
      <c r="E552" s="8" t="s">
        <v>23</v>
      </c>
      <c r="F552" s="8" t="s">
        <v>68</v>
      </c>
      <c r="G552" s="8" t="s">
        <v>22</v>
      </c>
      <c r="H552" t="s">
        <v>9</v>
      </c>
      <c r="I552" s="4">
        <v>1500</v>
      </c>
      <c r="J552" s="8">
        <v>5</v>
      </c>
      <c r="K552" s="4">
        <v>7500</v>
      </c>
      <c r="L552" s="4">
        <v>3000</v>
      </c>
      <c r="M552" s="3">
        <v>0.4</v>
      </c>
    </row>
    <row r="553" spans="2:13" x14ac:dyDescent="0.3">
      <c r="B553" t="s">
        <v>65</v>
      </c>
      <c r="C553" s="1" t="s">
        <v>64</v>
      </c>
      <c r="D553" s="2">
        <v>44801</v>
      </c>
      <c r="E553" s="8" t="s">
        <v>23</v>
      </c>
      <c r="F553" s="8" t="s">
        <v>68</v>
      </c>
      <c r="G553" s="8" t="s">
        <v>22</v>
      </c>
      <c r="H553" t="s">
        <v>14</v>
      </c>
      <c r="I553" s="4">
        <v>4500</v>
      </c>
      <c r="J553" s="8">
        <v>7</v>
      </c>
      <c r="K553" s="4">
        <v>31500</v>
      </c>
      <c r="L553" s="4">
        <v>7875</v>
      </c>
      <c r="M553" s="3">
        <v>0.25</v>
      </c>
    </row>
    <row r="554" spans="2:13" x14ac:dyDescent="0.3">
      <c r="B554" t="s">
        <v>65</v>
      </c>
      <c r="C554" s="1" t="s">
        <v>63</v>
      </c>
      <c r="D554" s="2">
        <v>44808</v>
      </c>
      <c r="E554" s="8" t="s">
        <v>23</v>
      </c>
      <c r="F554" s="8" t="s">
        <v>68</v>
      </c>
      <c r="G554" s="8" t="s">
        <v>22</v>
      </c>
      <c r="H554" t="s">
        <v>13</v>
      </c>
      <c r="I554" s="4">
        <v>3200</v>
      </c>
      <c r="J554" s="8">
        <v>7</v>
      </c>
      <c r="K554" s="4">
        <v>22400</v>
      </c>
      <c r="L554" s="4">
        <v>4480</v>
      </c>
      <c r="M554" s="3">
        <v>0.2</v>
      </c>
    </row>
    <row r="555" spans="2:13" x14ac:dyDescent="0.3">
      <c r="B555" t="s">
        <v>65</v>
      </c>
      <c r="C555" s="1" t="s">
        <v>63</v>
      </c>
      <c r="D555" s="2">
        <v>44815</v>
      </c>
      <c r="E555" s="8" t="s">
        <v>23</v>
      </c>
      <c r="F555" s="8" t="s">
        <v>68</v>
      </c>
      <c r="G555" s="8" t="s">
        <v>22</v>
      </c>
      <c r="H555" t="s">
        <v>9</v>
      </c>
      <c r="I555" s="4">
        <v>1500</v>
      </c>
      <c r="J555" s="8">
        <v>9</v>
      </c>
      <c r="K555" s="4">
        <v>13500</v>
      </c>
      <c r="L555" s="4">
        <v>5400</v>
      </c>
      <c r="M555" s="3">
        <v>0.4</v>
      </c>
    </row>
    <row r="556" spans="2:13" x14ac:dyDescent="0.3">
      <c r="B556" t="s">
        <v>60</v>
      </c>
      <c r="C556" s="1" t="s">
        <v>63</v>
      </c>
      <c r="D556" s="2">
        <v>44822</v>
      </c>
      <c r="E556" s="8" t="s">
        <v>23</v>
      </c>
      <c r="F556" s="8" t="s">
        <v>68</v>
      </c>
      <c r="G556" s="8" t="s">
        <v>22</v>
      </c>
      <c r="H556" t="s">
        <v>12</v>
      </c>
      <c r="I556" s="4">
        <v>500</v>
      </c>
      <c r="J556" s="8">
        <v>2</v>
      </c>
      <c r="K556" s="4">
        <v>1000</v>
      </c>
      <c r="L556" s="4">
        <v>250</v>
      </c>
      <c r="M556" s="3">
        <v>0.25</v>
      </c>
    </row>
    <row r="557" spans="2:13" x14ac:dyDescent="0.3">
      <c r="B557" t="s">
        <v>65</v>
      </c>
      <c r="C557" s="1" t="s">
        <v>64</v>
      </c>
      <c r="D557" s="2">
        <v>44829</v>
      </c>
      <c r="E557" s="8" t="s">
        <v>23</v>
      </c>
      <c r="F557" s="8" t="s">
        <v>68</v>
      </c>
      <c r="G557" s="8" t="s">
        <v>22</v>
      </c>
      <c r="H557" t="s">
        <v>12</v>
      </c>
      <c r="I557" s="4">
        <v>500</v>
      </c>
      <c r="J557" s="8">
        <v>9</v>
      </c>
      <c r="K557" s="4">
        <v>4500</v>
      </c>
      <c r="L557" s="4">
        <v>1125</v>
      </c>
      <c r="M557" s="3">
        <v>0.25</v>
      </c>
    </row>
    <row r="558" spans="2:13" x14ac:dyDescent="0.3">
      <c r="B558" t="s">
        <v>65</v>
      </c>
      <c r="C558" s="1" t="s">
        <v>63</v>
      </c>
      <c r="D558" s="2">
        <v>44836</v>
      </c>
      <c r="E558" s="8" t="s">
        <v>23</v>
      </c>
      <c r="F558" s="8" t="s">
        <v>68</v>
      </c>
      <c r="G558" s="8" t="s">
        <v>22</v>
      </c>
      <c r="H558" t="s">
        <v>15</v>
      </c>
      <c r="I558" s="4">
        <v>5300</v>
      </c>
      <c r="J558" s="8">
        <v>4</v>
      </c>
      <c r="K558" s="4">
        <v>21200</v>
      </c>
      <c r="L558" s="4">
        <v>6360</v>
      </c>
      <c r="M558" s="3">
        <v>0.3</v>
      </c>
    </row>
    <row r="559" spans="2:13" x14ac:dyDescent="0.3">
      <c r="B559" t="s">
        <v>60</v>
      </c>
      <c r="C559" s="1" t="s">
        <v>63</v>
      </c>
      <c r="D559" s="2">
        <v>44843</v>
      </c>
      <c r="E559" s="8" t="s">
        <v>23</v>
      </c>
      <c r="F559" s="8" t="s">
        <v>68</v>
      </c>
      <c r="G559" s="8" t="s">
        <v>22</v>
      </c>
      <c r="H559" t="s">
        <v>18</v>
      </c>
      <c r="I559" s="4">
        <v>4600</v>
      </c>
      <c r="J559" s="8">
        <v>5</v>
      </c>
      <c r="K559" s="4">
        <v>23000</v>
      </c>
      <c r="L559" s="4">
        <v>5750</v>
      </c>
      <c r="M559" s="3">
        <v>0.25</v>
      </c>
    </row>
    <row r="560" spans="2:13" x14ac:dyDescent="0.3">
      <c r="B560" t="s">
        <v>60</v>
      </c>
      <c r="C560" s="1" t="s">
        <v>63</v>
      </c>
      <c r="D560" s="2">
        <v>44850</v>
      </c>
      <c r="E560" s="8" t="s">
        <v>23</v>
      </c>
      <c r="F560" s="8" t="s">
        <v>68</v>
      </c>
      <c r="G560" s="8" t="s">
        <v>22</v>
      </c>
      <c r="H560" t="s">
        <v>18</v>
      </c>
      <c r="I560" s="4">
        <v>4600</v>
      </c>
      <c r="J560" s="8">
        <v>11</v>
      </c>
      <c r="K560" s="4">
        <v>50600</v>
      </c>
      <c r="L560" s="4">
        <v>12650</v>
      </c>
      <c r="M560" s="3">
        <v>0.25</v>
      </c>
    </row>
    <row r="561" spans="2:13" x14ac:dyDescent="0.3">
      <c r="B561" t="s">
        <v>65</v>
      </c>
      <c r="C561" s="1" t="s">
        <v>63</v>
      </c>
      <c r="D561" s="2">
        <v>44857</v>
      </c>
      <c r="E561" s="8" t="s">
        <v>23</v>
      </c>
      <c r="F561" s="8" t="s">
        <v>68</v>
      </c>
      <c r="G561" s="8" t="s">
        <v>22</v>
      </c>
      <c r="H561" t="s">
        <v>8</v>
      </c>
      <c r="I561" s="4">
        <v>1200</v>
      </c>
      <c r="J561" s="8">
        <v>6</v>
      </c>
      <c r="K561" s="4">
        <v>7200</v>
      </c>
      <c r="L561" s="4">
        <v>2160</v>
      </c>
      <c r="M561" s="3">
        <v>0.3</v>
      </c>
    </row>
    <row r="562" spans="2:13" x14ac:dyDescent="0.3">
      <c r="B562" t="s">
        <v>65</v>
      </c>
      <c r="C562" s="1" t="s">
        <v>64</v>
      </c>
      <c r="D562" s="2">
        <v>44864</v>
      </c>
      <c r="E562" s="8" t="s">
        <v>23</v>
      </c>
      <c r="F562" s="8" t="s">
        <v>68</v>
      </c>
      <c r="G562" s="8" t="s">
        <v>22</v>
      </c>
      <c r="H562" t="s">
        <v>13</v>
      </c>
      <c r="I562" s="4">
        <v>3200</v>
      </c>
      <c r="J562" s="8">
        <v>1</v>
      </c>
      <c r="K562" s="4">
        <v>3200</v>
      </c>
      <c r="L562" s="4">
        <v>640</v>
      </c>
      <c r="M562" s="3">
        <v>0.2</v>
      </c>
    </row>
    <row r="563" spans="2:13" x14ac:dyDescent="0.3">
      <c r="B563" t="s">
        <v>65</v>
      </c>
      <c r="C563" s="1" t="s">
        <v>64</v>
      </c>
      <c r="D563" s="2">
        <v>44871</v>
      </c>
      <c r="E563" s="8" t="s">
        <v>23</v>
      </c>
      <c r="F563" s="8" t="s">
        <v>68</v>
      </c>
      <c r="G563" s="8" t="s">
        <v>22</v>
      </c>
      <c r="H563" t="s">
        <v>15</v>
      </c>
      <c r="I563" s="4">
        <v>5300</v>
      </c>
      <c r="J563" s="8">
        <v>12</v>
      </c>
      <c r="K563" s="4">
        <v>63600</v>
      </c>
      <c r="L563" s="4">
        <v>19080</v>
      </c>
      <c r="M563" s="3">
        <v>0.3</v>
      </c>
    </row>
    <row r="564" spans="2:13" x14ac:dyDescent="0.3">
      <c r="B564" t="s">
        <v>60</v>
      </c>
      <c r="C564" s="1" t="s">
        <v>63</v>
      </c>
      <c r="D564" s="2">
        <v>44878</v>
      </c>
      <c r="E564" s="8" t="s">
        <v>23</v>
      </c>
      <c r="F564" s="8" t="s">
        <v>68</v>
      </c>
      <c r="G564" s="8" t="s">
        <v>22</v>
      </c>
      <c r="H564" t="s">
        <v>12</v>
      </c>
      <c r="I564" s="4">
        <v>500</v>
      </c>
      <c r="J564" s="8">
        <v>5</v>
      </c>
      <c r="K564" s="4">
        <v>2500</v>
      </c>
      <c r="L564" s="4">
        <v>625</v>
      </c>
      <c r="M564" s="3">
        <v>0.25</v>
      </c>
    </row>
    <row r="565" spans="2:13" x14ac:dyDescent="0.3">
      <c r="B565" t="s">
        <v>61</v>
      </c>
      <c r="C565" s="1" t="s">
        <v>63</v>
      </c>
      <c r="D565" s="2">
        <v>44885</v>
      </c>
      <c r="E565" s="8" t="s">
        <v>23</v>
      </c>
      <c r="F565" s="8" t="s">
        <v>68</v>
      </c>
      <c r="G565" s="8" t="s">
        <v>22</v>
      </c>
      <c r="H565" t="s">
        <v>17</v>
      </c>
      <c r="I565" s="4">
        <v>5130</v>
      </c>
      <c r="J565" s="8">
        <v>7</v>
      </c>
      <c r="K565" s="4">
        <v>35910</v>
      </c>
      <c r="L565" s="4">
        <v>14364</v>
      </c>
      <c r="M565" s="3">
        <v>0.4</v>
      </c>
    </row>
    <row r="566" spans="2:13" x14ac:dyDescent="0.3">
      <c r="B566" t="s">
        <v>65</v>
      </c>
      <c r="C566" s="1" t="s">
        <v>64</v>
      </c>
      <c r="D566" s="2">
        <v>44892</v>
      </c>
      <c r="E566" s="8" t="s">
        <v>23</v>
      </c>
      <c r="F566" s="8" t="s">
        <v>68</v>
      </c>
      <c r="G566" s="8" t="s">
        <v>22</v>
      </c>
      <c r="H566" t="s">
        <v>9</v>
      </c>
      <c r="I566" s="4">
        <v>1500</v>
      </c>
      <c r="J566" s="8">
        <v>5</v>
      </c>
      <c r="K566" s="4">
        <v>7500</v>
      </c>
      <c r="L566" s="4">
        <v>3000</v>
      </c>
      <c r="M566" s="3">
        <v>0.4</v>
      </c>
    </row>
    <row r="567" spans="2:13" x14ac:dyDescent="0.3">
      <c r="B567" t="s">
        <v>60</v>
      </c>
      <c r="C567" s="1" t="s">
        <v>63</v>
      </c>
      <c r="D567" s="2">
        <v>44899</v>
      </c>
      <c r="E567" s="8" t="s">
        <v>23</v>
      </c>
      <c r="F567" s="8" t="s">
        <v>68</v>
      </c>
      <c r="G567" s="8" t="s">
        <v>22</v>
      </c>
      <c r="H567" t="s">
        <v>15</v>
      </c>
      <c r="I567" s="4">
        <v>5300</v>
      </c>
      <c r="J567" s="8">
        <v>10</v>
      </c>
      <c r="K567" s="4">
        <v>53000</v>
      </c>
      <c r="L567" s="4">
        <v>15900</v>
      </c>
      <c r="M567" s="3">
        <v>0.3</v>
      </c>
    </row>
    <row r="568" spans="2:13" x14ac:dyDescent="0.3">
      <c r="B568" t="s">
        <v>65</v>
      </c>
      <c r="C568" s="1" t="s">
        <v>63</v>
      </c>
      <c r="D568" s="2">
        <v>44906</v>
      </c>
      <c r="E568" s="8" t="s">
        <v>23</v>
      </c>
      <c r="F568" s="8" t="s">
        <v>68</v>
      </c>
      <c r="G568" s="8" t="s">
        <v>22</v>
      </c>
      <c r="H568" t="s">
        <v>19</v>
      </c>
      <c r="I568" s="4">
        <v>5340</v>
      </c>
      <c r="J568" s="8">
        <v>8</v>
      </c>
      <c r="K568" s="4">
        <v>42720</v>
      </c>
      <c r="L568" s="4">
        <v>12816</v>
      </c>
      <c r="M568" s="3">
        <v>0.3</v>
      </c>
    </row>
    <row r="569" spans="2:13" x14ac:dyDescent="0.3">
      <c r="B569" t="s">
        <v>66</v>
      </c>
      <c r="C569" s="1" t="s">
        <v>63</v>
      </c>
      <c r="D569" s="2">
        <v>44913</v>
      </c>
      <c r="E569" s="8" t="s">
        <v>23</v>
      </c>
      <c r="F569" s="8" t="s">
        <v>68</v>
      </c>
      <c r="G569" s="8" t="s">
        <v>22</v>
      </c>
      <c r="H569" t="s">
        <v>15</v>
      </c>
      <c r="I569" s="4">
        <v>5300</v>
      </c>
      <c r="J569" s="8">
        <v>6</v>
      </c>
      <c r="K569" s="4">
        <v>31800</v>
      </c>
      <c r="L569" s="4">
        <v>9540</v>
      </c>
      <c r="M569" s="3">
        <v>0.3</v>
      </c>
    </row>
    <row r="570" spans="2:13" x14ac:dyDescent="0.3">
      <c r="B570" t="s">
        <v>60</v>
      </c>
      <c r="C570" s="1" t="s">
        <v>64</v>
      </c>
      <c r="D570" s="2">
        <v>44920</v>
      </c>
      <c r="E570" s="8" t="s">
        <v>23</v>
      </c>
      <c r="F570" s="8" t="s">
        <v>68</v>
      </c>
      <c r="G570" s="8" t="s">
        <v>22</v>
      </c>
      <c r="H570" t="s">
        <v>12</v>
      </c>
      <c r="I570" s="4">
        <v>500</v>
      </c>
      <c r="J570" s="8">
        <v>5</v>
      </c>
      <c r="K570" s="4">
        <v>2500</v>
      </c>
      <c r="L570" s="4">
        <v>625</v>
      </c>
      <c r="M570" s="3">
        <v>0.25</v>
      </c>
    </row>
    <row r="571" spans="2:13" x14ac:dyDescent="0.3">
      <c r="B571" t="s">
        <v>65</v>
      </c>
      <c r="C571" s="1" t="s">
        <v>63</v>
      </c>
      <c r="D571" s="2">
        <v>44927</v>
      </c>
      <c r="E571" s="8" t="s">
        <v>23</v>
      </c>
      <c r="F571" s="8" t="s">
        <v>68</v>
      </c>
      <c r="G571" s="8" t="s">
        <v>22</v>
      </c>
      <c r="H571" t="s">
        <v>20</v>
      </c>
      <c r="I571" s="4">
        <v>8902</v>
      </c>
      <c r="J571" s="8">
        <v>11</v>
      </c>
      <c r="K571" s="4">
        <v>97922</v>
      </c>
      <c r="L571" s="4">
        <v>34272.699999999997</v>
      </c>
      <c r="M571" s="3">
        <v>0.35</v>
      </c>
    </row>
    <row r="572" spans="2:13" x14ac:dyDescent="0.3">
      <c r="B572" t="s">
        <v>66</v>
      </c>
      <c r="C572" s="1" t="s">
        <v>63</v>
      </c>
      <c r="D572" s="2">
        <v>44934</v>
      </c>
      <c r="E572" s="8" t="s">
        <v>23</v>
      </c>
      <c r="F572" s="8" t="s">
        <v>68</v>
      </c>
      <c r="G572" s="8" t="s">
        <v>22</v>
      </c>
      <c r="H572" t="s">
        <v>19</v>
      </c>
      <c r="I572" s="4">
        <v>5340</v>
      </c>
      <c r="J572" s="8">
        <v>5</v>
      </c>
      <c r="K572" s="4">
        <v>26700</v>
      </c>
      <c r="L572" s="4">
        <v>8010</v>
      </c>
      <c r="M572" s="3">
        <v>0.3</v>
      </c>
    </row>
    <row r="573" spans="2:13" x14ac:dyDescent="0.3">
      <c r="B573" t="s">
        <v>66</v>
      </c>
      <c r="C573" s="1" t="s">
        <v>64</v>
      </c>
      <c r="D573" s="2">
        <v>44941</v>
      </c>
      <c r="E573" s="8" t="s">
        <v>23</v>
      </c>
      <c r="F573" s="8" t="s">
        <v>68</v>
      </c>
      <c r="G573" s="8" t="s">
        <v>22</v>
      </c>
      <c r="H573" t="s">
        <v>11</v>
      </c>
      <c r="I573" s="4">
        <v>300</v>
      </c>
      <c r="J573" s="8">
        <v>3</v>
      </c>
      <c r="K573" s="4">
        <v>900</v>
      </c>
      <c r="L573" s="4">
        <v>135</v>
      </c>
      <c r="M573" s="3">
        <v>0.15</v>
      </c>
    </row>
    <row r="574" spans="2:13" x14ac:dyDescent="0.3">
      <c r="B574" t="s">
        <v>65</v>
      </c>
      <c r="C574" s="1" t="s">
        <v>64</v>
      </c>
      <c r="D574" s="2">
        <v>44948</v>
      </c>
      <c r="E574" s="8" t="s">
        <v>23</v>
      </c>
      <c r="F574" s="8" t="s">
        <v>68</v>
      </c>
      <c r="G574" s="8" t="s">
        <v>22</v>
      </c>
      <c r="H574" t="s">
        <v>13</v>
      </c>
      <c r="I574" s="4">
        <v>3200</v>
      </c>
      <c r="J574" s="8">
        <v>3</v>
      </c>
      <c r="K574" s="4">
        <v>9600</v>
      </c>
      <c r="L574" s="4">
        <v>1920</v>
      </c>
      <c r="M574" s="3">
        <v>0.2</v>
      </c>
    </row>
    <row r="575" spans="2:13" x14ac:dyDescent="0.3">
      <c r="B575" t="s">
        <v>61</v>
      </c>
      <c r="C575" s="1" t="s">
        <v>63</v>
      </c>
      <c r="D575" s="2">
        <v>44955</v>
      </c>
      <c r="E575" s="8" t="s">
        <v>23</v>
      </c>
      <c r="F575" s="8" t="s">
        <v>68</v>
      </c>
      <c r="G575" s="8" t="s">
        <v>22</v>
      </c>
      <c r="H575" t="s">
        <v>15</v>
      </c>
      <c r="I575" s="4">
        <v>5300</v>
      </c>
      <c r="J575" s="8">
        <v>1</v>
      </c>
      <c r="K575" s="4">
        <v>5300</v>
      </c>
      <c r="L575" s="4">
        <v>1590</v>
      </c>
      <c r="M575" s="3">
        <v>0.3</v>
      </c>
    </row>
    <row r="576" spans="2:13" x14ac:dyDescent="0.3">
      <c r="B576" t="s">
        <v>60</v>
      </c>
      <c r="C576" s="1" t="s">
        <v>64</v>
      </c>
      <c r="D576" s="2">
        <v>44962</v>
      </c>
      <c r="E576" s="8" t="s">
        <v>23</v>
      </c>
      <c r="F576" s="8" t="s">
        <v>68</v>
      </c>
      <c r="G576" s="8" t="s">
        <v>22</v>
      </c>
      <c r="H576" t="s">
        <v>16</v>
      </c>
      <c r="I576" s="4">
        <v>3400</v>
      </c>
      <c r="J576" s="8">
        <v>1</v>
      </c>
      <c r="K576" s="4">
        <v>3400</v>
      </c>
      <c r="L576" s="4">
        <v>1190</v>
      </c>
      <c r="M576" s="3">
        <v>0.35</v>
      </c>
    </row>
    <row r="577" spans="2:13" x14ac:dyDescent="0.3">
      <c r="B577" t="s">
        <v>65</v>
      </c>
      <c r="C577" s="1" t="s">
        <v>63</v>
      </c>
      <c r="D577" s="2">
        <v>44969</v>
      </c>
      <c r="E577" s="8" t="s">
        <v>23</v>
      </c>
      <c r="F577" s="8" t="s">
        <v>68</v>
      </c>
      <c r="G577" s="8" t="s">
        <v>22</v>
      </c>
      <c r="H577" t="s">
        <v>13</v>
      </c>
      <c r="I577" s="4">
        <v>3200</v>
      </c>
      <c r="J577" s="8">
        <v>7</v>
      </c>
      <c r="K577" s="4">
        <v>22400</v>
      </c>
      <c r="L577" s="4">
        <v>4480</v>
      </c>
      <c r="M577" s="3">
        <v>0.2</v>
      </c>
    </row>
    <row r="578" spans="2:13" x14ac:dyDescent="0.3">
      <c r="B578" t="s">
        <v>65</v>
      </c>
      <c r="C578" s="1" t="s">
        <v>63</v>
      </c>
      <c r="D578" s="2">
        <v>44976</v>
      </c>
      <c r="E578" s="8" t="s">
        <v>23</v>
      </c>
      <c r="F578" s="8" t="s">
        <v>68</v>
      </c>
      <c r="G578" s="8" t="s">
        <v>22</v>
      </c>
      <c r="H578" t="s">
        <v>12</v>
      </c>
      <c r="I578" s="4">
        <v>500</v>
      </c>
      <c r="J578" s="8">
        <v>5</v>
      </c>
      <c r="K578" s="4">
        <v>2500</v>
      </c>
      <c r="L578" s="4">
        <v>625</v>
      </c>
      <c r="M578" s="3">
        <v>0.25</v>
      </c>
    </row>
    <row r="579" spans="2:13" x14ac:dyDescent="0.3">
      <c r="B579" t="s">
        <v>65</v>
      </c>
      <c r="C579" s="1" t="s">
        <v>63</v>
      </c>
      <c r="D579" s="2">
        <v>44983</v>
      </c>
      <c r="E579" s="8" t="s">
        <v>23</v>
      </c>
      <c r="F579" s="8" t="s">
        <v>68</v>
      </c>
      <c r="G579" s="8" t="s">
        <v>22</v>
      </c>
      <c r="H579" t="s">
        <v>18</v>
      </c>
      <c r="I579" s="4">
        <v>4600</v>
      </c>
      <c r="J579" s="8">
        <v>12</v>
      </c>
      <c r="K579" s="4">
        <v>55200</v>
      </c>
      <c r="L579" s="4">
        <v>13800</v>
      </c>
      <c r="M579" s="3">
        <v>0.25</v>
      </c>
    </row>
    <row r="580" spans="2:13" x14ac:dyDescent="0.3">
      <c r="B580" t="s">
        <v>66</v>
      </c>
      <c r="C580" s="1" t="s">
        <v>63</v>
      </c>
      <c r="D580" s="2">
        <v>44990</v>
      </c>
      <c r="E580" s="8" t="s">
        <v>23</v>
      </c>
      <c r="F580" s="8" t="s">
        <v>68</v>
      </c>
      <c r="G580" s="8" t="s">
        <v>22</v>
      </c>
      <c r="H580" t="s">
        <v>17</v>
      </c>
      <c r="I580" s="4">
        <v>5130</v>
      </c>
      <c r="J580" s="8">
        <v>7</v>
      </c>
      <c r="K580" s="4">
        <v>35910</v>
      </c>
      <c r="L580" s="4">
        <v>14364</v>
      </c>
      <c r="M580" s="3">
        <v>0.4</v>
      </c>
    </row>
    <row r="581" spans="2:13" x14ac:dyDescent="0.3">
      <c r="B581" t="s">
        <v>65</v>
      </c>
      <c r="C581" s="1" t="s">
        <v>63</v>
      </c>
      <c r="D581" s="2">
        <v>44997</v>
      </c>
      <c r="E581" s="8" t="s">
        <v>23</v>
      </c>
      <c r="F581" s="8" t="s">
        <v>68</v>
      </c>
      <c r="G581" s="8" t="s">
        <v>22</v>
      </c>
      <c r="H581" t="s">
        <v>20</v>
      </c>
      <c r="I581" s="4">
        <v>8902</v>
      </c>
      <c r="J581" s="8">
        <v>10</v>
      </c>
      <c r="K581" s="4">
        <v>89020</v>
      </c>
      <c r="L581" s="4">
        <v>31156.999999999996</v>
      </c>
      <c r="M581" s="3">
        <v>0.35</v>
      </c>
    </row>
    <row r="582" spans="2:13" x14ac:dyDescent="0.3">
      <c r="B582" t="s">
        <v>60</v>
      </c>
      <c r="C582" s="1" t="s">
        <v>63</v>
      </c>
      <c r="D582" s="2">
        <v>45004</v>
      </c>
      <c r="E582" s="8" t="s">
        <v>23</v>
      </c>
      <c r="F582" s="8" t="s">
        <v>68</v>
      </c>
      <c r="G582" s="8" t="s">
        <v>22</v>
      </c>
      <c r="H582" t="s">
        <v>20</v>
      </c>
      <c r="I582" s="4">
        <v>8902</v>
      </c>
      <c r="J582" s="8">
        <v>9</v>
      </c>
      <c r="K582" s="4">
        <v>80118</v>
      </c>
      <c r="L582" s="4">
        <v>28041.3</v>
      </c>
      <c r="M582" s="3">
        <v>0.35</v>
      </c>
    </row>
    <row r="583" spans="2:13" x14ac:dyDescent="0.3">
      <c r="B583" t="s">
        <v>60</v>
      </c>
      <c r="C583" s="1" t="s">
        <v>63</v>
      </c>
      <c r="D583" s="2">
        <v>45011</v>
      </c>
      <c r="E583" s="8" t="s">
        <v>23</v>
      </c>
      <c r="F583" s="8" t="s">
        <v>68</v>
      </c>
      <c r="G583" s="8" t="s">
        <v>22</v>
      </c>
      <c r="H583" t="s">
        <v>20</v>
      </c>
      <c r="I583" s="4">
        <v>8902</v>
      </c>
      <c r="J583" s="8">
        <v>9</v>
      </c>
      <c r="K583" s="4">
        <v>80118</v>
      </c>
      <c r="L583" s="4">
        <v>28041.3</v>
      </c>
      <c r="M583" s="3">
        <v>0.35</v>
      </c>
    </row>
    <row r="584" spans="2:13" x14ac:dyDescent="0.3">
      <c r="B584" t="s">
        <v>60</v>
      </c>
      <c r="C584" s="1" t="s">
        <v>63</v>
      </c>
      <c r="D584" s="2">
        <v>45018</v>
      </c>
      <c r="E584" s="8" t="s">
        <v>23</v>
      </c>
      <c r="F584" s="8" t="s">
        <v>68</v>
      </c>
      <c r="G584" s="8" t="s">
        <v>22</v>
      </c>
      <c r="H584" t="s">
        <v>12</v>
      </c>
      <c r="I584" s="4">
        <v>500</v>
      </c>
      <c r="J584" s="8">
        <v>6</v>
      </c>
      <c r="K584" s="4">
        <v>3000</v>
      </c>
      <c r="L584" s="4">
        <v>750</v>
      </c>
      <c r="M584" s="3">
        <v>0.25</v>
      </c>
    </row>
    <row r="585" spans="2:13" x14ac:dyDescent="0.3">
      <c r="B585" t="s">
        <v>61</v>
      </c>
      <c r="C585" s="1" t="s">
        <v>63</v>
      </c>
      <c r="D585" s="2">
        <v>45025</v>
      </c>
      <c r="E585" s="8" t="s">
        <v>23</v>
      </c>
      <c r="F585" s="8" t="s">
        <v>68</v>
      </c>
      <c r="G585" s="8" t="s">
        <v>22</v>
      </c>
      <c r="H585" t="s">
        <v>20</v>
      </c>
      <c r="I585" s="4">
        <v>8902</v>
      </c>
      <c r="J585" s="8">
        <v>6</v>
      </c>
      <c r="K585" s="4">
        <v>53412</v>
      </c>
      <c r="L585" s="4">
        <v>18694.199999999997</v>
      </c>
      <c r="M585" s="3">
        <v>0.35</v>
      </c>
    </row>
    <row r="586" spans="2:13" x14ac:dyDescent="0.3">
      <c r="B586" t="s">
        <v>65</v>
      </c>
      <c r="C586" s="1" t="s">
        <v>63</v>
      </c>
      <c r="D586" s="2">
        <v>45032</v>
      </c>
      <c r="E586" s="8" t="s">
        <v>23</v>
      </c>
      <c r="F586" s="8" t="s">
        <v>68</v>
      </c>
      <c r="G586" s="8" t="s">
        <v>22</v>
      </c>
      <c r="H586" t="s">
        <v>8</v>
      </c>
      <c r="I586" s="4">
        <v>1200</v>
      </c>
      <c r="J586" s="8">
        <v>8</v>
      </c>
      <c r="K586" s="4">
        <v>9600</v>
      </c>
      <c r="L586" s="4">
        <v>2880</v>
      </c>
      <c r="M586" s="3">
        <v>0.3</v>
      </c>
    </row>
    <row r="587" spans="2:13" x14ac:dyDescent="0.3">
      <c r="B587" t="s">
        <v>65</v>
      </c>
      <c r="C587" s="1" t="s">
        <v>63</v>
      </c>
      <c r="D587" s="2">
        <v>45039</v>
      </c>
      <c r="E587" s="8" t="s">
        <v>23</v>
      </c>
      <c r="F587" s="8" t="s">
        <v>68</v>
      </c>
      <c r="G587" s="8" t="s">
        <v>22</v>
      </c>
      <c r="H587" t="s">
        <v>9</v>
      </c>
      <c r="I587" s="4">
        <v>1500</v>
      </c>
      <c r="J587" s="8">
        <v>5</v>
      </c>
      <c r="K587" s="4">
        <v>7500</v>
      </c>
      <c r="L587" s="4">
        <v>3000</v>
      </c>
      <c r="M587" s="3">
        <v>0.4</v>
      </c>
    </row>
    <row r="588" spans="2:13" x14ac:dyDescent="0.3">
      <c r="B588" t="s">
        <v>66</v>
      </c>
      <c r="C588" s="1" t="s">
        <v>63</v>
      </c>
      <c r="D588" s="2">
        <v>45046</v>
      </c>
      <c r="E588" s="8" t="s">
        <v>23</v>
      </c>
      <c r="F588" s="8" t="s">
        <v>68</v>
      </c>
      <c r="G588" s="8" t="s">
        <v>22</v>
      </c>
      <c r="H588" t="s">
        <v>19</v>
      </c>
      <c r="I588" s="4">
        <v>5340</v>
      </c>
      <c r="J588" s="8">
        <v>9</v>
      </c>
      <c r="K588" s="4">
        <v>48060</v>
      </c>
      <c r="L588" s="4">
        <v>14418</v>
      </c>
      <c r="M588" s="3">
        <v>0.3</v>
      </c>
    </row>
    <row r="589" spans="2:13" x14ac:dyDescent="0.3">
      <c r="B589" t="s">
        <v>66</v>
      </c>
      <c r="C589" s="1" t="s">
        <v>63</v>
      </c>
      <c r="D589" s="2">
        <v>45053</v>
      </c>
      <c r="E589" s="8" t="s">
        <v>23</v>
      </c>
      <c r="F589" s="8" t="s">
        <v>68</v>
      </c>
      <c r="G589" s="8" t="s">
        <v>22</v>
      </c>
      <c r="H589" t="s">
        <v>13</v>
      </c>
      <c r="I589" s="4">
        <v>3200</v>
      </c>
      <c r="J589" s="8">
        <v>2</v>
      </c>
      <c r="K589" s="4">
        <v>6400</v>
      </c>
      <c r="L589" s="4">
        <v>1280</v>
      </c>
      <c r="M589" s="3">
        <v>0.2</v>
      </c>
    </row>
    <row r="590" spans="2:13" x14ac:dyDescent="0.3">
      <c r="B590" t="s">
        <v>65</v>
      </c>
      <c r="C590" s="1" t="s">
        <v>64</v>
      </c>
      <c r="D590" s="2">
        <v>45060</v>
      </c>
      <c r="E590" s="8" t="s">
        <v>23</v>
      </c>
      <c r="F590" s="8" t="s">
        <v>68</v>
      </c>
      <c r="G590" s="8" t="s">
        <v>22</v>
      </c>
      <c r="H590" t="s">
        <v>15</v>
      </c>
      <c r="I590" s="4">
        <v>5300</v>
      </c>
      <c r="J590" s="8">
        <v>2</v>
      </c>
      <c r="K590" s="4">
        <v>10600</v>
      </c>
      <c r="L590" s="4">
        <v>3180</v>
      </c>
      <c r="M590" s="3">
        <v>0.3</v>
      </c>
    </row>
    <row r="591" spans="2:13" x14ac:dyDescent="0.3">
      <c r="B591" t="s">
        <v>66</v>
      </c>
      <c r="C591" s="1" t="s">
        <v>63</v>
      </c>
      <c r="D591" s="2">
        <v>45067</v>
      </c>
      <c r="E591" s="8" t="s">
        <v>23</v>
      </c>
      <c r="F591" s="8" t="s">
        <v>68</v>
      </c>
      <c r="G591" s="8" t="s">
        <v>22</v>
      </c>
      <c r="H591" t="s">
        <v>9</v>
      </c>
      <c r="I591" s="4">
        <v>1500</v>
      </c>
      <c r="J591" s="8">
        <v>11</v>
      </c>
      <c r="K591" s="4">
        <v>16500</v>
      </c>
      <c r="L591" s="4">
        <v>6600</v>
      </c>
      <c r="M591" s="3">
        <v>0.4</v>
      </c>
    </row>
    <row r="592" spans="2:13" x14ac:dyDescent="0.3">
      <c r="B592" t="s">
        <v>62</v>
      </c>
      <c r="C592" s="1" t="s">
        <v>63</v>
      </c>
      <c r="D592" s="2">
        <v>45074</v>
      </c>
      <c r="E592" s="8" t="s">
        <v>23</v>
      </c>
      <c r="F592" s="8" t="s">
        <v>68</v>
      </c>
      <c r="G592" s="8" t="s">
        <v>22</v>
      </c>
      <c r="H592" t="s">
        <v>18</v>
      </c>
      <c r="I592" s="4">
        <v>4600</v>
      </c>
      <c r="J592" s="8">
        <v>9</v>
      </c>
      <c r="K592" s="4">
        <v>41400</v>
      </c>
      <c r="L592" s="4">
        <v>10350</v>
      </c>
      <c r="M592" s="3">
        <v>0.25</v>
      </c>
    </row>
    <row r="593" spans="2:13" x14ac:dyDescent="0.3">
      <c r="B593" t="s">
        <v>60</v>
      </c>
      <c r="C593" s="1" t="s">
        <v>63</v>
      </c>
      <c r="D593" s="2">
        <v>45081</v>
      </c>
      <c r="E593" s="8" t="s">
        <v>23</v>
      </c>
      <c r="F593" s="8" t="s">
        <v>68</v>
      </c>
      <c r="G593" s="8" t="s">
        <v>22</v>
      </c>
      <c r="H593" t="s">
        <v>10</v>
      </c>
      <c r="I593" s="4">
        <v>1700</v>
      </c>
      <c r="J593" s="8">
        <v>6</v>
      </c>
      <c r="K593" s="4">
        <v>10200</v>
      </c>
      <c r="L593" s="4">
        <v>5100</v>
      </c>
      <c r="M593" s="3">
        <v>0.5</v>
      </c>
    </row>
    <row r="594" spans="2:13" x14ac:dyDescent="0.3">
      <c r="B594" t="s">
        <v>60</v>
      </c>
      <c r="C594" s="1" t="s">
        <v>64</v>
      </c>
      <c r="D594" s="2">
        <v>45088</v>
      </c>
      <c r="E594" s="8" t="s">
        <v>23</v>
      </c>
      <c r="F594" s="8" t="s">
        <v>68</v>
      </c>
      <c r="G594" s="8" t="s">
        <v>22</v>
      </c>
      <c r="H594" t="s">
        <v>12</v>
      </c>
      <c r="I594" s="4">
        <v>500</v>
      </c>
      <c r="J594" s="8">
        <v>7</v>
      </c>
      <c r="K594" s="4">
        <v>3500</v>
      </c>
      <c r="L594" s="4">
        <v>875</v>
      </c>
      <c r="M594" s="3">
        <v>0.25</v>
      </c>
    </row>
    <row r="595" spans="2:13" x14ac:dyDescent="0.3">
      <c r="B595" t="s">
        <v>65</v>
      </c>
      <c r="C595" s="1" t="s">
        <v>63</v>
      </c>
      <c r="D595" s="2">
        <v>45095</v>
      </c>
      <c r="E595" s="8" t="s">
        <v>23</v>
      </c>
      <c r="F595" s="8" t="s">
        <v>68</v>
      </c>
      <c r="G595" s="8" t="s">
        <v>22</v>
      </c>
      <c r="H595" t="s">
        <v>11</v>
      </c>
      <c r="I595" s="4">
        <v>300</v>
      </c>
      <c r="J595" s="8">
        <v>12</v>
      </c>
      <c r="K595" s="4">
        <v>3600</v>
      </c>
      <c r="L595" s="4">
        <v>540</v>
      </c>
      <c r="M595" s="3">
        <v>0.15</v>
      </c>
    </row>
    <row r="596" spans="2:13" x14ac:dyDescent="0.3">
      <c r="B596" t="s">
        <v>65</v>
      </c>
      <c r="C596" s="1" t="s">
        <v>63</v>
      </c>
      <c r="D596" s="2">
        <v>45102</v>
      </c>
      <c r="E596" s="8" t="s">
        <v>23</v>
      </c>
      <c r="F596" s="8" t="s">
        <v>68</v>
      </c>
      <c r="G596" s="8" t="s">
        <v>22</v>
      </c>
      <c r="H596" t="s">
        <v>13</v>
      </c>
      <c r="I596" s="4">
        <v>3200</v>
      </c>
      <c r="J596" s="8">
        <v>15</v>
      </c>
      <c r="K596" s="4">
        <v>48000</v>
      </c>
      <c r="L596" s="4">
        <v>9600</v>
      </c>
      <c r="M596" s="3">
        <v>0.2</v>
      </c>
    </row>
    <row r="597" spans="2:13" x14ac:dyDescent="0.3">
      <c r="B597" t="s">
        <v>60</v>
      </c>
      <c r="C597" s="1" t="s">
        <v>64</v>
      </c>
      <c r="D597" s="2">
        <v>45109</v>
      </c>
      <c r="E597" s="8" t="s">
        <v>23</v>
      </c>
      <c r="F597" s="8" t="s">
        <v>68</v>
      </c>
      <c r="G597" s="8" t="s">
        <v>22</v>
      </c>
      <c r="H597" t="s">
        <v>12</v>
      </c>
      <c r="I597" s="4">
        <v>500</v>
      </c>
      <c r="J597" s="8">
        <v>12</v>
      </c>
      <c r="K597" s="4">
        <v>6000</v>
      </c>
      <c r="L597" s="4">
        <v>1500</v>
      </c>
      <c r="M597" s="3">
        <v>0.25</v>
      </c>
    </row>
    <row r="598" spans="2:13" x14ac:dyDescent="0.3">
      <c r="B598" t="s">
        <v>60</v>
      </c>
      <c r="C598" s="1" t="s">
        <v>63</v>
      </c>
      <c r="D598" s="2">
        <v>45116</v>
      </c>
      <c r="E598" s="8" t="s">
        <v>23</v>
      </c>
      <c r="F598" s="8" t="s">
        <v>68</v>
      </c>
      <c r="G598" s="8" t="s">
        <v>22</v>
      </c>
      <c r="H598" t="s">
        <v>8</v>
      </c>
      <c r="I598" s="4">
        <v>1200</v>
      </c>
      <c r="J598" s="8">
        <v>7</v>
      </c>
      <c r="K598" s="4">
        <v>8400</v>
      </c>
      <c r="L598" s="4">
        <v>2520</v>
      </c>
      <c r="M598" s="3">
        <v>0.3</v>
      </c>
    </row>
    <row r="599" spans="2:13" x14ac:dyDescent="0.3">
      <c r="B599" t="s">
        <v>61</v>
      </c>
      <c r="C599" s="1" t="s">
        <v>63</v>
      </c>
      <c r="D599" s="2">
        <v>45123</v>
      </c>
      <c r="E599" s="8" t="s">
        <v>23</v>
      </c>
      <c r="F599" s="8" t="s">
        <v>68</v>
      </c>
      <c r="G599" s="8" t="s">
        <v>22</v>
      </c>
      <c r="H599" t="s">
        <v>10</v>
      </c>
      <c r="I599" s="4">
        <v>1700</v>
      </c>
      <c r="J599" s="8">
        <v>2</v>
      </c>
      <c r="K599" s="4">
        <v>3400</v>
      </c>
      <c r="L599" s="4">
        <v>1700</v>
      </c>
      <c r="M599" s="3">
        <v>0.5</v>
      </c>
    </row>
    <row r="600" spans="2:13" x14ac:dyDescent="0.3">
      <c r="B600" t="s">
        <v>65</v>
      </c>
      <c r="C600" s="1" t="s">
        <v>63</v>
      </c>
      <c r="D600" s="2">
        <v>45130</v>
      </c>
      <c r="E600" s="8" t="s">
        <v>23</v>
      </c>
      <c r="F600" s="8" t="s">
        <v>68</v>
      </c>
      <c r="G600" s="8" t="s">
        <v>22</v>
      </c>
      <c r="H600" t="s">
        <v>16</v>
      </c>
      <c r="I600" s="4">
        <v>3400</v>
      </c>
      <c r="J600" s="8">
        <v>12</v>
      </c>
      <c r="K600" s="4">
        <v>40800</v>
      </c>
      <c r="L600" s="4">
        <v>14280</v>
      </c>
      <c r="M600" s="3">
        <v>0.35</v>
      </c>
    </row>
    <row r="601" spans="2:13" x14ac:dyDescent="0.3">
      <c r="B601" t="s">
        <v>65</v>
      </c>
      <c r="C601" s="1" t="s">
        <v>63</v>
      </c>
      <c r="D601" s="2">
        <v>45137</v>
      </c>
      <c r="E601" s="8" t="s">
        <v>23</v>
      </c>
      <c r="F601" s="8" t="s">
        <v>68</v>
      </c>
      <c r="G601" s="8" t="s">
        <v>22</v>
      </c>
      <c r="H601" t="s">
        <v>13</v>
      </c>
      <c r="I601" s="4">
        <v>3200</v>
      </c>
      <c r="J601" s="8">
        <v>3</v>
      </c>
      <c r="K601" s="4">
        <v>9600</v>
      </c>
      <c r="L601" s="4">
        <v>1920</v>
      </c>
      <c r="M601" s="3">
        <v>0.2</v>
      </c>
    </row>
    <row r="602" spans="2:13" x14ac:dyDescent="0.3">
      <c r="B602" t="s">
        <v>61</v>
      </c>
      <c r="C602" s="1" t="s">
        <v>63</v>
      </c>
      <c r="D602" s="2">
        <v>45139</v>
      </c>
      <c r="E602" s="8" t="s">
        <v>23</v>
      </c>
      <c r="F602" s="8" t="s">
        <v>68</v>
      </c>
      <c r="G602" s="8" t="s">
        <v>22</v>
      </c>
      <c r="H602" t="s">
        <v>16</v>
      </c>
      <c r="I602" s="4">
        <v>3400</v>
      </c>
      <c r="J602" s="8">
        <v>1</v>
      </c>
      <c r="K602" s="4">
        <v>3400</v>
      </c>
      <c r="L602" s="4">
        <v>1190</v>
      </c>
      <c r="M602" s="3">
        <v>0.35</v>
      </c>
    </row>
    <row r="603" spans="2:13" x14ac:dyDescent="0.3">
      <c r="B603" t="s">
        <v>60</v>
      </c>
      <c r="C603" s="1" t="s">
        <v>63</v>
      </c>
      <c r="D603" s="2">
        <v>45144</v>
      </c>
      <c r="E603" s="8" t="s">
        <v>23</v>
      </c>
      <c r="F603" s="8" t="s">
        <v>68</v>
      </c>
      <c r="G603" s="8" t="s">
        <v>22</v>
      </c>
      <c r="H603" t="s">
        <v>10</v>
      </c>
      <c r="I603" s="4">
        <v>1700</v>
      </c>
      <c r="J603" s="8">
        <v>4</v>
      </c>
      <c r="K603" s="4">
        <v>6800</v>
      </c>
      <c r="L603" s="4">
        <v>3400</v>
      </c>
      <c r="M603" s="3">
        <v>0.5</v>
      </c>
    </row>
    <row r="604" spans="2:13" x14ac:dyDescent="0.3">
      <c r="B604" t="s">
        <v>65</v>
      </c>
      <c r="C604" s="1" t="s">
        <v>63</v>
      </c>
      <c r="D604" s="2">
        <v>45146</v>
      </c>
      <c r="E604" s="8" t="s">
        <v>23</v>
      </c>
      <c r="F604" s="8" t="s">
        <v>68</v>
      </c>
      <c r="G604" s="8" t="s">
        <v>22</v>
      </c>
      <c r="H604" t="s">
        <v>18</v>
      </c>
      <c r="I604" s="4">
        <v>4600</v>
      </c>
      <c r="J604" s="8">
        <v>6</v>
      </c>
      <c r="K604" s="4">
        <v>27600</v>
      </c>
      <c r="L604" s="4">
        <v>6900</v>
      </c>
      <c r="M604" s="3">
        <v>0.25</v>
      </c>
    </row>
    <row r="605" spans="2:13" x14ac:dyDescent="0.3">
      <c r="B605" t="s">
        <v>60</v>
      </c>
      <c r="C605" s="1" t="s">
        <v>63</v>
      </c>
      <c r="D605" s="2">
        <v>45151</v>
      </c>
      <c r="E605" s="8" t="s">
        <v>23</v>
      </c>
      <c r="F605" s="8" t="s">
        <v>68</v>
      </c>
      <c r="G605" s="8" t="s">
        <v>22</v>
      </c>
      <c r="H605" t="s">
        <v>10</v>
      </c>
      <c r="I605" s="4">
        <v>1700</v>
      </c>
      <c r="J605" s="8">
        <v>7</v>
      </c>
      <c r="K605" s="4">
        <v>11900</v>
      </c>
      <c r="L605" s="4">
        <v>5950</v>
      </c>
      <c r="M605" s="3">
        <v>0.5</v>
      </c>
    </row>
    <row r="606" spans="2:13" x14ac:dyDescent="0.3">
      <c r="B606" t="s">
        <v>60</v>
      </c>
      <c r="C606" s="1" t="s">
        <v>63</v>
      </c>
      <c r="D606" s="2">
        <v>45153</v>
      </c>
      <c r="E606" s="8" t="s">
        <v>23</v>
      </c>
      <c r="F606" s="8" t="s">
        <v>68</v>
      </c>
      <c r="G606" s="8" t="s">
        <v>22</v>
      </c>
      <c r="H606" t="s">
        <v>14</v>
      </c>
      <c r="I606" s="4">
        <v>4500</v>
      </c>
      <c r="J606" s="8">
        <v>5</v>
      </c>
      <c r="K606" s="4">
        <v>22500</v>
      </c>
      <c r="L606" s="4">
        <v>5625</v>
      </c>
      <c r="M606" s="3">
        <v>0.25</v>
      </c>
    </row>
    <row r="607" spans="2:13" x14ac:dyDescent="0.3">
      <c r="B607" t="s">
        <v>60</v>
      </c>
      <c r="C607" s="1" t="s">
        <v>64</v>
      </c>
      <c r="D607" s="2">
        <v>45158</v>
      </c>
      <c r="E607" s="8" t="s">
        <v>23</v>
      </c>
      <c r="F607" s="8" t="s">
        <v>68</v>
      </c>
      <c r="G607" s="8" t="s">
        <v>22</v>
      </c>
      <c r="H607" t="s">
        <v>8</v>
      </c>
      <c r="I607" s="4">
        <v>1200</v>
      </c>
      <c r="J607" s="8">
        <v>5</v>
      </c>
      <c r="K607" s="4">
        <v>6000</v>
      </c>
      <c r="L607" s="4">
        <v>1800</v>
      </c>
      <c r="M607" s="3">
        <v>0.3</v>
      </c>
    </row>
    <row r="608" spans="2:13" x14ac:dyDescent="0.3">
      <c r="B608" t="s">
        <v>65</v>
      </c>
      <c r="C608" s="1" t="s">
        <v>64</v>
      </c>
      <c r="D608" s="2">
        <v>45160</v>
      </c>
      <c r="E608" s="8" t="s">
        <v>23</v>
      </c>
      <c r="F608" s="8" t="s">
        <v>68</v>
      </c>
      <c r="G608" s="8" t="s">
        <v>22</v>
      </c>
      <c r="H608" t="s">
        <v>20</v>
      </c>
      <c r="I608" s="4">
        <v>8902</v>
      </c>
      <c r="J608" s="8">
        <v>19</v>
      </c>
      <c r="K608" s="4">
        <v>169138</v>
      </c>
      <c r="L608" s="4">
        <v>59198.299999999996</v>
      </c>
      <c r="M608" s="3">
        <v>0.35</v>
      </c>
    </row>
    <row r="609" spans="2:13" x14ac:dyDescent="0.3">
      <c r="B609" t="s">
        <v>60</v>
      </c>
      <c r="C609" s="1" t="s">
        <v>64</v>
      </c>
      <c r="D609" s="2">
        <v>45165</v>
      </c>
      <c r="E609" s="8" t="s">
        <v>23</v>
      </c>
      <c r="F609" s="8" t="s">
        <v>68</v>
      </c>
      <c r="G609" s="8" t="s">
        <v>22</v>
      </c>
      <c r="H609" t="s">
        <v>11</v>
      </c>
      <c r="I609" s="4">
        <v>300</v>
      </c>
      <c r="J609" s="8">
        <v>1</v>
      </c>
      <c r="K609" s="4">
        <v>300</v>
      </c>
      <c r="L609" s="4">
        <v>45</v>
      </c>
      <c r="M609" s="3">
        <v>0.15</v>
      </c>
    </row>
    <row r="610" spans="2:13" x14ac:dyDescent="0.3">
      <c r="B610" t="s">
        <v>62</v>
      </c>
      <c r="C610" s="1" t="s">
        <v>63</v>
      </c>
      <c r="D610" s="2">
        <v>44766</v>
      </c>
      <c r="E610" s="8" t="s">
        <v>23</v>
      </c>
      <c r="F610" s="8" t="s">
        <v>86</v>
      </c>
      <c r="G610" s="8" t="s">
        <v>87</v>
      </c>
      <c r="H610" t="s">
        <v>15</v>
      </c>
      <c r="I610" s="4">
        <v>5300</v>
      </c>
      <c r="J610" s="8">
        <v>9</v>
      </c>
      <c r="K610" s="4">
        <v>47700</v>
      </c>
      <c r="L610" s="4">
        <v>14310</v>
      </c>
      <c r="M610" s="3">
        <v>0.3</v>
      </c>
    </row>
    <row r="611" spans="2:13" x14ac:dyDescent="0.3">
      <c r="B611" t="s">
        <v>60</v>
      </c>
      <c r="C611" s="1" t="s">
        <v>63</v>
      </c>
      <c r="D611" s="2">
        <v>44773</v>
      </c>
      <c r="E611" s="8" t="s">
        <v>23</v>
      </c>
      <c r="F611" s="8" t="s">
        <v>86</v>
      </c>
      <c r="G611" s="8" t="s">
        <v>87</v>
      </c>
      <c r="H611" t="s">
        <v>8</v>
      </c>
      <c r="I611" s="4">
        <v>1200</v>
      </c>
      <c r="J611" s="8">
        <v>3</v>
      </c>
      <c r="K611" s="4">
        <v>3600</v>
      </c>
      <c r="L611" s="4">
        <v>1080</v>
      </c>
      <c r="M611" s="3">
        <v>0.3</v>
      </c>
    </row>
    <row r="612" spans="2:13" x14ac:dyDescent="0.3">
      <c r="B612" t="s">
        <v>65</v>
      </c>
      <c r="C612" s="1" t="s">
        <v>63</v>
      </c>
      <c r="D612" s="2">
        <v>44780</v>
      </c>
      <c r="E612" s="8" t="s">
        <v>23</v>
      </c>
      <c r="F612" s="8" t="s">
        <v>86</v>
      </c>
      <c r="G612" s="8" t="s">
        <v>87</v>
      </c>
      <c r="H612" t="s">
        <v>11</v>
      </c>
      <c r="I612" s="4">
        <v>300</v>
      </c>
      <c r="J612" s="8">
        <v>6</v>
      </c>
      <c r="K612" s="4">
        <v>1800</v>
      </c>
      <c r="L612" s="4">
        <v>270</v>
      </c>
      <c r="M612" s="3">
        <v>0.15</v>
      </c>
    </row>
    <row r="613" spans="2:13" x14ac:dyDescent="0.3">
      <c r="B613" t="s">
        <v>65</v>
      </c>
      <c r="C613" s="1" t="s">
        <v>64</v>
      </c>
      <c r="D613" s="2">
        <v>44787</v>
      </c>
      <c r="E613" s="8" t="s">
        <v>23</v>
      </c>
      <c r="F613" s="8" t="s">
        <v>86</v>
      </c>
      <c r="G613" s="8" t="s">
        <v>87</v>
      </c>
      <c r="H613" t="s">
        <v>14</v>
      </c>
      <c r="I613" s="4">
        <v>4500</v>
      </c>
      <c r="J613" s="8">
        <v>6</v>
      </c>
      <c r="K613" s="4">
        <v>27000</v>
      </c>
      <c r="L613" s="4">
        <v>6750</v>
      </c>
      <c r="M613" s="3">
        <v>0.25</v>
      </c>
    </row>
    <row r="614" spans="2:13" x14ac:dyDescent="0.3">
      <c r="B614" t="s">
        <v>65</v>
      </c>
      <c r="C614" s="1" t="s">
        <v>64</v>
      </c>
      <c r="D614" s="2">
        <v>44794</v>
      </c>
      <c r="E614" s="8" t="s">
        <v>23</v>
      </c>
      <c r="F614" s="8" t="s">
        <v>86</v>
      </c>
      <c r="G614" s="8" t="s">
        <v>87</v>
      </c>
      <c r="H614" t="s">
        <v>9</v>
      </c>
      <c r="I614" s="4">
        <v>1500</v>
      </c>
      <c r="J614" s="8">
        <v>5</v>
      </c>
      <c r="K614" s="4">
        <v>7500</v>
      </c>
      <c r="L614" s="4">
        <v>3000</v>
      </c>
      <c r="M614" s="3">
        <v>0.4</v>
      </c>
    </row>
    <row r="615" spans="2:13" x14ac:dyDescent="0.3">
      <c r="B615" t="s">
        <v>65</v>
      </c>
      <c r="C615" s="1" t="s">
        <v>64</v>
      </c>
      <c r="D615" s="2">
        <v>44801</v>
      </c>
      <c r="E615" s="8" t="s">
        <v>23</v>
      </c>
      <c r="F615" s="8" t="s">
        <v>86</v>
      </c>
      <c r="G615" s="8" t="s">
        <v>87</v>
      </c>
      <c r="H615" t="s">
        <v>14</v>
      </c>
      <c r="I615" s="4">
        <v>4500</v>
      </c>
      <c r="J615" s="8">
        <v>7</v>
      </c>
      <c r="K615" s="4">
        <v>31500</v>
      </c>
      <c r="L615" s="4">
        <v>7875</v>
      </c>
      <c r="M615" s="3">
        <v>0.25</v>
      </c>
    </row>
    <row r="616" spans="2:13" x14ac:dyDescent="0.3">
      <c r="B616" t="s">
        <v>65</v>
      </c>
      <c r="C616" s="1" t="s">
        <v>63</v>
      </c>
      <c r="D616" s="2">
        <v>44808</v>
      </c>
      <c r="E616" s="8" t="s">
        <v>23</v>
      </c>
      <c r="F616" s="8" t="s">
        <v>86</v>
      </c>
      <c r="G616" s="8" t="s">
        <v>87</v>
      </c>
      <c r="H616" t="s">
        <v>13</v>
      </c>
      <c r="I616" s="4">
        <v>3200</v>
      </c>
      <c r="J616" s="8">
        <v>7</v>
      </c>
      <c r="K616" s="4">
        <v>22400</v>
      </c>
      <c r="L616" s="4">
        <v>4480</v>
      </c>
      <c r="M616" s="3">
        <v>0.2</v>
      </c>
    </row>
    <row r="617" spans="2:13" x14ac:dyDescent="0.3">
      <c r="B617" t="s">
        <v>65</v>
      </c>
      <c r="C617" s="1" t="s">
        <v>63</v>
      </c>
      <c r="D617" s="2">
        <v>44815</v>
      </c>
      <c r="E617" s="8" t="s">
        <v>23</v>
      </c>
      <c r="F617" s="8" t="s">
        <v>86</v>
      </c>
      <c r="G617" s="8" t="s">
        <v>87</v>
      </c>
      <c r="H617" t="s">
        <v>9</v>
      </c>
      <c r="I617" s="4">
        <v>1500</v>
      </c>
      <c r="J617" s="8">
        <v>9</v>
      </c>
      <c r="K617" s="4">
        <v>13500</v>
      </c>
      <c r="L617" s="4">
        <v>5400</v>
      </c>
      <c r="M617" s="3">
        <v>0.4</v>
      </c>
    </row>
    <row r="618" spans="2:13" x14ac:dyDescent="0.3">
      <c r="B618" t="s">
        <v>60</v>
      </c>
      <c r="C618" s="1" t="s">
        <v>63</v>
      </c>
      <c r="D618" s="2">
        <v>44822</v>
      </c>
      <c r="E618" s="8" t="s">
        <v>23</v>
      </c>
      <c r="F618" s="8" t="s">
        <v>86</v>
      </c>
      <c r="G618" s="8" t="s">
        <v>87</v>
      </c>
      <c r="H618" t="s">
        <v>12</v>
      </c>
      <c r="I618" s="4">
        <v>500</v>
      </c>
      <c r="J618" s="8">
        <v>2</v>
      </c>
      <c r="K618" s="4">
        <v>1000</v>
      </c>
      <c r="L618" s="4">
        <v>250</v>
      </c>
      <c r="M618" s="3">
        <v>0.25</v>
      </c>
    </row>
    <row r="619" spans="2:13" x14ac:dyDescent="0.3">
      <c r="B619" t="s">
        <v>65</v>
      </c>
      <c r="C619" s="1" t="s">
        <v>64</v>
      </c>
      <c r="D619" s="2">
        <v>44829</v>
      </c>
      <c r="E619" s="8" t="s">
        <v>23</v>
      </c>
      <c r="F619" s="8" t="s">
        <v>86</v>
      </c>
      <c r="G619" s="8" t="s">
        <v>87</v>
      </c>
      <c r="H619" t="s">
        <v>12</v>
      </c>
      <c r="I619" s="4">
        <v>500</v>
      </c>
      <c r="J619" s="8">
        <v>9</v>
      </c>
      <c r="K619" s="4">
        <v>4500</v>
      </c>
      <c r="L619" s="4">
        <v>1125</v>
      </c>
      <c r="M619" s="3">
        <v>0.25</v>
      </c>
    </row>
    <row r="620" spans="2:13" x14ac:dyDescent="0.3">
      <c r="B620" t="s">
        <v>65</v>
      </c>
      <c r="C620" s="1" t="s">
        <v>63</v>
      </c>
      <c r="D620" s="2">
        <v>44836</v>
      </c>
      <c r="E620" s="8" t="s">
        <v>23</v>
      </c>
      <c r="F620" s="8" t="s">
        <v>86</v>
      </c>
      <c r="G620" s="8" t="s">
        <v>87</v>
      </c>
      <c r="H620" t="s">
        <v>15</v>
      </c>
      <c r="I620" s="4">
        <v>5300</v>
      </c>
      <c r="J620" s="8">
        <v>4</v>
      </c>
      <c r="K620" s="4">
        <v>21200</v>
      </c>
      <c r="L620" s="4">
        <v>6360</v>
      </c>
      <c r="M620" s="3">
        <v>0.3</v>
      </c>
    </row>
    <row r="621" spans="2:13" x14ac:dyDescent="0.3">
      <c r="B621" t="s">
        <v>60</v>
      </c>
      <c r="C621" s="1" t="s">
        <v>63</v>
      </c>
      <c r="D621" s="2">
        <v>44843</v>
      </c>
      <c r="E621" s="8" t="s">
        <v>23</v>
      </c>
      <c r="F621" s="8" t="s">
        <v>86</v>
      </c>
      <c r="G621" s="8" t="s">
        <v>87</v>
      </c>
      <c r="H621" t="s">
        <v>18</v>
      </c>
      <c r="I621" s="4">
        <v>4600</v>
      </c>
      <c r="J621" s="8">
        <v>5</v>
      </c>
      <c r="K621" s="4">
        <v>23000</v>
      </c>
      <c r="L621" s="4">
        <v>5750</v>
      </c>
      <c r="M621" s="3">
        <v>0.25</v>
      </c>
    </row>
    <row r="622" spans="2:13" x14ac:dyDescent="0.3">
      <c r="B622" t="s">
        <v>60</v>
      </c>
      <c r="C622" s="1" t="s">
        <v>63</v>
      </c>
      <c r="D622" s="2">
        <v>44850</v>
      </c>
      <c r="E622" s="8" t="s">
        <v>23</v>
      </c>
      <c r="F622" s="8" t="s">
        <v>86</v>
      </c>
      <c r="G622" s="8" t="s">
        <v>87</v>
      </c>
      <c r="H622" t="s">
        <v>18</v>
      </c>
      <c r="I622" s="4">
        <v>4600</v>
      </c>
      <c r="J622" s="8">
        <v>11</v>
      </c>
      <c r="K622" s="4">
        <v>50600</v>
      </c>
      <c r="L622" s="4">
        <v>12650</v>
      </c>
      <c r="M622" s="3">
        <v>0.25</v>
      </c>
    </row>
    <row r="623" spans="2:13" x14ac:dyDescent="0.3">
      <c r="B623" t="s">
        <v>65</v>
      </c>
      <c r="C623" s="1" t="s">
        <v>63</v>
      </c>
      <c r="D623" s="2">
        <v>44857</v>
      </c>
      <c r="E623" s="8" t="s">
        <v>23</v>
      </c>
      <c r="F623" s="8" t="s">
        <v>86</v>
      </c>
      <c r="G623" s="8" t="s">
        <v>87</v>
      </c>
      <c r="H623" t="s">
        <v>8</v>
      </c>
      <c r="I623" s="4">
        <v>1200</v>
      </c>
      <c r="J623" s="8">
        <v>6</v>
      </c>
      <c r="K623" s="4">
        <v>7200</v>
      </c>
      <c r="L623" s="4">
        <v>2160</v>
      </c>
      <c r="M623" s="3">
        <v>0.3</v>
      </c>
    </row>
    <row r="624" spans="2:13" x14ac:dyDescent="0.3">
      <c r="B624" t="s">
        <v>65</v>
      </c>
      <c r="C624" s="1" t="s">
        <v>64</v>
      </c>
      <c r="D624" s="2">
        <v>44864</v>
      </c>
      <c r="E624" s="8" t="s">
        <v>23</v>
      </c>
      <c r="F624" s="8" t="s">
        <v>86</v>
      </c>
      <c r="G624" s="8" t="s">
        <v>87</v>
      </c>
      <c r="H624" t="s">
        <v>13</v>
      </c>
      <c r="I624" s="4">
        <v>3200</v>
      </c>
      <c r="J624" s="8">
        <v>1</v>
      </c>
      <c r="K624" s="4">
        <v>3200</v>
      </c>
      <c r="L624" s="4">
        <v>640</v>
      </c>
      <c r="M624" s="3">
        <v>0.2</v>
      </c>
    </row>
    <row r="625" spans="2:13" x14ac:dyDescent="0.3">
      <c r="B625" t="s">
        <v>65</v>
      </c>
      <c r="C625" s="1" t="s">
        <v>64</v>
      </c>
      <c r="D625" s="2">
        <v>44871</v>
      </c>
      <c r="E625" s="8" t="s">
        <v>23</v>
      </c>
      <c r="F625" s="8" t="s">
        <v>86</v>
      </c>
      <c r="G625" s="8" t="s">
        <v>87</v>
      </c>
      <c r="H625" t="s">
        <v>15</v>
      </c>
      <c r="I625" s="4">
        <v>5300</v>
      </c>
      <c r="J625" s="8">
        <v>12</v>
      </c>
      <c r="K625" s="4">
        <v>63600</v>
      </c>
      <c r="L625" s="4">
        <v>19080</v>
      </c>
      <c r="M625" s="3">
        <v>0.3</v>
      </c>
    </row>
    <row r="626" spans="2:13" x14ac:dyDescent="0.3">
      <c r="B626" t="s">
        <v>60</v>
      </c>
      <c r="C626" s="1" t="s">
        <v>63</v>
      </c>
      <c r="D626" s="2">
        <v>44878</v>
      </c>
      <c r="E626" s="8" t="s">
        <v>23</v>
      </c>
      <c r="F626" s="8" t="s">
        <v>86</v>
      </c>
      <c r="G626" s="8" t="s">
        <v>87</v>
      </c>
      <c r="H626" t="s">
        <v>12</v>
      </c>
      <c r="I626" s="4">
        <v>500</v>
      </c>
      <c r="J626" s="8">
        <v>5</v>
      </c>
      <c r="K626" s="4">
        <v>2500</v>
      </c>
      <c r="L626" s="4">
        <v>625</v>
      </c>
      <c r="M626" s="3">
        <v>0.25</v>
      </c>
    </row>
    <row r="627" spans="2:13" x14ac:dyDescent="0.3">
      <c r="B627" t="s">
        <v>61</v>
      </c>
      <c r="C627" s="1" t="s">
        <v>63</v>
      </c>
      <c r="D627" s="2">
        <v>44885</v>
      </c>
      <c r="E627" s="8" t="s">
        <v>23</v>
      </c>
      <c r="F627" s="8" t="s">
        <v>86</v>
      </c>
      <c r="G627" s="8" t="s">
        <v>87</v>
      </c>
      <c r="H627" t="s">
        <v>17</v>
      </c>
      <c r="I627" s="4">
        <v>5130</v>
      </c>
      <c r="J627" s="8">
        <v>7</v>
      </c>
      <c r="K627" s="4">
        <v>35910</v>
      </c>
      <c r="L627" s="4">
        <v>14364</v>
      </c>
      <c r="M627" s="3">
        <v>0.4</v>
      </c>
    </row>
    <row r="628" spans="2:13" x14ac:dyDescent="0.3">
      <c r="B628" t="s">
        <v>65</v>
      </c>
      <c r="C628" s="1" t="s">
        <v>64</v>
      </c>
      <c r="D628" s="2">
        <v>44892</v>
      </c>
      <c r="E628" s="8" t="s">
        <v>23</v>
      </c>
      <c r="F628" s="8" t="s">
        <v>86</v>
      </c>
      <c r="G628" s="8" t="s">
        <v>87</v>
      </c>
      <c r="H628" t="s">
        <v>9</v>
      </c>
      <c r="I628" s="4">
        <v>1500</v>
      </c>
      <c r="J628" s="8">
        <v>5</v>
      </c>
      <c r="K628" s="4">
        <v>7500</v>
      </c>
      <c r="L628" s="4">
        <v>3000</v>
      </c>
      <c r="M628" s="3">
        <v>0.4</v>
      </c>
    </row>
    <row r="629" spans="2:13" x14ac:dyDescent="0.3">
      <c r="B629" t="s">
        <v>60</v>
      </c>
      <c r="C629" s="1" t="s">
        <v>63</v>
      </c>
      <c r="D629" s="2">
        <v>44899</v>
      </c>
      <c r="E629" s="8" t="s">
        <v>23</v>
      </c>
      <c r="F629" s="8" t="s">
        <v>86</v>
      </c>
      <c r="G629" s="8" t="s">
        <v>87</v>
      </c>
      <c r="H629" t="s">
        <v>15</v>
      </c>
      <c r="I629" s="4">
        <v>5300</v>
      </c>
      <c r="J629" s="8">
        <v>10</v>
      </c>
      <c r="K629" s="4">
        <v>53000</v>
      </c>
      <c r="L629" s="4">
        <v>15900</v>
      </c>
      <c r="M629" s="3">
        <v>0.3</v>
      </c>
    </row>
    <row r="630" spans="2:13" x14ac:dyDescent="0.3">
      <c r="B630" t="s">
        <v>65</v>
      </c>
      <c r="C630" s="1" t="s">
        <v>63</v>
      </c>
      <c r="D630" s="2">
        <v>44906</v>
      </c>
      <c r="E630" s="8" t="s">
        <v>23</v>
      </c>
      <c r="F630" s="8" t="s">
        <v>86</v>
      </c>
      <c r="G630" s="8" t="s">
        <v>87</v>
      </c>
      <c r="H630" t="s">
        <v>19</v>
      </c>
      <c r="I630" s="4">
        <v>5340</v>
      </c>
      <c r="J630" s="8">
        <v>8</v>
      </c>
      <c r="K630" s="4">
        <v>42720</v>
      </c>
      <c r="L630" s="4">
        <v>12816</v>
      </c>
      <c r="M630" s="3">
        <v>0.3</v>
      </c>
    </row>
    <row r="631" spans="2:13" x14ac:dyDescent="0.3">
      <c r="B631" t="s">
        <v>66</v>
      </c>
      <c r="C631" s="1" t="s">
        <v>63</v>
      </c>
      <c r="D631" s="2">
        <v>44913</v>
      </c>
      <c r="E631" s="8" t="s">
        <v>23</v>
      </c>
      <c r="F631" s="8" t="s">
        <v>54</v>
      </c>
      <c r="G631" s="8" t="s">
        <v>28</v>
      </c>
      <c r="H631" t="s">
        <v>15</v>
      </c>
      <c r="I631" s="4">
        <v>5300</v>
      </c>
      <c r="J631" s="8">
        <v>6</v>
      </c>
      <c r="K631" s="4">
        <v>31800</v>
      </c>
      <c r="L631" s="4">
        <v>9540</v>
      </c>
      <c r="M631" s="3">
        <v>0.3</v>
      </c>
    </row>
    <row r="632" spans="2:13" x14ac:dyDescent="0.3">
      <c r="B632" t="s">
        <v>60</v>
      </c>
      <c r="C632" s="1" t="s">
        <v>64</v>
      </c>
      <c r="D632" s="2">
        <v>44920</v>
      </c>
      <c r="E632" s="8" t="s">
        <v>23</v>
      </c>
      <c r="F632" s="8" t="s">
        <v>88</v>
      </c>
      <c r="G632" s="8" t="s">
        <v>89</v>
      </c>
      <c r="H632" t="s">
        <v>12</v>
      </c>
      <c r="I632" s="4">
        <v>500</v>
      </c>
      <c r="J632" s="8">
        <v>5</v>
      </c>
      <c r="K632" s="4">
        <v>2500</v>
      </c>
      <c r="L632" s="4">
        <v>625</v>
      </c>
      <c r="M632" s="3">
        <v>0.25</v>
      </c>
    </row>
    <row r="633" spans="2:13" x14ac:dyDescent="0.3">
      <c r="B633" t="s">
        <v>65</v>
      </c>
      <c r="C633" s="1" t="s">
        <v>63</v>
      </c>
      <c r="D633" s="2">
        <v>44927</v>
      </c>
      <c r="E633" s="8" t="s">
        <v>23</v>
      </c>
      <c r="F633" s="8" t="s">
        <v>88</v>
      </c>
      <c r="G633" s="8" t="s">
        <v>89</v>
      </c>
      <c r="H633" t="s">
        <v>20</v>
      </c>
      <c r="I633" s="4">
        <v>8902</v>
      </c>
      <c r="J633" s="8">
        <v>11</v>
      </c>
      <c r="K633" s="4">
        <v>97922</v>
      </c>
      <c r="L633" s="4">
        <v>34272.699999999997</v>
      </c>
      <c r="M633" s="3">
        <v>0.35</v>
      </c>
    </row>
    <row r="634" spans="2:13" x14ac:dyDescent="0.3">
      <c r="B634" t="s">
        <v>66</v>
      </c>
      <c r="C634" s="1" t="s">
        <v>63</v>
      </c>
      <c r="D634" s="2">
        <v>44934</v>
      </c>
      <c r="E634" s="8" t="s">
        <v>23</v>
      </c>
      <c r="F634" s="8" t="s">
        <v>88</v>
      </c>
      <c r="G634" s="8" t="s">
        <v>89</v>
      </c>
      <c r="H634" t="s">
        <v>19</v>
      </c>
      <c r="I634" s="4">
        <v>5340</v>
      </c>
      <c r="J634" s="8">
        <v>5</v>
      </c>
      <c r="K634" s="4">
        <v>26700</v>
      </c>
      <c r="L634" s="4">
        <v>8010</v>
      </c>
      <c r="M634" s="3">
        <v>0.3</v>
      </c>
    </row>
    <row r="635" spans="2:13" x14ac:dyDescent="0.3">
      <c r="B635" t="s">
        <v>66</v>
      </c>
      <c r="C635" s="1" t="s">
        <v>64</v>
      </c>
      <c r="D635" s="2">
        <v>44941</v>
      </c>
      <c r="E635" s="8" t="s">
        <v>23</v>
      </c>
      <c r="F635" s="8" t="s">
        <v>88</v>
      </c>
      <c r="G635" s="8" t="s">
        <v>89</v>
      </c>
      <c r="H635" t="s">
        <v>11</v>
      </c>
      <c r="I635" s="4">
        <v>300</v>
      </c>
      <c r="J635" s="8">
        <v>3</v>
      </c>
      <c r="K635" s="4">
        <v>900</v>
      </c>
      <c r="L635" s="4">
        <v>135</v>
      </c>
      <c r="M635" s="3">
        <v>0.15</v>
      </c>
    </row>
    <row r="636" spans="2:13" x14ac:dyDescent="0.3">
      <c r="B636" t="s">
        <v>65</v>
      </c>
      <c r="C636" s="1" t="s">
        <v>64</v>
      </c>
      <c r="D636" s="2">
        <v>44948</v>
      </c>
      <c r="E636" s="8" t="s">
        <v>23</v>
      </c>
      <c r="F636" s="8" t="s">
        <v>88</v>
      </c>
      <c r="G636" s="8" t="s">
        <v>89</v>
      </c>
      <c r="H636" t="s">
        <v>13</v>
      </c>
      <c r="I636" s="4">
        <v>3200</v>
      </c>
      <c r="J636" s="8">
        <v>3</v>
      </c>
      <c r="K636" s="4">
        <v>9600</v>
      </c>
      <c r="L636" s="4">
        <v>1920</v>
      </c>
      <c r="M636" s="3">
        <v>0.2</v>
      </c>
    </row>
    <row r="637" spans="2:13" x14ac:dyDescent="0.3">
      <c r="B637" t="s">
        <v>61</v>
      </c>
      <c r="C637" s="1" t="s">
        <v>63</v>
      </c>
      <c r="D637" s="2">
        <v>44955</v>
      </c>
      <c r="E637" s="8" t="s">
        <v>23</v>
      </c>
      <c r="F637" s="8" t="s">
        <v>88</v>
      </c>
      <c r="G637" s="8" t="s">
        <v>89</v>
      </c>
      <c r="H637" t="s">
        <v>15</v>
      </c>
      <c r="I637" s="4">
        <v>5300</v>
      </c>
      <c r="J637" s="8">
        <v>1</v>
      </c>
      <c r="K637" s="4">
        <v>5300</v>
      </c>
      <c r="L637" s="4">
        <v>1590</v>
      </c>
      <c r="M637" s="3">
        <v>0.3</v>
      </c>
    </row>
    <row r="638" spans="2:13" x14ac:dyDescent="0.3">
      <c r="B638" t="s">
        <v>60</v>
      </c>
      <c r="C638" s="1" t="s">
        <v>64</v>
      </c>
      <c r="D638" s="2">
        <v>44962</v>
      </c>
      <c r="E638" s="8" t="s">
        <v>23</v>
      </c>
      <c r="F638" s="8" t="s">
        <v>88</v>
      </c>
      <c r="G638" s="8" t="s">
        <v>89</v>
      </c>
      <c r="H638" t="s">
        <v>16</v>
      </c>
      <c r="I638" s="4">
        <v>3400</v>
      </c>
      <c r="J638" s="8">
        <v>1</v>
      </c>
      <c r="K638" s="4">
        <v>3400</v>
      </c>
      <c r="L638" s="4">
        <v>1190</v>
      </c>
      <c r="M638" s="3">
        <v>0.35</v>
      </c>
    </row>
    <row r="639" spans="2:13" x14ac:dyDescent="0.3">
      <c r="B639" t="s">
        <v>65</v>
      </c>
      <c r="C639" s="1" t="s">
        <v>63</v>
      </c>
      <c r="D639" s="2">
        <v>44969</v>
      </c>
      <c r="E639" s="8" t="s">
        <v>23</v>
      </c>
      <c r="F639" s="8" t="s">
        <v>88</v>
      </c>
      <c r="G639" s="8" t="s">
        <v>89</v>
      </c>
      <c r="H639" t="s">
        <v>13</v>
      </c>
      <c r="I639" s="4">
        <v>3200</v>
      </c>
      <c r="J639" s="8">
        <v>7</v>
      </c>
      <c r="K639" s="4">
        <v>22400</v>
      </c>
      <c r="L639" s="4">
        <v>4480</v>
      </c>
      <c r="M639" s="3">
        <v>0.2</v>
      </c>
    </row>
    <row r="640" spans="2:13" x14ac:dyDescent="0.3">
      <c r="B640" t="s">
        <v>65</v>
      </c>
      <c r="C640" s="1" t="s">
        <v>63</v>
      </c>
      <c r="D640" s="2">
        <v>44976</v>
      </c>
      <c r="E640" s="8" t="s">
        <v>23</v>
      </c>
      <c r="F640" s="8" t="s">
        <v>88</v>
      </c>
      <c r="G640" s="8" t="s">
        <v>89</v>
      </c>
      <c r="H640" t="s">
        <v>12</v>
      </c>
      <c r="I640" s="4">
        <v>500</v>
      </c>
      <c r="J640" s="8">
        <v>5</v>
      </c>
      <c r="K640" s="4">
        <v>2500</v>
      </c>
      <c r="L640" s="4">
        <v>625</v>
      </c>
      <c r="M640" s="3">
        <v>0.25</v>
      </c>
    </row>
    <row r="641" spans="2:13" x14ac:dyDescent="0.3">
      <c r="B641" t="s">
        <v>65</v>
      </c>
      <c r="C641" s="1" t="s">
        <v>63</v>
      </c>
      <c r="D641" s="2">
        <v>44983</v>
      </c>
      <c r="E641" s="8" t="s">
        <v>23</v>
      </c>
      <c r="F641" s="8" t="s">
        <v>88</v>
      </c>
      <c r="G641" s="8" t="s">
        <v>89</v>
      </c>
      <c r="H641" t="s">
        <v>18</v>
      </c>
      <c r="I641" s="4">
        <v>4600</v>
      </c>
      <c r="J641" s="8">
        <v>12</v>
      </c>
      <c r="K641" s="4">
        <v>55200</v>
      </c>
      <c r="L641" s="4">
        <v>13800</v>
      </c>
      <c r="M641" s="3">
        <v>0.25</v>
      </c>
    </row>
    <row r="642" spans="2:13" x14ac:dyDescent="0.3">
      <c r="B642" t="s">
        <v>66</v>
      </c>
      <c r="C642" s="1" t="s">
        <v>63</v>
      </c>
      <c r="D642" s="2">
        <v>44990</v>
      </c>
      <c r="E642" s="8" t="s">
        <v>23</v>
      </c>
      <c r="F642" s="8" t="s">
        <v>88</v>
      </c>
      <c r="G642" s="8" t="s">
        <v>89</v>
      </c>
      <c r="H642" t="s">
        <v>17</v>
      </c>
      <c r="I642" s="4">
        <v>5130</v>
      </c>
      <c r="J642" s="8">
        <v>7</v>
      </c>
      <c r="K642" s="4">
        <v>35910</v>
      </c>
      <c r="L642" s="4">
        <v>14364</v>
      </c>
      <c r="M642" s="3">
        <v>0.4</v>
      </c>
    </row>
    <row r="643" spans="2:13" x14ac:dyDescent="0.3">
      <c r="B643" t="s">
        <v>65</v>
      </c>
      <c r="C643" s="1" t="s">
        <v>63</v>
      </c>
      <c r="D643" s="2">
        <v>44997</v>
      </c>
      <c r="E643" s="8" t="s">
        <v>23</v>
      </c>
      <c r="F643" s="8" t="s">
        <v>88</v>
      </c>
      <c r="G643" s="8" t="s">
        <v>89</v>
      </c>
      <c r="H643" t="s">
        <v>20</v>
      </c>
      <c r="I643" s="4">
        <v>8902</v>
      </c>
      <c r="J643" s="8">
        <v>10</v>
      </c>
      <c r="K643" s="4">
        <v>89020</v>
      </c>
      <c r="L643" s="4">
        <v>31156.999999999996</v>
      </c>
      <c r="M643" s="3">
        <v>0.35</v>
      </c>
    </row>
    <row r="644" spans="2:13" x14ac:dyDescent="0.3">
      <c r="B644" t="s">
        <v>60</v>
      </c>
      <c r="C644" s="1" t="s">
        <v>63</v>
      </c>
      <c r="D644" s="2">
        <v>45004</v>
      </c>
      <c r="E644" s="8" t="s">
        <v>23</v>
      </c>
      <c r="F644" s="8" t="s">
        <v>88</v>
      </c>
      <c r="G644" s="8" t="s">
        <v>89</v>
      </c>
      <c r="H644" t="s">
        <v>20</v>
      </c>
      <c r="I644" s="4">
        <v>8902</v>
      </c>
      <c r="J644" s="8">
        <v>9</v>
      </c>
      <c r="K644" s="4">
        <v>80118</v>
      </c>
      <c r="L644" s="4">
        <v>28041.3</v>
      </c>
      <c r="M644" s="3">
        <v>0.35</v>
      </c>
    </row>
    <row r="645" spans="2:13" x14ac:dyDescent="0.3">
      <c r="B645" t="s">
        <v>60</v>
      </c>
      <c r="C645" s="1" t="s">
        <v>63</v>
      </c>
      <c r="D645" s="2">
        <v>45011</v>
      </c>
      <c r="E645" s="8" t="s">
        <v>23</v>
      </c>
      <c r="F645" s="8" t="s">
        <v>88</v>
      </c>
      <c r="G645" s="8" t="s">
        <v>89</v>
      </c>
      <c r="H645" t="s">
        <v>20</v>
      </c>
      <c r="I645" s="4">
        <v>8902</v>
      </c>
      <c r="J645" s="8">
        <v>9</v>
      </c>
      <c r="K645" s="4">
        <v>80118</v>
      </c>
      <c r="L645" s="4">
        <v>28041.3</v>
      </c>
      <c r="M645" s="3">
        <v>0.35</v>
      </c>
    </row>
    <row r="646" spans="2:13" x14ac:dyDescent="0.3">
      <c r="B646" t="s">
        <v>60</v>
      </c>
      <c r="C646" s="1" t="s">
        <v>63</v>
      </c>
      <c r="D646" s="2">
        <v>45018</v>
      </c>
      <c r="E646" s="8" t="s">
        <v>23</v>
      </c>
      <c r="F646" s="8" t="s">
        <v>88</v>
      </c>
      <c r="G646" s="8" t="s">
        <v>89</v>
      </c>
      <c r="H646" t="s">
        <v>12</v>
      </c>
      <c r="I646" s="4">
        <v>500</v>
      </c>
      <c r="J646" s="8">
        <v>6</v>
      </c>
      <c r="K646" s="4">
        <v>3000</v>
      </c>
      <c r="L646" s="4">
        <v>750</v>
      </c>
      <c r="M646" s="3">
        <v>0.25</v>
      </c>
    </row>
    <row r="647" spans="2:13" x14ac:dyDescent="0.3">
      <c r="B647" t="s">
        <v>61</v>
      </c>
      <c r="C647" s="1" t="s">
        <v>63</v>
      </c>
      <c r="D647" s="2">
        <v>45025</v>
      </c>
      <c r="E647" s="8" t="s">
        <v>23</v>
      </c>
      <c r="F647" s="8" t="s">
        <v>88</v>
      </c>
      <c r="G647" s="8" t="s">
        <v>89</v>
      </c>
      <c r="H647" t="s">
        <v>20</v>
      </c>
      <c r="I647" s="4">
        <v>8902</v>
      </c>
      <c r="J647" s="8">
        <v>6</v>
      </c>
      <c r="K647" s="4">
        <v>53412</v>
      </c>
      <c r="L647" s="4">
        <v>18694.199999999997</v>
      </c>
      <c r="M647" s="3">
        <v>0.35</v>
      </c>
    </row>
    <row r="648" spans="2:13" x14ac:dyDescent="0.3">
      <c r="B648" t="s">
        <v>65</v>
      </c>
      <c r="C648" s="1" t="s">
        <v>63</v>
      </c>
      <c r="D648" s="2">
        <v>45032</v>
      </c>
      <c r="E648" s="8" t="s">
        <v>23</v>
      </c>
      <c r="F648" s="8" t="s">
        <v>88</v>
      </c>
      <c r="G648" s="8" t="s">
        <v>89</v>
      </c>
      <c r="H648" t="s">
        <v>8</v>
      </c>
      <c r="I648" s="4">
        <v>1200</v>
      </c>
      <c r="J648" s="8">
        <v>8</v>
      </c>
      <c r="K648" s="4">
        <v>9600</v>
      </c>
      <c r="L648" s="4">
        <v>2880</v>
      </c>
      <c r="M648" s="3">
        <v>0.3</v>
      </c>
    </row>
    <row r="649" spans="2:13" x14ac:dyDescent="0.3">
      <c r="B649" t="s">
        <v>65</v>
      </c>
      <c r="C649" s="1" t="s">
        <v>63</v>
      </c>
      <c r="D649" s="2">
        <v>45039</v>
      </c>
      <c r="E649" s="8" t="s">
        <v>23</v>
      </c>
      <c r="F649" s="8" t="s">
        <v>88</v>
      </c>
      <c r="G649" s="8" t="s">
        <v>89</v>
      </c>
      <c r="H649" t="s">
        <v>9</v>
      </c>
      <c r="I649" s="4">
        <v>1500</v>
      </c>
      <c r="J649" s="8">
        <v>5</v>
      </c>
      <c r="K649" s="4">
        <v>7500</v>
      </c>
      <c r="L649" s="4">
        <v>3000</v>
      </c>
      <c r="M649" s="3">
        <v>0.4</v>
      </c>
    </row>
    <row r="650" spans="2:13" x14ac:dyDescent="0.3">
      <c r="B650" t="s">
        <v>66</v>
      </c>
      <c r="C650" s="1" t="s">
        <v>63</v>
      </c>
      <c r="D650" s="2">
        <v>45046</v>
      </c>
      <c r="E650" s="8" t="s">
        <v>23</v>
      </c>
      <c r="F650" s="8" t="s">
        <v>88</v>
      </c>
      <c r="G650" s="8" t="s">
        <v>89</v>
      </c>
      <c r="H650" t="s">
        <v>19</v>
      </c>
      <c r="I650" s="4">
        <v>5340</v>
      </c>
      <c r="J650" s="8">
        <v>9</v>
      </c>
      <c r="K650" s="4">
        <v>48060</v>
      </c>
      <c r="L650" s="4">
        <v>14418</v>
      </c>
      <c r="M650" s="3">
        <v>0.3</v>
      </c>
    </row>
    <row r="651" spans="2:13" x14ac:dyDescent="0.3">
      <c r="B651" t="s">
        <v>66</v>
      </c>
      <c r="C651" s="1" t="s">
        <v>63</v>
      </c>
      <c r="D651" s="2">
        <v>45053</v>
      </c>
      <c r="E651" s="8" t="s">
        <v>23</v>
      </c>
      <c r="F651" s="8" t="s">
        <v>88</v>
      </c>
      <c r="G651" s="8" t="s">
        <v>89</v>
      </c>
      <c r="H651" t="s">
        <v>13</v>
      </c>
      <c r="I651" s="4">
        <v>3200</v>
      </c>
      <c r="J651" s="8">
        <v>2</v>
      </c>
      <c r="K651" s="4">
        <v>6400</v>
      </c>
      <c r="L651" s="4">
        <v>1280</v>
      </c>
      <c r="M651" s="3">
        <v>0.2</v>
      </c>
    </row>
    <row r="652" spans="2:13" x14ac:dyDescent="0.3">
      <c r="B652" t="s">
        <v>65</v>
      </c>
      <c r="C652" s="1" t="s">
        <v>64</v>
      </c>
      <c r="D652" s="2">
        <v>45060</v>
      </c>
      <c r="E652" s="8" t="s">
        <v>23</v>
      </c>
      <c r="F652" s="8" t="s">
        <v>88</v>
      </c>
      <c r="G652" s="8" t="s">
        <v>89</v>
      </c>
      <c r="H652" t="s">
        <v>15</v>
      </c>
      <c r="I652" s="4">
        <v>5300</v>
      </c>
      <c r="J652" s="8">
        <v>2</v>
      </c>
      <c r="K652" s="4">
        <v>10600</v>
      </c>
      <c r="L652" s="4">
        <v>3180</v>
      </c>
      <c r="M652" s="3">
        <v>0.3</v>
      </c>
    </row>
    <row r="653" spans="2:13" x14ac:dyDescent="0.3">
      <c r="B653" t="s">
        <v>66</v>
      </c>
      <c r="C653" s="1" t="s">
        <v>63</v>
      </c>
      <c r="D653" s="2">
        <v>45067</v>
      </c>
      <c r="E653" s="8" t="s">
        <v>23</v>
      </c>
      <c r="F653" s="8" t="s">
        <v>88</v>
      </c>
      <c r="G653" s="8" t="s">
        <v>89</v>
      </c>
      <c r="H653" t="s">
        <v>9</v>
      </c>
      <c r="I653" s="4">
        <v>1500</v>
      </c>
      <c r="J653" s="8">
        <v>11</v>
      </c>
      <c r="K653" s="4">
        <v>16500</v>
      </c>
      <c r="L653" s="4">
        <v>6600</v>
      </c>
      <c r="M653" s="3">
        <v>0.4</v>
      </c>
    </row>
    <row r="654" spans="2:13" x14ac:dyDescent="0.3">
      <c r="B654" t="s">
        <v>62</v>
      </c>
      <c r="C654" s="1" t="s">
        <v>63</v>
      </c>
      <c r="D654" s="2">
        <v>45074</v>
      </c>
      <c r="E654" s="8" t="s">
        <v>23</v>
      </c>
      <c r="F654" s="8" t="s">
        <v>88</v>
      </c>
      <c r="G654" s="8" t="s">
        <v>89</v>
      </c>
      <c r="H654" t="s">
        <v>18</v>
      </c>
      <c r="I654" s="4">
        <v>4600</v>
      </c>
      <c r="J654" s="8">
        <v>9</v>
      </c>
      <c r="K654" s="4">
        <v>41400</v>
      </c>
      <c r="L654" s="4">
        <v>10350</v>
      </c>
      <c r="M654" s="3">
        <v>0.25</v>
      </c>
    </row>
    <row r="655" spans="2:13" x14ac:dyDescent="0.3">
      <c r="B655" t="s">
        <v>60</v>
      </c>
      <c r="C655" s="1" t="s">
        <v>63</v>
      </c>
      <c r="D655" s="2">
        <v>45081</v>
      </c>
      <c r="E655" s="8" t="s">
        <v>23</v>
      </c>
      <c r="F655" s="8" t="s">
        <v>88</v>
      </c>
      <c r="G655" s="8" t="s">
        <v>89</v>
      </c>
      <c r="H655" t="s">
        <v>10</v>
      </c>
      <c r="I655" s="4">
        <v>1700</v>
      </c>
      <c r="J655" s="8">
        <v>6</v>
      </c>
      <c r="K655" s="4">
        <v>10200</v>
      </c>
      <c r="L655" s="4">
        <v>5100</v>
      </c>
      <c r="M655" s="3">
        <v>0.5</v>
      </c>
    </row>
    <row r="656" spans="2:13" x14ac:dyDescent="0.3">
      <c r="B656" t="s">
        <v>60</v>
      </c>
      <c r="C656" s="1" t="s">
        <v>64</v>
      </c>
      <c r="D656" s="2">
        <v>45088</v>
      </c>
      <c r="E656" s="8" t="s">
        <v>23</v>
      </c>
      <c r="F656" s="8" t="s">
        <v>90</v>
      </c>
      <c r="G656" s="8" t="s">
        <v>91</v>
      </c>
      <c r="H656" t="s">
        <v>12</v>
      </c>
      <c r="I656" s="4">
        <v>500</v>
      </c>
      <c r="J656" s="8">
        <v>7</v>
      </c>
      <c r="K656" s="4">
        <v>3500</v>
      </c>
      <c r="L656" s="4">
        <v>875</v>
      </c>
      <c r="M656" s="3">
        <v>0.25</v>
      </c>
    </row>
    <row r="657" spans="2:13" x14ac:dyDescent="0.3">
      <c r="B657" t="s">
        <v>65</v>
      </c>
      <c r="C657" s="1" t="s">
        <v>63</v>
      </c>
      <c r="D657" s="2">
        <v>45095</v>
      </c>
      <c r="E657" s="8" t="s">
        <v>23</v>
      </c>
      <c r="F657" s="8" t="s">
        <v>90</v>
      </c>
      <c r="G657" s="8" t="s">
        <v>91</v>
      </c>
      <c r="H657" t="s">
        <v>11</v>
      </c>
      <c r="I657" s="4">
        <v>300</v>
      </c>
      <c r="J657" s="8">
        <v>12</v>
      </c>
      <c r="K657" s="4">
        <v>3600</v>
      </c>
      <c r="L657" s="4">
        <v>540</v>
      </c>
      <c r="M657" s="3">
        <v>0.15</v>
      </c>
    </row>
    <row r="658" spans="2:13" x14ac:dyDescent="0.3">
      <c r="B658" t="s">
        <v>65</v>
      </c>
      <c r="C658" s="1" t="s">
        <v>63</v>
      </c>
      <c r="D658" s="2">
        <v>45102</v>
      </c>
      <c r="E658" s="8" t="s">
        <v>23</v>
      </c>
      <c r="F658" s="8" t="s">
        <v>90</v>
      </c>
      <c r="G658" s="8" t="s">
        <v>91</v>
      </c>
      <c r="H658" t="s">
        <v>13</v>
      </c>
      <c r="I658" s="4">
        <v>3200</v>
      </c>
      <c r="J658" s="8">
        <v>15</v>
      </c>
      <c r="K658" s="4">
        <v>48000</v>
      </c>
      <c r="L658" s="4">
        <v>9600</v>
      </c>
      <c r="M658" s="3">
        <v>0.2</v>
      </c>
    </row>
    <row r="659" spans="2:13" x14ac:dyDescent="0.3">
      <c r="B659" t="s">
        <v>60</v>
      </c>
      <c r="C659" s="1" t="s">
        <v>64</v>
      </c>
      <c r="D659" s="2">
        <v>45109</v>
      </c>
      <c r="E659" s="8" t="s">
        <v>23</v>
      </c>
      <c r="F659" s="8" t="s">
        <v>90</v>
      </c>
      <c r="G659" s="8" t="s">
        <v>91</v>
      </c>
      <c r="H659" t="s">
        <v>12</v>
      </c>
      <c r="I659" s="4">
        <v>500</v>
      </c>
      <c r="J659" s="8">
        <v>12</v>
      </c>
      <c r="K659" s="4">
        <v>6000</v>
      </c>
      <c r="L659" s="4">
        <v>1500</v>
      </c>
      <c r="M659" s="3">
        <v>0.25</v>
      </c>
    </row>
    <row r="660" spans="2:13" x14ac:dyDescent="0.3">
      <c r="B660" t="s">
        <v>60</v>
      </c>
      <c r="C660" s="1" t="s">
        <v>63</v>
      </c>
      <c r="D660" s="2">
        <v>45116</v>
      </c>
      <c r="E660" s="8" t="s">
        <v>23</v>
      </c>
      <c r="F660" s="8" t="s">
        <v>90</v>
      </c>
      <c r="G660" s="8" t="s">
        <v>91</v>
      </c>
      <c r="H660" t="s">
        <v>8</v>
      </c>
      <c r="I660" s="4">
        <v>1200</v>
      </c>
      <c r="J660" s="8">
        <v>7</v>
      </c>
      <c r="K660" s="4">
        <v>8400</v>
      </c>
      <c r="L660" s="4">
        <v>2520</v>
      </c>
      <c r="M660" s="3">
        <v>0.3</v>
      </c>
    </row>
    <row r="661" spans="2:13" x14ac:dyDescent="0.3">
      <c r="B661" t="s">
        <v>61</v>
      </c>
      <c r="C661" s="1" t="s">
        <v>63</v>
      </c>
      <c r="D661" s="2">
        <v>45123</v>
      </c>
      <c r="E661" s="8" t="s">
        <v>23</v>
      </c>
      <c r="F661" s="8" t="s">
        <v>90</v>
      </c>
      <c r="G661" s="8" t="s">
        <v>91</v>
      </c>
      <c r="H661" t="s">
        <v>10</v>
      </c>
      <c r="I661" s="4">
        <v>1700</v>
      </c>
      <c r="J661" s="8">
        <v>2</v>
      </c>
      <c r="K661" s="4">
        <v>3400</v>
      </c>
      <c r="L661" s="4">
        <v>1700</v>
      </c>
      <c r="M661" s="3">
        <v>0.5</v>
      </c>
    </row>
    <row r="662" spans="2:13" x14ac:dyDescent="0.3">
      <c r="B662" t="s">
        <v>65</v>
      </c>
      <c r="C662" s="1" t="s">
        <v>63</v>
      </c>
      <c r="D662" s="2">
        <v>45130</v>
      </c>
      <c r="E662" s="8" t="s">
        <v>23</v>
      </c>
      <c r="F662" s="8" t="s">
        <v>90</v>
      </c>
      <c r="G662" s="8" t="s">
        <v>91</v>
      </c>
      <c r="H662" t="s">
        <v>16</v>
      </c>
      <c r="I662" s="4">
        <v>3400</v>
      </c>
      <c r="J662" s="8">
        <v>12</v>
      </c>
      <c r="K662" s="4">
        <v>40800</v>
      </c>
      <c r="L662" s="4">
        <v>14280</v>
      </c>
      <c r="M662" s="3">
        <v>0.35</v>
      </c>
    </row>
    <row r="663" spans="2:13" x14ac:dyDescent="0.3">
      <c r="B663" t="s">
        <v>65</v>
      </c>
      <c r="C663" s="1" t="s">
        <v>63</v>
      </c>
      <c r="D663" s="2">
        <v>45137</v>
      </c>
      <c r="E663" s="8" t="s">
        <v>23</v>
      </c>
      <c r="F663" s="8" t="s">
        <v>90</v>
      </c>
      <c r="G663" s="8" t="s">
        <v>91</v>
      </c>
      <c r="H663" t="s">
        <v>13</v>
      </c>
      <c r="I663" s="4">
        <v>3200</v>
      </c>
      <c r="J663" s="8">
        <v>3</v>
      </c>
      <c r="K663" s="4">
        <v>9600</v>
      </c>
      <c r="L663" s="4">
        <v>1920</v>
      </c>
      <c r="M663" s="3">
        <v>0.2</v>
      </c>
    </row>
    <row r="664" spans="2:13" x14ac:dyDescent="0.3">
      <c r="B664" t="s">
        <v>61</v>
      </c>
      <c r="C664" s="1" t="s">
        <v>63</v>
      </c>
      <c r="D664" s="2">
        <v>45139</v>
      </c>
      <c r="E664" s="8" t="s">
        <v>23</v>
      </c>
      <c r="F664" s="8" t="s">
        <v>90</v>
      </c>
      <c r="G664" s="8" t="s">
        <v>91</v>
      </c>
      <c r="H664" t="s">
        <v>16</v>
      </c>
      <c r="I664" s="4">
        <v>3400</v>
      </c>
      <c r="J664" s="8">
        <v>1</v>
      </c>
      <c r="K664" s="4">
        <v>3400</v>
      </c>
      <c r="L664" s="4">
        <v>1190</v>
      </c>
      <c r="M664" s="3">
        <v>0.35</v>
      </c>
    </row>
    <row r="665" spans="2:13" x14ac:dyDescent="0.3">
      <c r="B665" t="s">
        <v>60</v>
      </c>
      <c r="C665" s="1" t="s">
        <v>63</v>
      </c>
      <c r="D665" s="2">
        <v>45144</v>
      </c>
      <c r="E665" s="8" t="s">
        <v>23</v>
      </c>
      <c r="F665" s="8" t="s">
        <v>90</v>
      </c>
      <c r="G665" s="8" t="s">
        <v>91</v>
      </c>
      <c r="H665" t="s">
        <v>10</v>
      </c>
      <c r="I665" s="4">
        <v>1700</v>
      </c>
      <c r="J665" s="8">
        <v>4</v>
      </c>
      <c r="K665" s="4">
        <v>6800</v>
      </c>
      <c r="L665" s="4">
        <v>3400</v>
      </c>
      <c r="M665" s="3">
        <v>0.5</v>
      </c>
    </row>
    <row r="666" spans="2:13" x14ac:dyDescent="0.3">
      <c r="B666" t="s">
        <v>65</v>
      </c>
      <c r="C666" s="1" t="s">
        <v>63</v>
      </c>
      <c r="D666" s="2">
        <v>45146</v>
      </c>
      <c r="E666" s="8" t="s">
        <v>23</v>
      </c>
      <c r="F666" s="8" t="s">
        <v>90</v>
      </c>
      <c r="G666" s="8" t="s">
        <v>91</v>
      </c>
      <c r="H666" t="s">
        <v>18</v>
      </c>
      <c r="I666" s="4">
        <v>4600</v>
      </c>
      <c r="J666" s="8">
        <v>6</v>
      </c>
      <c r="K666" s="4">
        <v>27600</v>
      </c>
      <c r="L666" s="4">
        <v>6900</v>
      </c>
      <c r="M666" s="3">
        <v>0.25</v>
      </c>
    </row>
    <row r="667" spans="2:13" x14ac:dyDescent="0.3">
      <c r="B667" t="s">
        <v>60</v>
      </c>
      <c r="C667" s="1" t="s">
        <v>63</v>
      </c>
      <c r="D667" s="2">
        <v>45151</v>
      </c>
      <c r="E667" s="8" t="s">
        <v>23</v>
      </c>
      <c r="F667" s="8" t="s">
        <v>90</v>
      </c>
      <c r="G667" s="8" t="s">
        <v>91</v>
      </c>
      <c r="H667" t="s">
        <v>10</v>
      </c>
      <c r="I667" s="4">
        <v>1700</v>
      </c>
      <c r="J667" s="8">
        <v>7</v>
      </c>
      <c r="K667" s="4">
        <v>11900</v>
      </c>
      <c r="L667" s="4">
        <v>5950</v>
      </c>
      <c r="M667" s="3">
        <v>0.5</v>
      </c>
    </row>
    <row r="668" spans="2:13" x14ac:dyDescent="0.3">
      <c r="B668" t="s">
        <v>60</v>
      </c>
      <c r="C668" s="1" t="s">
        <v>63</v>
      </c>
      <c r="D668" s="2">
        <v>45153</v>
      </c>
      <c r="E668" s="8" t="s">
        <v>23</v>
      </c>
      <c r="F668" s="8" t="s">
        <v>90</v>
      </c>
      <c r="G668" s="8" t="s">
        <v>91</v>
      </c>
      <c r="H668" t="s">
        <v>14</v>
      </c>
      <c r="I668" s="4">
        <v>4500</v>
      </c>
      <c r="J668" s="8">
        <v>5</v>
      </c>
      <c r="K668" s="4">
        <v>22500</v>
      </c>
      <c r="L668" s="4">
        <v>5625</v>
      </c>
      <c r="M668" s="3">
        <v>0.25</v>
      </c>
    </row>
    <row r="669" spans="2:13" x14ac:dyDescent="0.3">
      <c r="B669" t="s">
        <v>60</v>
      </c>
      <c r="C669" s="1" t="s">
        <v>64</v>
      </c>
      <c r="D669" s="2">
        <v>45158</v>
      </c>
      <c r="E669" s="8" t="s">
        <v>23</v>
      </c>
      <c r="F669" s="8" t="s">
        <v>90</v>
      </c>
      <c r="G669" s="8" t="s">
        <v>91</v>
      </c>
      <c r="H669" t="s">
        <v>8</v>
      </c>
      <c r="I669" s="4">
        <v>1200</v>
      </c>
      <c r="J669" s="8">
        <v>5</v>
      </c>
      <c r="K669" s="4">
        <v>6000</v>
      </c>
      <c r="L669" s="4">
        <v>1800</v>
      </c>
      <c r="M669" s="3">
        <v>0.3</v>
      </c>
    </row>
    <row r="670" spans="2:13" x14ac:dyDescent="0.3">
      <c r="B670" t="s">
        <v>65</v>
      </c>
      <c r="C670" s="1" t="s">
        <v>64</v>
      </c>
      <c r="D670" s="2">
        <v>45160</v>
      </c>
      <c r="E670" s="8" t="s">
        <v>23</v>
      </c>
      <c r="F670" s="8" t="s">
        <v>90</v>
      </c>
      <c r="G670" s="8" t="s">
        <v>91</v>
      </c>
      <c r="H670" t="s">
        <v>20</v>
      </c>
      <c r="I670" s="4">
        <v>8902</v>
      </c>
      <c r="J670" s="8">
        <v>19</v>
      </c>
      <c r="K670" s="4">
        <v>169138</v>
      </c>
      <c r="L670" s="4">
        <v>59198.299999999996</v>
      </c>
      <c r="M670" s="3">
        <v>0.35</v>
      </c>
    </row>
    <row r="671" spans="2:13" x14ac:dyDescent="0.3">
      <c r="B671" t="s">
        <v>60</v>
      </c>
      <c r="C671" s="1" t="s">
        <v>64</v>
      </c>
      <c r="D671" s="2">
        <v>45165</v>
      </c>
      <c r="E671" s="8" t="s">
        <v>23</v>
      </c>
      <c r="F671" s="8" t="s">
        <v>90</v>
      </c>
      <c r="G671" s="8" t="s">
        <v>91</v>
      </c>
      <c r="H671" t="s">
        <v>11</v>
      </c>
      <c r="I671" s="4">
        <v>300</v>
      </c>
      <c r="J671" s="8">
        <v>1</v>
      </c>
      <c r="K671" s="4">
        <v>300</v>
      </c>
      <c r="L671" s="4">
        <v>45</v>
      </c>
      <c r="M671" s="3">
        <v>0.15</v>
      </c>
    </row>
    <row r="672" spans="2:13" x14ac:dyDescent="0.3">
      <c r="B672" t="s">
        <v>60</v>
      </c>
      <c r="C672" s="1" t="s">
        <v>63</v>
      </c>
      <c r="D672" s="2">
        <v>45165</v>
      </c>
      <c r="E672" s="8" t="s">
        <v>23</v>
      </c>
      <c r="F672" s="8" t="s">
        <v>90</v>
      </c>
      <c r="G672" s="8" t="s">
        <v>91</v>
      </c>
      <c r="H672" t="s">
        <v>11</v>
      </c>
      <c r="I672" s="4">
        <v>300</v>
      </c>
      <c r="J672" s="8">
        <v>7</v>
      </c>
      <c r="K672" s="4">
        <v>2100</v>
      </c>
      <c r="L672" s="4">
        <v>315</v>
      </c>
      <c r="M672" s="3">
        <v>0.15</v>
      </c>
    </row>
    <row r="673" spans="2:13" x14ac:dyDescent="0.3">
      <c r="B673" t="s">
        <v>60</v>
      </c>
      <c r="C673" s="1" t="s">
        <v>63</v>
      </c>
      <c r="D673" s="2">
        <v>45165</v>
      </c>
      <c r="E673" s="8" t="s">
        <v>23</v>
      </c>
      <c r="F673" s="8" t="s">
        <v>90</v>
      </c>
      <c r="G673" s="8" t="s">
        <v>91</v>
      </c>
      <c r="H673" t="s">
        <v>8</v>
      </c>
      <c r="I673" s="4">
        <v>1200</v>
      </c>
      <c r="J673" s="8">
        <v>18</v>
      </c>
      <c r="K673" s="4">
        <v>21600</v>
      </c>
      <c r="L673" s="4">
        <v>6480</v>
      </c>
      <c r="M673" s="3">
        <v>0.3</v>
      </c>
    </row>
    <row r="674" spans="2:13" x14ac:dyDescent="0.3">
      <c r="B674" t="s">
        <v>65</v>
      </c>
      <c r="C674" s="1" t="s">
        <v>64</v>
      </c>
      <c r="D674" s="2">
        <v>45165</v>
      </c>
      <c r="E674" s="8" t="s">
        <v>23</v>
      </c>
      <c r="F674" s="8" t="s">
        <v>92</v>
      </c>
      <c r="G674" s="8" t="s">
        <v>93</v>
      </c>
      <c r="H674" t="s">
        <v>13</v>
      </c>
      <c r="I674" s="4">
        <v>3200</v>
      </c>
      <c r="J674" s="8">
        <v>7</v>
      </c>
      <c r="K674" s="4">
        <v>22400</v>
      </c>
      <c r="L674" s="4">
        <v>4480</v>
      </c>
      <c r="M674" s="3">
        <v>0.2</v>
      </c>
    </row>
    <row r="675" spans="2:13" x14ac:dyDescent="0.3">
      <c r="B675" t="s">
        <v>65</v>
      </c>
      <c r="C675" s="1" t="s">
        <v>63</v>
      </c>
      <c r="D675" s="2">
        <v>45165</v>
      </c>
      <c r="E675" s="8" t="s">
        <v>23</v>
      </c>
      <c r="F675" s="8" t="s">
        <v>92</v>
      </c>
      <c r="G675" s="8" t="s">
        <v>93</v>
      </c>
      <c r="H675" t="s">
        <v>16</v>
      </c>
      <c r="I675" s="4">
        <v>3400</v>
      </c>
      <c r="J675" s="8">
        <v>7</v>
      </c>
      <c r="K675" s="4">
        <v>23800</v>
      </c>
      <c r="L675" s="4">
        <v>8330</v>
      </c>
      <c r="M675" s="3">
        <v>0.35</v>
      </c>
    </row>
    <row r="676" spans="2:13" x14ac:dyDescent="0.3">
      <c r="B676" t="s">
        <v>66</v>
      </c>
      <c r="C676" s="1" t="s">
        <v>63</v>
      </c>
      <c r="D676" s="2">
        <v>45165</v>
      </c>
      <c r="E676" s="8" t="s">
        <v>23</v>
      </c>
      <c r="F676" s="8" t="s">
        <v>92</v>
      </c>
      <c r="G676" s="8" t="s">
        <v>93</v>
      </c>
      <c r="H676" t="s">
        <v>17</v>
      </c>
      <c r="I676" s="4">
        <v>5130</v>
      </c>
      <c r="J676" s="8">
        <v>15</v>
      </c>
      <c r="K676" s="4">
        <v>76950</v>
      </c>
      <c r="L676" s="4">
        <v>30780</v>
      </c>
      <c r="M676" s="3">
        <v>0.4</v>
      </c>
    </row>
    <row r="677" spans="2:13" x14ac:dyDescent="0.3">
      <c r="B677" t="s">
        <v>66</v>
      </c>
      <c r="C677" s="1" t="s">
        <v>63</v>
      </c>
      <c r="D677" s="2">
        <v>44562</v>
      </c>
      <c r="E677" s="8" t="s">
        <v>23</v>
      </c>
      <c r="F677" s="8" t="s">
        <v>92</v>
      </c>
      <c r="G677" s="8" t="s">
        <v>93</v>
      </c>
      <c r="H677" t="s">
        <v>20</v>
      </c>
      <c r="I677" s="4">
        <v>8902</v>
      </c>
      <c r="J677" s="8">
        <v>5</v>
      </c>
      <c r="K677" s="4">
        <v>44510</v>
      </c>
      <c r="L677" s="4">
        <v>15578.499999999998</v>
      </c>
      <c r="M677" s="3">
        <v>0.35</v>
      </c>
    </row>
    <row r="678" spans="2:13" x14ac:dyDescent="0.3">
      <c r="B678" t="s">
        <v>62</v>
      </c>
      <c r="C678" s="1" t="s">
        <v>63</v>
      </c>
      <c r="D678" s="2">
        <v>44577</v>
      </c>
      <c r="E678" s="8" t="s">
        <v>23</v>
      </c>
      <c r="F678" s="8" t="s">
        <v>92</v>
      </c>
      <c r="G678" s="8" t="s">
        <v>93</v>
      </c>
      <c r="H678" t="s">
        <v>17</v>
      </c>
      <c r="I678" s="4">
        <v>5130</v>
      </c>
      <c r="J678" s="8">
        <v>4</v>
      </c>
      <c r="K678" s="4">
        <v>20520</v>
      </c>
      <c r="L678" s="4">
        <v>8208</v>
      </c>
      <c r="M678" s="3">
        <v>0.4</v>
      </c>
    </row>
    <row r="679" spans="2:13" x14ac:dyDescent="0.3">
      <c r="B679" t="s">
        <v>60</v>
      </c>
      <c r="C679" s="1" t="s">
        <v>64</v>
      </c>
      <c r="D679" s="2">
        <v>44584</v>
      </c>
      <c r="E679" s="8" t="s">
        <v>23</v>
      </c>
      <c r="F679" s="8" t="s">
        <v>92</v>
      </c>
      <c r="G679" s="8" t="s">
        <v>93</v>
      </c>
      <c r="H679" t="s">
        <v>10</v>
      </c>
      <c r="I679" s="4">
        <v>1700</v>
      </c>
      <c r="J679" s="8">
        <v>5</v>
      </c>
      <c r="K679" s="4">
        <v>8500</v>
      </c>
      <c r="L679" s="4">
        <v>4250</v>
      </c>
      <c r="M679" s="3">
        <v>0.5</v>
      </c>
    </row>
    <row r="680" spans="2:13" x14ac:dyDescent="0.3">
      <c r="B680" t="s">
        <v>60</v>
      </c>
      <c r="C680" s="1" t="s">
        <v>63</v>
      </c>
      <c r="D680" s="2">
        <v>44591</v>
      </c>
      <c r="E680" s="8" t="s">
        <v>23</v>
      </c>
      <c r="F680" s="8" t="s">
        <v>92</v>
      </c>
      <c r="G680" s="8" t="s">
        <v>93</v>
      </c>
      <c r="H680" t="s">
        <v>9</v>
      </c>
      <c r="I680" s="4">
        <v>1500</v>
      </c>
      <c r="J680" s="8">
        <v>3</v>
      </c>
      <c r="K680" s="4">
        <v>4500</v>
      </c>
      <c r="L680" s="4">
        <v>1800</v>
      </c>
      <c r="M680" s="3">
        <v>0.4</v>
      </c>
    </row>
    <row r="681" spans="2:13" x14ac:dyDescent="0.3">
      <c r="B681" t="s">
        <v>62</v>
      </c>
      <c r="C681" s="1" t="s">
        <v>63</v>
      </c>
      <c r="D681" s="2">
        <v>44598</v>
      </c>
      <c r="E681" s="8" t="s">
        <v>23</v>
      </c>
      <c r="F681" s="8" t="s">
        <v>92</v>
      </c>
      <c r="G681" s="8" t="s">
        <v>93</v>
      </c>
      <c r="H681" t="s">
        <v>16</v>
      </c>
      <c r="I681" s="4">
        <v>3400</v>
      </c>
      <c r="J681" s="8">
        <v>4</v>
      </c>
      <c r="K681" s="4">
        <v>13600</v>
      </c>
      <c r="L681" s="4">
        <v>4760</v>
      </c>
      <c r="M681" s="3">
        <v>0.35</v>
      </c>
    </row>
    <row r="682" spans="2:13" x14ac:dyDescent="0.3">
      <c r="B682" t="s">
        <v>65</v>
      </c>
      <c r="C682" s="1" t="s">
        <v>64</v>
      </c>
      <c r="D682" s="2">
        <v>44605</v>
      </c>
      <c r="E682" s="8" t="s">
        <v>23</v>
      </c>
      <c r="F682" s="8" t="s">
        <v>92</v>
      </c>
      <c r="G682" s="8" t="s">
        <v>93</v>
      </c>
      <c r="H682" t="s">
        <v>9</v>
      </c>
      <c r="I682" s="4">
        <v>1500</v>
      </c>
      <c r="J682" s="8">
        <v>11</v>
      </c>
      <c r="K682" s="4">
        <v>16500</v>
      </c>
      <c r="L682" s="4">
        <v>6600</v>
      </c>
      <c r="M682" s="3">
        <v>0.4</v>
      </c>
    </row>
    <row r="683" spans="2:13" x14ac:dyDescent="0.3">
      <c r="B683" t="s">
        <v>60</v>
      </c>
      <c r="C683" s="1" t="s">
        <v>64</v>
      </c>
      <c r="D683" s="2">
        <v>44612</v>
      </c>
      <c r="E683" s="8" t="s">
        <v>23</v>
      </c>
      <c r="F683" s="8" t="s">
        <v>92</v>
      </c>
      <c r="G683" s="8" t="s">
        <v>93</v>
      </c>
      <c r="H683" t="s">
        <v>13</v>
      </c>
      <c r="I683" s="4">
        <v>3200</v>
      </c>
      <c r="J683" s="8">
        <v>7</v>
      </c>
      <c r="K683" s="4">
        <v>22400</v>
      </c>
      <c r="L683" s="4">
        <v>4480</v>
      </c>
      <c r="M683" s="3">
        <v>0.2</v>
      </c>
    </row>
    <row r="684" spans="2:13" x14ac:dyDescent="0.3">
      <c r="B684" t="s">
        <v>65</v>
      </c>
      <c r="C684" s="1" t="s">
        <v>63</v>
      </c>
      <c r="D684" s="2">
        <v>44619</v>
      </c>
      <c r="E684" s="8" t="s">
        <v>23</v>
      </c>
      <c r="F684" s="8" t="s">
        <v>92</v>
      </c>
      <c r="G684" s="8" t="s">
        <v>93</v>
      </c>
      <c r="H684" t="s">
        <v>15</v>
      </c>
      <c r="I684" s="4">
        <v>5300</v>
      </c>
      <c r="J684" s="8">
        <v>12</v>
      </c>
      <c r="K684" s="4">
        <v>63600</v>
      </c>
      <c r="L684" s="4">
        <v>19080</v>
      </c>
      <c r="M684" s="3">
        <v>0.3</v>
      </c>
    </row>
    <row r="685" spans="2:13" x14ac:dyDescent="0.3">
      <c r="B685" t="s">
        <v>66</v>
      </c>
      <c r="C685" s="1" t="s">
        <v>64</v>
      </c>
      <c r="D685" s="2">
        <v>44626</v>
      </c>
      <c r="E685" s="8" t="s">
        <v>23</v>
      </c>
      <c r="F685" s="8" t="s">
        <v>92</v>
      </c>
      <c r="G685" s="8" t="s">
        <v>93</v>
      </c>
      <c r="H685" t="s">
        <v>13</v>
      </c>
      <c r="I685" s="4">
        <v>3200</v>
      </c>
      <c r="J685" s="8">
        <v>10</v>
      </c>
      <c r="K685" s="4">
        <v>32000</v>
      </c>
      <c r="L685" s="4">
        <v>6400</v>
      </c>
      <c r="M685" s="3">
        <v>0.2</v>
      </c>
    </row>
    <row r="686" spans="2:13" x14ac:dyDescent="0.3">
      <c r="B686" t="s">
        <v>60</v>
      </c>
      <c r="C686" s="1" t="s">
        <v>64</v>
      </c>
      <c r="D686" s="2">
        <v>44633</v>
      </c>
      <c r="E686" s="8" t="s">
        <v>23</v>
      </c>
      <c r="F686" s="8" t="s">
        <v>92</v>
      </c>
      <c r="G686" s="8" t="s">
        <v>93</v>
      </c>
      <c r="H686" t="s">
        <v>18</v>
      </c>
      <c r="I686" s="4">
        <v>4600</v>
      </c>
      <c r="J686" s="8">
        <v>11</v>
      </c>
      <c r="K686" s="4">
        <v>50600</v>
      </c>
      <c r="L686" s="4">
        <v>12650</v>
      </c>
      <c r="M686" s="3">
        <v>0.25</v>
      </c>
    </row>
    <row r="687" spans="2:13" x14ac:dyDescent="0.3">
      <c r="B687" t="s">
        <v>65</v>
      </c>
      <c r="C687" s="1" t="s">
        <v>63</v>
      </c>
      <c r="D687" s="2">
        <v>44640</v>
      </c>
      <c r="E687" s="8" t="s">
        <v>23</v>
      </c>
      <c r="F687" s="8" t="s">
        <v>92</v>
      </c>
      <c r="G687" s="8" t="s">
        <v>93</v>
      </c>
      <c r="H687" t="s">
        <v>14</v>
      </c>
      <c r="I687" s="4">
        <v>4500</v>
      </c>
      <c r="J687" s="8">
        <v>6</v>
      </c>
      <c r="K687" s="4">
        <v>27000</v>
      </c>
      <c r="L687" s="4">
        <v>6750</v>
      </c>
      <c r="M687" s="3">
        <v>0.25</v>
      </c>
    </row>
    <row r="688" spans="2:13" x14ac:dyDescent="0.3">
      <c r="B688" t="s">
        <v>60</v>
      </c>
      <c r="C688" s="1" t="s">
        <v>64</v>
      </c>
      <c r="D688" s="2">
        <v>44647</v>
      </c>
      <c r="E688" s="8" t="s">
        <v>23</v>
      </c>
      <c r="F688" s="8" t="s">
        <v>92</v>
      </c>
      <c r="G688" s="8" t="s">
        <v>93</v>
      </c>
      <c r="H688" t="s">
        <v>14</v>
      </c>
      <c r="I688" s="4">
        <v>4500</v>
      </c>
      <c r="J688" s="8">
        <v>10</v>
      </c>
      <c r="K688" s="4">
        <v>45000</v>
      </c>
      <c r="L688" s="4">
        <v>11250</v>
      </c>
      <c r="M688" s="3">
        <v>0.25</v>
      </c>
    </row>
    <row r="689" spans="2:13" x14ac:dyDescent="0.3">
      <c r="B689" t="s">
        <v>62</v>
      </c>
      <c r="C689" s="1" t="s">
        <v>63</v>
      </c>
      <c r="D689" s="2">
        <v>44654</v>
      </c>
      <c r="E689" s="8" t="s">
        <v>23</v>
      </c>
      <c r="F689" s="8" t="s">
        <v>92</v>
      </c>
      <c r="G689" s="8" t="s">
        <v>93</v>
      </c>
      <c r="H689" t="s">
        <v>12</v>
      </c>
      <c r="I689" s="4">
        <v>500</v>
      </c>
      <c r="J689" s="8">
        <v>3</v>
      </c>
      <c r="K689" s="4">
        <v>1500</v>
      </c>
      <c r="L689" s="4">
        <v>375</v>
      </c>
      <c r="M689" s="3">
        <v>0.25</v>
      </c>
    </row>
    <row r="690" spans="2:13" x14ac:dyDescent="0.3">
      <c r="B690" t="s">
        <v>60</v>
      </c>
      <c r="C690" s="1" t="s">
        <v>63</v>
      </c>
      <c r="D690" s="2">
        <v>44661</v>
      </c>
      <c r="E690" s="8" t="s">
        <v>23</v>
      </c>
      <c r="F690" s="8" t="s">
        <v>92</v>
      </c>
      <c r="G690" s="8" t="s">
        <v>93</v>
      </c>
      <c r="H690" t="s">
        <v>13</v>
      </c>
      <c r="I690" s="4">
        <v>3200</v>
      </c>
      <c r="J690" s="8">
        <v>7</v>
      </c>
      <c r="K690" s="4">
        <v>22400</v>
      </c>
      <c r="L690" s="4">
        <v>4480</v>
      </c>
      <c r="M690" s="3">
        <v>0.2</v>
      </c>
    </row>
    <row r="691" spans="2:13" x14ac:dyDescent="0.3">
      <c r="B691" t="s">
        <v>62</v>
      </c>
      <c r="C691" s="1" t="s">
        <v>63</v>
      </c>
      <c r="D691" s="2">
        <v>44668</v>
      </c>
      <c r="E691" s="8" t="s">
        <v>23</v>
      </c>
      <c r="F691" s="8" t="s">
        <v>92</v>
      </c>
      <c r="G691" s="8" t="s">
        <v>93</v>
      </c>
      <c r="H691" t="s">
        <v>14</v>
      </c>
      <c r="I691" s="4">
        <v>4500</v>
      </c>
      <c r="J691" s="8">
        <v>8</v>
      </c>
      <c r="K691" s="4">
        <v>36000</v>
      </c>
      <c r="L691" s="4">
        <v>9000</v>
      </c>
      <c r="M691" s="3">
        <v>0.25</v>
      </c>
    </row>
    <row r="692" spans="2:13" x14ac:dyDescent="0.3">
      <c r="B692" t="s">
        <v>65</v>
      </c>
      <c r="C692" s="1" t="s">
        <v>63</v>
      </c>
      <c r="D692" s="2">
        <v>44675</v>
      </c>
      <c r="E692" s="8" t="s">
        <v>23</v>
      </c>
      <c r="F692" s="8" t="s">
        <v>90</v>
      </c>
      <c r="G692" s="8" t="s">
        <v>91</v>
      </c>
      <c r="H692" t="s">
        <v>19</v>
      </c>
      <c r="I692" s="4">
        <v>5340</v>
      </c>
      <c r="J692" s="8">
        <v>9</v>
      </c>
      <c r="K692" s="4">
        <v>48060</v>
      </c>
      <c r="L692" s="4">
        <v>14418</v>
      </c>
      <c r="M692" s="3">
        <v>0.3</v>
      </c>
    </row>
    <row r="693" spans="2:13" x14ac:dyDescent="0.3">
      <c r="B693" t="s">
        <v>60</v>
      </c>
      <c r="C693" s="1" t="s">
        <v>63</v>
      </c>
      <c r="D693" s="2">
        <v>44682</v>
      </c>
      <c r="E693" s="8" t="s">
        <v>23</v>
      </c>
      <c r="F693" s="8" t="s">
        <v>90</v>
      </c>
      <c r="G693" s="8" t="s">
        <v>91</v>
      </c>
      <c r="H693" t="s">
        <v>19</v>
      </c>
      <c r="I693" s="4">
        <v>5340</v>
      </c>
      <c r="J693" s="8">
        <v>11</v>
      </c>
      <c r="K693" s="4">
        <v>58740</v>
      </c>
      <c r="L693" s="4">
        <v>17622</v>
      </c>
      <c r="M693" s="3">
        <v>0.3</v>
      </c>
    </row>
    <row r="694" spans="2:13" x14ac:dyDescent="0.3">
      <c r="B694" t="s">
        <v>66</v>
      </c>
      <c r="C694" s="1" t="s">
        <v>64</v>
      </c>
      <c r="D694" s="2">
        <v>44689</v>
      </c>
      <c r="E694" s="8" t="s">
        <v>23</v>
      </c>
      <c r="F694" s="8" t="s">
        <v>90</v>
      </c>
      <c r="G694" s="8" t="s">
        <v>91</v>
      </c>
      <c r="H694" t="s">
        <v>9</v>
      </c>
      <c r="I694" s="4">
        <v>1500</v>
      </c>
      <c r="J694" s="8">
        <v>7</v>
      </c>
      <c r="K694" s="4">
        <v>10500</v>
      </c>
      <c r="L694" s="4">
        <v>4200</v>
      </c>
      <c r="M694" s="3">
        <v>0.4</v>
      </c>
    </row>
    <row r="695" spans="2:13" x14ac:dyDescent="0.3">
      <c r="B695" t="s">
        <v>62</v>
      </c>
      <c r="C695" s="1" t="s">
        <v>63</v>
      </c>
      <c r="D695" s="2">
        <v>44696</v>
      </c>
      <c r="E695" s="8" t="s">
        <v>23</v>
      </c>
      <c r="F695" s="8" t="s">
        <v>90</v>
      </c>
      <c r="G695" s="8" t="s">
        <v>91</v>
      </c>
      <c r="H695" t="s">
        <v>12</v>
      </c>
      <c r="I695" s="4">
        <v>500</v>
      </c>
      <c r="J695" s="8">
        <v>5</v>
      </c>
      <c r="K695" s="4">
        <v>2500</v>
      </c>
      <c r="L695" s="4">
        <v>625</v>
      </c>
      <c r="M695" s="3">
        <v>0.25</v>
      </c>
    </row>
    <row r="696" spans="2:13" x14ac:dyDescent="0.3">
      <c r="B696" t="s">
        <v>61</v>
      </c>
      <c r="C696" s="1" t="s">
        <v>63</v>
      </c>
      <c r="D696" s="2">
        <v>44703</v>
      </c>
      <c r="E696" s="8" t="s">
        <v>23</v>
      </c>
      <c r="F696" s="8" t="s">
        <v>90</v>
      </c>
      <c r="G696" s="8" t="s">
        <v>91</v>
      </c>
      <c r="H696" t="s">
        <v>19</v>
      </c>
      <c r="I696" s="4">
        <v>5340</v>
      </c>
      <c r="J696" s="8">
        <v>5</v>
      </c>
      <c r="K696" s="4">
        <v>26700</v>
      </c>
      <c r="L696" s="4">
        <v>8010</v>
      </c>
      <c r="M696" s="3">
        <v>0.3</v>
      </c>
    </row>
    <row r="697" spans="2:13" x14ac:dyDescent="0.3">
      <c r="B697" t="s">
        <v>60</v>
      </c>
      <c r="C697" s="1" t="s">
        <v>63</v>
      </c>
      <c r="D697" s="2">
        <v>44710</v>
      </c>
      <c r="E697" s="8" t="s">
        <v>23</v>
      </c>
      <c r="F697" s="8" t="s">
        <v>90</v>
      </c>
      <c r="G697" s="8" t="s">
        <v>91</v>
      </c>
      <c r="H697" t="s">
        <v>15</v>
      </c>
      <c r="I697" s="4">
        <v>5300</v>
      </c>
      <c r="J697" s="8">
        <v>8</v>
      </c>
      <c r="K697" s="4">
        <v>42400</v>
      </c>
      <c r="L697" s="4">
        <v>12720</v>
      </c>
      <c r="M697" s="3">
        <v>0.3</v>
      </c>
    </row>
    <row r="698" spans="2:13" x14ac:dyDescent="0.3">
      <c r="B698" t="s">
        <v>66</v>
      </c>
      <c r="C698" s="1" t="s">
        <v>64</v>
      </c>
      <c r="D698" s="2">
        <v>44717</v>
      </c>
      <c r="E698" s="8" t="s">
        <v>23</v>
      </c>
      <c r="F698" s="8" t="s">
        <v>90</v>
      </c>
      <c r="G698" s="8" t="s">
        <v>91</v>
      </c>
      <c r="H698" t="s">
        <v>8</v>
      </c>
      <c r="I698" s="4">
        <v>1200</v>
      </c>
      <c r="J698" s="8">
        <v>7</v>
      </c>
      <c r="K698" s="4">
        <v>8400</v>
      </c>
      <c r="L698" s="4">
        <v>2520</v>
      </c>
      <c r="M698" s="3">
        <v>0.3</v>
      </c>
    </row>
    <row r="699" spans="2:13" x14ac:dyDescent="0.3">
      <c r="B699" t="s">
        <v>65</v>
      </c>
      <c r="C699" s="1" t="s">
        <v>63</v>
      </c>
      <c r="D699" s="2">
        <v>44724</v>
      </c>
      <c r="E699" s="8" t="s">
        <v>23</v>
      </c>
      <c r="F699" s="8" t="s">
        <v>90</v>
      </c>
      <c r="G699" s="8" t="s">
        <v>91</v>
      </c>
      <c r="H699" t="s">
        <v>20</v>
      </c>
      <c r="I699" s="4">
        <v>8902</v>
      </c>
      <c r="J699" s="8">
        <v>6</v>
      </c>
      <c r="K699" s="4">
        <v>53412</v>
      </c>
      <c r="L699" s="4">
        <v>18694.199999999997</v>
      </c>
      <c r="M699" s="3">
        <v>0.35</v>
      </c>
    </row>
    <row r="700" spans="2:13" x14ac:dyDescent="0.3">
      <c r="B700" t="s">
        <v>60</v>
      </c>
      <c r="C700" s="1" t="s">
        <v>63</v>
      </c>
      <c r="D700" s="2">
        <v>44731</v>
      </c>
      <c r="E700" s="8" t="s">
        <v>23</v>
      </c>
      <c r="F700" s="8" t="s">
        <v>90</v>
      </c>
      <c r="G700" s="8" t="s">
        <v>91</v>
      </c>
      <c r="H700" t="s">
        <v>15</v>
      </c>
      <c r="I700" s="4">
        <v>5300</v>
      </c>
      <c r="J700" s="8">
        <v>9</v>
      </c>
      <c r="K700" s="4">
        <v>47700</v>
      </c>
      <c r="L700" s="4">
        <v>14310</v>
      </c>
      <c r="M700" s="3">
        <v>0.3</v>
      </c>
    </row>
    <row r="701" spans="2:13" x14ac:dyDescent="0.3">
      <c r="B701" t="s">
        <v>62</v>
      </c>
      <c r="C701" s="1" t="s">
        <v>64</v>
      </c>
      <c r="D701" s="2">
        <v>44738</v>
      </c>
      <c r="E701" s="8" t="s">
        <v>23</v>
      </c>
      <c r="F701" s="8" t="s">
        <v>90</v>
      </c>
      <c r="G701" s="8" t="s">
        <v>91</v>
      </c>
      <c r="H701" t="s">
        <v>16</v>
      </c>
      <c r="I701" s="4">
        <v>3400</v>
      </c>
      <c r="J701" s="8">
        <v>8</v>
      </c>
      <c r="K701" s="4">
        <v>27200</v>
      </c>
      <c r="L701" s="4">
        <v>9520</v>
      </c>
      <c r="M701" s="3">
        <v>0.35</v>
      </c>
    </row>
    <row r="702" spans="2:13" x14ac:dyDescent="0.3">
      <c r="B702" t="s">
        <v>65</v>
      </c>
      <c r="C702" s="1" t="s">
        <v>64</v>
      </c>
      <c r="D702" s="2">
        <v>44745</v>
      </c>
      <c r="E702" s="8" t="s">
        <v>23</v>
      </c>
      <c r="F702" s="8" t="s">
        <v>90</v>
      </c>
      <c r="G702" s="8" t="s">
        <v>91</v>
      </c>
      <c r="H702" t="s">
        <v>19</v>
      </c>
      <c r="I702" s="4">
        <v>5340</v>
      </c>
      <c r="J702" s="8">
        <v>3</v>
      </c>
      <c r="K702" s="4">
        <v>16020</v>
      </c>
      <c r="L702" s="4">
        <v>4806</v>
      </c>
      <c r="M702" s="3">
        <v>0.3</v>
      </c>
    </row>
    <row r="703" spans="2:13" x14ac:dyDescent="0.3">
      <c r="B703" t="s">
        <v>65</v>
      </c>
      <c r="C703" s="1" t="s">
        <v>63</v>
      </c>
      <c r="D703" s="2">
        <v>44752</v>
      </c>
      <c r="E703" s="8" t="s">
        <v>23</v>
      </c>
      <c r="F703" s="8" t="s">
        <v>90</v>
      </c>
      <c r="G703" s="8" t="s">
        <v>91</v>
      </c>
      <c r="H703" t="s">
        <v>10</v>
      </c>
      <c r="I703" s="4">
        <v>1700</v>
      </c>
      <c r="J703" s="8">
        <v>3</v>
      </c>
      <c r="K703" s="4">
        <v>5100</v>
      </c>
      <c r="L703" s="4">
        <v>2550</v>
      </c>
      <c r="M703" s="3">
        <v>0.5</v>
      </c>
    </row>
    <row r="704" spans="2:13" x14ac:dyDescent="0.3">
      <c r="B704" t="s">
        <v>62</v>
      </c>
      <c r="C704" s="1" t="s">
        <v>64</v>
      </c>
      <c r="D704" s="2">
        <v>44759</v>
      </c>
      <c r="E704" s="8" t="s">
        <v>23</v>
      </c>
      <c r="F704" s="8" t="s">
        <v>90</v>
      </c>
      <c r="G704" s="8" t="s">
        <v>91</v>
      </c>
      <c r="H704" t="s">
        <v>11</v>
      </c>
      <c r="I704" s="4">
        <v>300</v>
      </c>
      <c r="J704" s="8">
        <v>1</v>
      </c>
      <c r="K704" s="4">
        <v>300</v>
      </c>
      <c r="L704" s="4">
        <v>45</v>
      </c>
      <c r="M704" s="3">
        <v>0.15</v>
      </c>
    </row>
    <row r="705" spans="2:13" x14ac:dyDescent="0.3">
      <c r="B705" t="s">
        <v>61</v>
      </c>
      <c r="C705" s="1" t="s">
        <v>63</v>
      </c>
      <c r="D705" s="2">
        <v>44766</v>
      </c>
      <c r="E705" s="8" t="s">
        <v>23</v>
      </c>
      <c r="F705" s="8" t="s">
        <v>90</v>
      </c>
      <c r="G705" s="8" t="s">
        <v>91</v>
      </c>
      <c r="H705" t="s">
        <v>12</v>
      </c>
      <c r="I705" s="4">
        <v>500</v>
      </c>
      <c r="J705" s="8">
        <v>8</v>
      </c>
      <c r="K705" s="4">
        <v>4000</v>
      </c>
      <c r="L705" s="4">
        <v>1000</v>
      </c>
      <c r="M705" s="3">
        <v>0.25</v>
      </c>
    </row>
    <row r="706" spans="2:13" x14ac:dyDescent="0.3">
      <c r="B706" t="s">
        <v>65</v>
      </c>
      <c r="C706" s="1" t="s">
        <v>63</v>
      </c>
      <c r="D706" s="2">
        <v>44766</v>
      </c>
      <c r="E706" s="8" t="s">
        <v>23</v>
      </c>
      <c r="F706" s="8" t="s">
        <v>90</v>
      </c>
      <c r="G706" s="8" t="s">
        <v>91</v>
      </c>
      <c r="H706" t="s">
        <v>18</v>
      </c>
      <c r="I706" s="4">
        <v>4600</v>
      </c>
      <c r="J706" s="8">
        <v>2</v>
      </c>
      <c r="K706" s="4">
        <v>9200</v>
      </c>
      <c r="L706" s="4">
        <v>2300</v>
      </c>
      <c r="M706" s="3">
        <v>0.25</v>
      </c>
    </row>
    <row r="707" spans="2:13" x14ac:dyDescent="0.3">
      <c r="B707" t="s">
        <v>62</v>
      </c>
      <c r="C707" s="1" t="s">
        <v>63</v>
      </c>
      <c r="D707" s="2">
        <v>44773</v>
      </c>
      <c r="E707" s="8" t="s">
        <v>23</v>
      </c>
      <c r="F707" s="8" t="s">
        <v>90</v>
      </c>
      <c r="G707" s="8" t="s">
        <v>91</v>
      </c>
      <c r="H707" t="s">
        <v>8</v>
      </c>
      <c r="I707" s="4">
        <v>1200</v>
      </c>
      <c r="J707" s="8">
        <v>9</v>
      </c>
      <c r="K707" s="4">
        <v>10800</v>
      </c>
      <c r="L707" s="4">
        <v>3240</v>
      </c>
      <c r="M707" s="3">
        <v>0.3</v>
      </c>
    </row>
    <row r="708" spans="2:13" x14ac:dyDescent="0.3">
      <c r="B708" t="s">
        <v>60</v>
      </c>
      <c r="C708" s="1" t="s">
        <v>64</v>
      </c>
      <c r="D708" s="2">
        <v>44780</v>
      </c>
      <c r="E708" s="8" t="s">
        <v>23</v>
      </c>
      <c r="F708" s="8" t="s">
        <v>90</v>
      </c>
      <c r="G708" s="8" t="s">
        <v>91</v>
      </c>
      <c r="H708" t="s">
        <v>19</v>
      </c>
      <c r="I708" s="4">
        <v>5340</v>
      </c>
      <c r="J708" s="8">
        <v>12</v>
      </c>
      <c r="K708" s="4">
        <v>64080</v>
      </c>
      <c r="L708" s="4">
        <v>19224</v>
      </c>
      <c r="M708" s="3">
        <v>0.3</v>
      </c>
    </row>
    <row r="709" spans="2:13" x14ac:dyDescent="0.3">
      <c r="B709" t="s">
        <v>60</v>
      </c>
      <c r="C709" s="1" t="s">
        <v>64</v>
      </c>
      <c r="D709" s="2">
        <v>44787</v>
      </c>
      <c r="E709" s="8" t="s">
        <v>23</v>
      </c>
      <c r="F709" s="8" t="s">
        <v>90</v>
      </c>
      <c r="G709" s="8" t="s">
        <v>91</v>
      </c>
      <c r="H709" t="s">
        <v>19</v>
      </c>
      <c r="I709" s="4">
        <v>5340</v>
      </c>
      <c r="J709" s="8">
        <v>12</v>
      </c>
      <c r="K709" s="4">
        <v>64080</v>
      </c>
      <c r="L709" s="4">
        <v>19224</v>
      </c>
      <c r="M709" s="3">
        <v>0.3</v>
      </c>
    </row>
    <row r="710" spans="2:13" x14ac:dyDescent="0.3">
      <c r="B710" t="s">
        <v>65</v>
      </c>
      <c r="C710" s="1" t="s">
        <v>63</v>
      </c>
      <c r="D710" s="2">
        <v>44794</v>
      </c>
      <c r="E710" s="8" t="s">
        <v>23</v>
      </c>
      <c r="F710" s="8" t="s">
        <v>90</v>
      </c>
      <c r="G710" s="8" t="s">
        <v>91</v>
      </c>
      <c r="H710" t="s">
        <v>17</v>
      </c>
      <c r="I710" s="4">
        <v>5130</v>
      </c>
      <c r="J710" s="8">
        <v>12</v>
      </c>
      <c r="K710" s="4">
        <v>61560</v>
      </c>
      <c r="L710" s="4">
        <v>24624</v>
      </c>
      <c r="M710" s="3">
        <v>0.4</v>
      </c>
    </row>
    <row r="711" spans="2:13" x14ac:dyDescent="0.3">
      <c r="B711" t="s">
        <v>61</v>
      </c>
      <c r="C711" s="1" t="s">
        <v>64</v>
      </c>
      <c r="D711" s="2">
        <v>44801</v>
      </c>
      <c r="E711" s="8" t="s">
        <v>23</v>
      </c>
      <c r="F711" s="8" t="s">
        <v>90</v>
      </c>
      <c r="G711" s="8" t="s">
        <v>91</v>
      </c>
      <c r="H711" t="s">
        <v>18</v>
      </c>
      <c r="I711" s="4">
        <v>4600</v>
      </c>
      <c r="J711" s="8">
        <v>2</v>
      </c>
      <c r="K711" s="4">
        <v>9200</v>
      </c>
      <c r="L711" s="4">
        <v>2300</v>
      </c>
      <c r="M711" s="3">
        <v>0.25</v>
      </c>
    </row>
    <row r="712" spans="2:13" x14ac:dyDescent="0.3">
      <c r="B712" t="s">
        <v>65</v>
      </c>
      <c r="C712" s="1" t="s">
        <v>63</v>
      </c>
      <c r="D712" s="2">
        <v>44808</v>
      </c>
      <c r="E712" s="8" t="s">
        <v>23</v>
      </c>
      <c r="F712" s="8" t="s">
        <v>90</v>
      </c>
      <c r="G712" s="8" t="s">
        <v>91</v>
      </c>
      <c r="H712" t="s">
        <v>18</v>
      </c>
      <c r="I712" s="4">
        <v>4600</v>
      </c>
      <c r="J712" s="8">
        <v>11</v>
      </c>
      <c r="K712" s="4">
        <v>50600</v>
      </c>
      <c r="L712" s="4">
        <v>12650</v>
      </c>
      <c r="M712" s="3">
        <v>0.25</v>
      </c>
    </row>
    <row r="713" spans="2:13" x14ac:dyDescent="0.3">
      <c r="B713" t="s">
        <v>65</v>
      </c>
      <c r="C713" s="1" t="s">
        <v>64</v>
      </c>
      <c r="D713" s="2">
        <v>44815</v>
      </c>
      <c r="E713" s="8" t="s">
        <v>23</v>
      </c>
      <c r="F713" s="8" t="s">
        <v>90</v>
      </c>
      <c r="G713" s="8" t="s">
        <v>91</v>
      </c>
      <c r="H713" t="s">
        <v>9</v>
      </c>
      <c r="I713" s="4">
        <v>1500</v>
      </c>
      <c r="J713" s="8">
        <v>3</v>
      </c>
      <c r="K713" s="4">
        <v>4500</v>
      </c>
      <c r="L713" s="4">
        <v>1800</v>
      </c>
      <c r="M713" s="3">
        <v>0.4</v>
      </c>
    </row>
    <row r="714" spans="2:13" x14ac:dyDescent="0.3">
      <c r="B714" t="s">
        <v>62</v>
      </c>
      <c r="C714" s="1" t="s">
        <v>63</v>
      </c>
      <c r="D714" s="2">
        <v>44822</v>
      </c>
      <c r="E714" s="8" t="s">
        <v>23</v>
      </c>
      <c r="F714" s="8" t="s">
        <v>90</v>
      </c>
      <c r="G714" s="8" t="s">
        <v>91</v>
      </c>
      <c r="H714" t="s">
        <v>8</v>
      </c>
      <c r="I714" s="4">
        <v>1200</v>
      </c>
      <c r="J714" s="8">
        <v>5</v>
      </c>
      <c r="K714" s="4">
        <v>6000</v>
      </c>
      <c r="L714" s="4">
        <v>1800</v>
      </c>
      <c r="M714" s="3">
        <v>0.3</v>
      </c>
    </row>
    <row r="715" spans="2:13" x14ac:dyDescent="0.3">
      <c r="B715" t="s">
        <v>60</v>
      </c>
      <c r="C715" s="1" t="s">
        <v>63</v>
      </c>
      <c r="D715" s="2">
        <v>44829</v>
      </c>
      <c r="E715" s="8" t="s">
        <v>23</v>
      </c>
      <c r="F715" s="8" t="s">
        <v>90</v>
      </c>
      <c r="G715" s="8" t="s">
        <v>91</v>
      </c>
      <c r="H715" t="s">
        <v>15</v>
      </c>
      <c r="I715" s="4">
        <v>5300</v>
      </c>
      <c r="J715" s="8">
        <v>8</v>
      </c>
      <c r="K715" s="4">
        <v>42400</v>
      </c>
      <c r="L715" s="4">
        <v>12720</v>
      </c>
      <c r="M715" s="3">
        <v>0.3</v>
      </c>
    </row>
    <row r="716" spans="2:13" x14ac:dyDescent="0.3">
      <c r="B716" t="s">
        <v>62</v>
      </c>
      <c r="C716" s="1" t="s">
        <v>63</v>
      </c>
      <c r="D716" s="2">
        <v>44836</v>
      </c>
      <c r="E716" s="8" t="s">
        <v>23</v>
      </c>
      <c r="F716" s="8" t="s">
        <v>90</v>
      </c>
      <c r="G716" s="8" t="s">
        <v>91</v>
      </c>
      <c r="H716" t="s">
        <v>11</v>
      </c>
      <c r="I716" s="4">
        <v>300</v>
      </c>
      <c r="J716" s="8">
        <v>7</v>
      </c>
      <c r="K716" s="4">
        <v>2100</v>
      </c>
      <c r="L716" s="4">
        <v>315</v>
      </c>
      <c r="M716" s="3">
        <v>0.15</v>
      </c>
    </row>
    <row r="717" spans="2:13" x14ac:dyDescent="0.3">
      <c r="B717" t="s">
        <v>60</v>
      </c>
      <c r="C717" s="1" t="s">
        <v>63</v>
      </c>
      <c r="D717" s="2">
        <v>44843</v>
      </c>
      <c r="E717" s="8" t="s">
        <v>23</v>
      </c>
      <c r="F717" s="8" t="s">
        <v>90</v>
      </c>
      <c r="G717" s="8" t="s">
        <v>91</v>
      </c>
      <c r="H717" t="s">
        <v>12</v>
      </c>
      <c r="I717" s="4">
        <v>500</v>
      </c>
      <c r="J717" s="8">
        <v>11</v>
      </c>
      <c r="K717" s="4">
        <v>5500</v>
      </c>
      <c r="L717" s="4">
        <v>1375</v>
      </c>
      <c r="M717" s="3">
        <v>0.25</v>
      </c>
    </row>
    <row r="718" spans="2:13" x14ac:dyDescent="0.3">
      <c r="B718" t="s">
        <v>65</v>
      </c>
      <c r="C718" s="1" t="s">
        <v>63</v>
      </c>
      <c r="D718" s="2">
        <v>44850</v>
      </c>
      <c r="E718" s="8" t="s">
        <v>23</v>
      </c>
      <c r="F718" s="8" t="s">
        <v>90</v>
      </c>
      <c r="G718" s="8" t="s">
        <v>91</v>
      </c>
      <c r="H718" t="s">
        <v>15</v>
      </c>
      <c r="I718" s="4">
        <v>5300</v>
      </c>
      <c r="J718" s="8">
        <v>12</v>
      </c>
      <c r="K718" s="4">
        <v>63600</v>
      </c>
      <c r="L718" s="4">
        <v>19080</v>
      </c>
      <c r="M718" s="3">
        <v>0.3</v>
      </c>
    </row>
    <row r="719" spans="2:13" x14ac:dyDescent="0.3">
      <c r="B719" t="s">
        <v>65</v>
      </c>
      <c r="C719" s="1" t="s">
        <v>64</v>
      </c>
      <c r="D719" s="2">
        <v>44857</v>
      </c>
      <c r="E719" s="8" t="s">
        <v>23</v>
      </c>
      <c r="F719" s="8" t="s">
        <v>90</v>
      </c>
      <c r="G719" s="8" t="s">
        <v>91</v>
      </c>
      <c r="H719" t="s">
        <v>17</v>
      </c>
      <c r="I719" s="4">
        <v>5130</v>
      </c>
      <c r="J719" s="8">
        <v>3</v>
      </c>
      <c r="K719" s="4">
        <v>15390</v>
      </c>
      <c r="L719" s="4">
        <v>6156</v>
      </c>
      <c r="M719" s="3">
        <v>0.4</v>
      </c>
    </row>
    <row r="720" spans="2:13" x14ac:dyDescent="0.3">
      <c r="B720" t="s">
        <v>65</v>
      </c>
      <c r="C720" s="1" t="s">
        <v>63</v>
      </c>
      <c r="D720" s="2">
        <v>44864</v>
      </c>
      <c r="E720" s="8" t="s">
        <v>23</v>
      </c>
      <c r="F720" s="8" t="s">
        <v>90</v>
      </c>
      <c r="G720" s="8" t="s">
        <v>91</v>
      </c>
      <c r="H720" t="s">
        <v>11</v>
      </c>
      <c r="I720" s="4">
        <v>300</v>
      </c>
      <c r="J720" s="8">
        <v>2</v>
      </c>
      <c r="K720" s="4">
        <v>600</v>
      </c>
      <c r="L720" s="4">
        <v>90</v>
      </c>
      <c r="M720" s="3">
        <v>0.15</v>
      </c>
    </row>
    <row r="721" spans="2:13" x14ac:dyDescent="0.3">
      <c r="B721" t="s">
        <v>65</v>
      </c>
      <c r="C721" s="1" t="s">
        <v>64</v>
      </c>
      <c r="D721" s="2">
        <v>44871</v>
      </c>
      <c r="E721" s="8" t="s">
        <v>23</v>
      </c>
      <c r="F721" s="8" t="s">
        <v>90</v>
      </c>
      <c r="G721" s="8" t="s">
        <v>91</v>
      </c>
      <c r="H721" t="s">
        <v>14</v>
      </c>
      <c r="I721" s="4">
        <v>4500</v>
      </c>
      <c r="J721" s="8">
        <v>15</v>
      </c>
      <c r="K721" s="4">
        <v>67500</v>
      </c>
      <c r="L721" s="4">
        <v>16875</v>
      </c>
      <c r="M721" s="3">
        <v>0.25</v>
      </c>
    </row>
    <row r="722" spans="2:13" x14ac:dyDescent="0.3">
      <c r="B722" t="s">
        <v>65</v>
      </c>
      <c r="C722" s="1" t="s">
        <v>63</v>
      </c>
      <c r="D722" s="2">
        <v>44878</v>
      </c>
      <c r="E722" s="8" t="s">
        <v>23</v>
      </c>
      <c r="F722" s="8" t="s">
        <v>90</v>
      </c>
      <c r="G722" s="8" t="s">
        <v>91</v>
      </c>
      <c r="H722" t="s">
        <v>11</v>
      </c>
      <c r="I722" s="4">
        <v>300</v>
      </c>
      <c r="J722" s="8">
        <v>5</v>
      </c>
      <c r="K722" s="4">
        <v>1500</v>
      </c>
      <c r="L722" s="4">
        <v>225</v>
      </c>
      <c r="M722" s="3">
        <v>0.15</v>
      </c>
    </row>
    <row r="723" spans="2:13" x14ac:dyDescent="0.3">
      <c r="B723" t="s">
        <v>65</v>
      </c>
      <c r="C723" s="1" t="s">
        <v>63</v>
      </c>
      <c r="D723" s="2">
        <v>44885</v>
      </c>
      <c r="E723" s="8" t="s">
        <v>23</v>
      </c>
      <c r="F723" s="8" t="s">
        <v>90</v>
      </c>
      <c r="G723" s="8" t="s">
        <v>91</v>
      </c>
      <c r="H723" t="s">
        <v>12</v>
      </c>
      <c r="I723" s="4">
        <v>500</v>
      </c>
      <c r="J723" s="8">
        <v>5</v>
      </c>
      <c r="K723" s="4">
        <v>2500</v>
      </c>
      <c r="L723" s="4">
        <v>625</v>
      </c>
      <c r="M723" s="3">
        <v>0.25</v>
      </c>
    </row>
    <row r="724" spans="2:13" x14ac:dyDescent="0.3">
      <c r="B724" t="s">
        <v>65</v>
      </c>
      <c r="C724" s="1" t="s">
        <v>63</v>
      </c>
      <c r="D724" s="2">
        <v>44892</v>
      </c>
      <c r="E724" s="8" t="s">
        <v>23</v>
      </c>
      <c r="F724" s="8" t="s">
        <v>90</v>
      </c>
      <c r="G724" s="8" t="s">
        <v>91</v>
      </c>
      <c r="H724" t="s">
        <v>18</v>
      </c>
      <c r="I724" s="4">
        <v>4600</v>
      </c>
      <c r="J724" s="8">
        <v>7</v>
      </c>
      <c r="K724" s="4">
        <v>32200</v>
      </c>
      <c r="L724" s="4">
        <v>8050</v>
      </c>
      <c r="M724" s="3">
        <v>0.25</v>
      </c>
    </row>
    <row r="725" spans="2:13" x14ac:dyDescent="0.3">
      <c r="B725" t="s">
        <v>61</v>
      </c>
      <c r="C725" s="1" t="s">
        <v>63</v>
      </c>
      <c r="D725" s="2">
        <v>44899</v>
      </c>
      <c r="E725" s="8" t="s">
        <v>23</v>
      </c>
      <c r="F725" s="8" t="s">
        <v>90</v>
      </c>
      <c r="G725" s="8" t="s">
        <v>91</v>
      </c>
      <c r="H725" t="s">
        <v>9</v>
      </c>
      <c r="I725" s="4">
        <v>1500</v>
      </c>
      <c r="J725" s="8">
        <v>3</v>
      </c>
      <c r="K725" s="4">
        <v>4500</v>
      </c>
      <c r="L725" s="4">
        <v>1800</v>
      </c>
      <c r="M725" s="3">
        <v>0.4</v>
      </c>
    </row>
    <row r="726" spans="2:13" x14ac:dyDescent="0.3">
      <c r="B726" t="s">
        <v>65</v>
      </c>
      <c r="C726" s="1" t="s">
        <v>63</v>
      </c>
      <c r="D726" s="2">
        <v>44906</v>
      </c>
      <c r="E726" s="8" t="s">
        <v>23</v>
      </c>
      <c r="F726" s="8" t="s">
        <v>90</v>
      </c>
      <c r="G726" s="8" t="s">
        <v>91</v>
      </c>
      <c r="H726" t="s">
        <v>17</v>
      </c>
      <c r="I726" s="4">
        <v>5130</v>
      </c>
      <c r="J726" s="8">
        <v>12</v>
      </c>
      <c r="K726" s="4">
        <v>61560</v>
      </c>
      <c r="L726" s="4">
        <v>24624</v>
      </c>
      <c r="M726" s="3">
        <v>0.4</v>
      </c>
    </row>
    <row r="727" spans="2:13" x14ac:dyDescent="0.3">
      <c r="B727" t="s">
        <v>66</v>
      </c>
      <c r="C727" s="1" t="s">
        <v>64</v>
      </c>
      <c r="D727" s="2">
        <v>44913</v>
      </c>
      <c r="E727" s="8" t="s">
        <v>23</v>
      </c>
      <c r="F727" s="8" t="s">
        <v>90</v>
      </c>
      <c r="G727" s="8" t="s">
        <v>91</v>
      </c>
      <c r="H727" t="s">
        <v>14</v>
      </c>
      <c r="I727" s="4">
        <v>4500</v>
      </c>
      <c r="J727" s="8">
        <v>1</v>
      </c>
      <c r="K727" s="4">
        <v>4500</v>
      </c>
      <c r="L727" s="4">
        <v>1125</v>
      </c>
      <c r="M727" s="3">
        <v>0.25</v>
      </c>
    </row>
    <row r="728" spans="2:13" x14ac:dyDescent="0.3">
      <c r="B728" t="s">
        <v>60</v>
      </c>
      <c r="C728" s="1" t="s">
        <v>63</v>
      </c>
      <c r="D728" s="2">
        <v>44920</v>
      </c>
      <c r="E728" s="8" t="s">
        <v>23</v>
      </c>
      <c r="F728" s="8" t="s">
        <v>90</v>
      </c>
      <c r="G728" s="8" t="s">
        <v>91</v>
      </c>
      <c r="H728" t="s">
        <v>13</v>
      </c>
      <c r="I728" s="4">
        <v>3200</v>
      </c>
      <c r="J728" s="8">
        <v>6</v>
      </c>
      <c r="K728" s="4">
        <v>19200</v>
      </c>
      <c r="L728" s="4">
        <v>3840</v>
      </c>
      <c r="M728" s="3">
        <v>0.2</v>
      </c>
    </row>
    <row r="729" spans="2:13" x14ac:dyDescent="0.3">
      <c r="B729" t="s">
        <v>60</v>
      </c>
      <c r="C729" s="1" t="s">
        <v>64</v>
      </c>
      <c r="D729" s="2">
        <v>44927</v>
      </c>
      <c r="E729" s="8" t="s">
        <v>23</v>
      </c>
      <c r="F729" s="8" t="s">
        <v>90</v>
      </c>
      <c r="G729" s="8" t="s">
        <v>91</v>
      </c>
      <c r="H729" t="s">
        <v>13</v>
      </c>
      <c r="I729" s="4">
        <v>3200</v>
      </c>
      <c r="J729" s="8">
        <v>10</v>
      </c>
      <c r="K729" s="4">
        <v>32000</v>
      </c>
      <c r="L729" s="4">
        <v>6400</v>
      </c>
      <c r="M729" s="3">
        <v>0.2</v>
      </c>
    </row>
    <row r="730" spans="2:13" x14ac:dyDescent="0.3">
      <c r="B730" t="s">
        <v>65</v>
      </c>
      <c r="C730" s="1" t="s">
        <v>63</v>
      </c>
      <c r="D730" s="2">
        <v>44934</v>
      </c>
      <c r="E730" s="8" t="s">
        <v>23</v>
      </c>
      <c r="F730" s="8" t="s">
        <v>90</v>
      </c>
      <c r="G730" s="8" t="s">
        <v>91</v>
      </c>
      <c r="H730" t="s">
        <v>9</v>
      </c>
      <c r="I730" s="4">
        <v>1500</v>
      </c>
      <c r="J730" s="8">
        <v>6</v>
      </c>
      <c r="K730" s="4">
        <v>9000</v>
      </c>
      <c r="L730" s="4">
        <v>3600</v>
      </c>
      <c r="M730" s="3">
        <v>0.4</v>
      </c>
    </row>
    <row r="731" spans="2:13" x14ac:dyDescent="0.3">
      <c r="B731" t="s">
        <v>66</v>
      </c>
      <c r="C731" s="1" t="s">
        <v>63</v>
      </c>
      <c r="D731" s="2">
        <v>44941</v>
      </c>
      <c r="E731" s="8" t="s">
        <v>23</v>
      </c>
      <c r="F731" s="8" t="s">
        <v>90</v>
      </c>
      <c r="G731" s="8" t="s">
        <v>91</v>
      </c>
      <c r="H731" t="s">
        <v>20</v>
      </c>
      <c r="I731" s="4">
        <v>8902</v>
      </c>
      <c r="J731" s="8">
        <v>6</v>
      </c>
      <c r="K731" s="4">
        <v>53412</v>
      </c>
      <c r="L731" s="4">
        <v>18694.199999999997</v>
      </c>
      <c r="M731" s="3">
        <v>0.35</v>
      </c>
    </row>
    <row r="732" spans="2:13" x14ac:dyDescent="0.3">
      <c r="B732" t="s">
        <v>65</v>
      </c>
      <c r="C732" s="1" t="s">
        <v>64</v>
      </c>
      <c r="D732" s="2">
        <v>44948</v>
      </c>
      <c r="E732" s="8" t="s">
        <v>23</v>
      </c>
      <c r="F732" s="8" t="s">
        <v>90</v>
      </c>
      <c r="G732" s="8" t="s">
        <v>91</v>
      </c>
      <c r="H732" t="s">
        <v>10</v>
      </c>
      <c r="I732" s="4">
        <v>1700</v>
      </c>
      <c r="J732" s="8">
        <v>2</v>
      </c>
      <c r="K732" s="4">
        <v>3400</v>
      </c>
      <c r="L732" s="4">
        <v>1700</v>
      </c>
      <c r="M732" s="3">
        <v>0.5</v>
      </c>
    </row>
    <row r="733" spans="2:13" x14ac:dyDescent="0.3">
      <c r="B733" t="s">
        <v>65</v>
      </c>
      <c r="C733" s="1" t="s">
        <v>63</v>
      </c>
      <c r="D733" s="2">
        <v>44955</v>
      </c>
      <c r="E733" s="8" t="s">
        <v>23</v>
      </c>
      <c r="F733" s="8" t="s">
        <v>90</v>
      </c>
      <c r="G733" s="8" t="s">
        <v>91</v>
      </c>
      <c r="H733" t="s">
        <v>16</v>
      </c>
      <c r="I733" s="4">
        <v>3400</v>
      </c>
      <c r="J733" s="8">
        <v>1</v>
      </c>
      <c r="K733" s="4">
        <v>3400</v>
      </c>
      <c r="L733" s="4">
        <v>1190</v>
      </c>
      <c r="M733" s="3">
        <v>0.35</v>
      </c>
    </row>
    <row r="734" spans="2:13" x14ac:dyDescent="0.3">
      <c r="B734" t="s">
        <v>66</v>
      </c>
      <c r="C734" s="1" t="s">
        <v>63</v>
      </c>
      <c r="D734" s="2">
        <v>44962</v>
      </c>
      <c r="E734" s="8" t="s">
        <v>23</v>
      </c>
      <c r="F734" s="8" t="s">
        <v>90</v>
      </c>
      <c r="G734" s="8" t="s">
        <v>91</v>
      </c>
      <c r="H734" t="s">
        <v>8</v>
      </c>
      <c r="I734" s="4">
        <v>1200</v>
      </c>
      <c r="J734" s="8">
        <v>2</v>
      </c>
      <c r="K734" s="4">
        <v>2400</v>
      </c>
      <c r="L734" s="4">
        <v>720</v>
      </c>
      <c r="M734" s="3">
        <v>0.3</v>
      </c>
    </row>
    <row r="735" spans="2:13" x14ac:dyDescent="0.3">
      <c r="B735" t="s">
        <v>62</v>
      </c>
      <c r="C735" s="1" t="s">
        <v>63</v>
      </c>
      <c r="D735" s="2">
        <v>44969</v>
      </c>
      <c r="E735" s="8" t="s">
        <v>23</v>
      </c>
      <c r="F735" s="8" t="s">
        <v>90</v>
      </c>
      <c r="G735" s="8" t="s">
        <v>91</v>
      </c>
      <c r="H735" t="s">
        <v>14</v>
      </c>
      <c r="I735" s="4">
        <v>4500</v>
      </c>
      <c r="J735" s="8">
        <v>5</v>
      </c>
      <c r="K735" s="4">
        <v>22500</v>
      </c>
      <c r="L735" s="4">
        <v>5625</v>
      </c>
      <c r="M735" s="3">
        <v>0.25</v>
      </c>
    </row>
    <row r="736" spans="2:13" x14ac:dyDescent="0.3">
      <c r="B736" t="s">
        <v>65</v>
      </c>
      <c r="C736" s="1" t="s">
        <v>63</v>
      </c>
      <c r="D736" s="2">
        <v>44976</v>
      </c>
      <c r="E736" s="8" t="s">
        <v>23</v>
      </c>
      <c r="F736" s="8" t="s">
        <v>90</v>
      </c>
      <c r="G736" s="8" t="s">
        <v>91</v>
      </c>
      <c r="H736" t="s">
        <v>8</v>
      </c>
      <c r="I736" s="4">
        <v>1200</v>
      </c>
      <c r="J736" s="8">
        <v>6</v>
      </c>
      <c r="K736" s="4">
        <v>7200</v>
      </c>
      <c r="L736" s="4">
        <v>2160</v>
      </c>
      <c r="M736" s="3">
        <v>0.3</v>
      </c>
    </row>
    <row r="737" spans="2:13" x14ac:dyDescent="0.3">
      <c r="B737" t="s">
        <v>61</v>
      </c>
      <c r="C737" s="1" t="s">
        <v>64</v>
      </c>
      <c r="D737" s="2">
        <v>44983</v>
      </c>
      <c r="E737" s="8" t="s">
        <v>23</v>
      </c>
      <c r="F737" s="8" t="s">
        <v>90</v>
      </c>
      <c r="G737" s="8" t="s">
        <v>91</v>
      </c>
      <c r="H737" t="s">
        <v>17</v>
      </c>
      <c r="I737" s="4">
        <v>5130</v>
      </c>
      <c r="J737" s="8">
        <v>2</v>
      </c>
      <c r="K737" s="4">
        <v>10260</v>
      </c>
      <c r="L737" s="4">
        <v>4104</v>
      </c>
      <c r="M737" s="3">
        <v>0.4</v>
      </c>
    </row>
    <row r="738" spans="2:13" x14ac:dyDescent="0.3">
      <c r="B738" t="s">
        <v>62</v>
      </c>
      <c r="C738" s="1" t="s">
        <v>63</v>
      </c>
      <c r="D738" s="2">
        <v>44990</v>
      </c>
      <c r="E738" s="8" t="s">
        <v>23</v>
      </c>
      <c r="F738" s="8" t="s">
        <v>90</v>
      </c>
      <c r="G738" s="8" t="s">
        <v>91</v>
      </c>
      <c r="H738" t="s">
        <v>8</v>
      </c>
      <c r="I738" s="4">
        <v>1200</v>
      </c>
      <c r="J738" s="8">
        <v>9</v>
      </c>
      <c r="K738" s="4">
        <v>10800</v>
      </c>
      <c r="L738" s="4">
        <v>3240</v>
      </c>
      <c r="M738" s="3">
        <v>0.3</v>
      </c>
    </row>
    <row r="739" spans="2:13" x14ac:dyDescent="0.3">
      <c r="B739" t="s">
        <v>65</v>
      </c>
      <c r="C739" s="1" t="s">
        <v>64</v>
      </c>
      <c r="D739" s="2">
        <v>44997</v>
      </c>
      <c r="E739" s="8" t="s">
        <v>23</v>
      </c>
      <c r="F739" s="8" t="s">
        <v>90</v>
      </c>
      <c r="G739" s="8" t="s">
        <v>91</v>
      </c>
      <c r="H739" t="s">
        <v>11</v>
      </c>
      <c r="I739" s="4">
        <v>300</v>
      </c>
      <c r="J739" s="8">
        <v>2</v>
      </c>
      <c r="K739" s="4">
        <v>600</v>
      </c>
      <c r="L739" s="4">
        <v>90</v>
      </c>
      <c r="M739" s="3">
        <v>0.15</v>
      </c>
    </row>
    <row r="740" spans="2:13" x14ac:dyDescent="0.3">
      <c r="B740" t="s">
        <v>65</v>
      </c>
      <c r="C740" s="1" t="s">
        <v>63</v>
      </c>
      <c r="D740" s="2">
        <v>45004</v>
      </c>
      <c r="E740" s="8" t="s">
        <v>23</v>
      </c>
      <c r="F740" s="8" t="s">
        <v>90</v>
      </c>
      <c r="G740" s="8" t="s">
        <v>91</v>
      </c>
      <c r="H740" t="s">
        <v>18</v>
      </c>
      <c r="I740" s="4">
        <v>4600</v>
      </c>
      <c r="J740" s="8">
        <v>8</v>
      </c>
      <c r="K740" s="4">
        <v>36800</v>
      </c>
      <c r="L740" s="4">
        <v>9200</v>
      </c>
      <c r="M740" s="3">
        <v>0.25</v>
      </c>
    </row>
    <row r="741" spans="2:13" x14ac:dyDescent="0.3">
      <c r="B741" t="s">
        <v>60</v>
      </c>
      <c r="C741" s="1" t="s">
        <v>63</v>
      </c>
      <c r="D741" s="2">
        <v>45011</v>
      </c>
      <c r="E741" s="8" t="s">
        <v>23</v>
      </c>
      <c r="F741" s="8" t="s">
        <v>90</v>
      </c>
      <c r="G741" s="8" t="s">
        <v>91</v>
      </c>
      <c r="H741" t="s">
        <v>16</v>
      </c>
      <c r="I741" s="4">
        <v>3400</v>
      </c>
      <c r="J741" s="8">
        <v>8</v>
      </c>
      <c r="K741" s="4">
        <v>27200</v>
      </c>
      <c r="L741" s="4">
        <v>9520</v>
      </c>
      <c r="M741" s="3">
        <v>0.35</v>
      </c>
    </row>
    <row r="742" spans="2:13" x14ac:dyDescent="0.3">
      <c r="B742" t="s">
        <v>65</v>
      </c>
      <c r="C742" s="1" t="s">
        <v>64</v>
      </c>
      <c r="D742" s="2">
        <v>45018</v>
      </c>
      <c r="E742" s="8" t="s">
        <v>23</v>
      </c>
      <c r="F742" s="8" t="s">
        <v>90</v>
      </c>
      <c r="G742" s="8" t="s">
        <v>91</v>
      </c>
      <c r="H742" t="s">
        <v>11</v>
      </c>
      <c r="I742" s="4">
        <v>300</v>
      </c>
      <c r="J742" s="8">
        <v>6</v>
      </c>
      <c r="K742" s="4">
        <v>1800</v>
      </c>
      <c r="L742" s="4">
        <v>270</v>
      </c>
      <c r="M742" s="3">
        <v>0.15</v>
      </c>
    </row>
    <row r="743" spans="2:13" x14ac:dyDescent="0.3">
      <c r="B743" t="s">
        <v>60</v>
      </c>
      <c r="C743" s="1" t="s">
        <v>64</v>
      </c>
      <c r="D743" s="2">
        <v>45025</v>
      </c>
      <c r="E743" s="8" t="s">
        <v>23</v>
      </c>
      <c r="F743" s="8" t="s">
        <v>90</v>
      </c>
      <c r="G743" s="8" t="s">
        <v>91</v>
      </c>
      <c r="H743" t="s">
        <v>16</v>
      </c>
      <c r="I743" s="4">
        <v>3400</v>
      </c>
      <c r="J743" s="8">
        <v>8</v>
      </c>
      <c r="K743" s="4">
        <v>27200</v>
      </c>
      <c r="L743" s="4">
        <v>9520</v>
      </c>
      <c r="M743" s="3">
        <v>0.35</v>
      </c>
    </row>
    <row r="744" spans="2:13" x14ac:dyDescent="0.3">
      <c r="B744" t="s">
        <v>65</v>
      </c>
      <c r="C744" s="1" t="s">
        <v>63</v>
      </c>
      <c r="D744" s="2">
        <v>45032</v>
      </c>
      <c r="E744" s="8" t="s">
        <v>23</v>
      </c>
      <c r="F744" s="8" t="s">
        <v>90</v>
      </c>
      <c r="G744" s="8" t="s">
        <v>91</v>
      </c>
      <c r="H744" t="s">
        <v>8</v>
      </c>
      <c r="I744" s="4">
        <v>1200</v>
      </c>
      <c r="J744" s="8">
        <v>6</v>
      </c>
      <c r="K744" s="4">
        <v>7200</v>
      </c>
      <c r="L744" s="4">
        <v>2160</v>
      </c>
      <c r="M744" s="3">
        <v>0.3</v>
      </c>
    </row>
    <row r="745" spans="2:13" x14ac:dyDescent="0.3">
      <c r="B745" t="s">
        <v>60</v>
      </c>
      <c r="C745" s="1" t="s">
        <v>63</v>
      </c>
      <c r="D745" s="2">
        <v>45039</v>
      </c>
      <c r="E745" s="8" t="s">
        <v>23</v>
      </c>
      <c r="F745" s="8" t="s">
        <v>90</v>
      </c>
      <c r="G745" s="8" t="s">
        <v>91</v>
      </c>
      <c r="H745" t="s">
        <v>19</v>
      </c>
      <c r="I745" s="4">
        <v>5340</v>
      </c>
      <c r="J745" s="8">
        <v>1</v>
      </c>
      <c r="K745" s="4">
        <v>5340</v>
      </c>
      <c r="L745" s="4">
        <v>1602</v>
      </c>
      <c r="M745" s="3">
        <v>0.3</v>
      </c>
    </row>
    <row r="746" spans="2:13" x14ac:dyDescent="0.3">
      <c r="B746" t="s">
        <v>60</v>
      </c>
      <c r="C746" s="1" t="s">
        <v>63</v>
      </c>
      <c r="D746" s="2">
        <v>45046</v>
      </c>
      <c r="E746" s="8" t="s">
        <v>23</v>
      </c>
      <c r="F746" s="8" t="s">
        <v>90</v>
      </c>
      <c r="G746" s="8" t="s">
        <v>91</v>
      </c>
      <c r="H746" t="s">
        <v>20</v>
      </c>
      <c r="I746" s="4">
        <v>8902</v>
      </c>
      <c r="J746" s="8">
        <v>7</v>
      </c>
      <c r="K746" s="4">
        <v>62314</v>
      </c>
      <c r="L746" s="4">
        <v>21809.899999999998</v>
      </c>
      <c r="M746" s="3">
        <v>0.35</v>
      </c>
    </row>
    <row r="747" spans="2:13" x14ac:dyDescent="0.3">
      <c r="B747" t="s">
        <v>65</v>
      </c>
      <c r="C747" s="1" t="s">
        <v>63</v>
      </c>
      <c r="D747" s="2">
        <v>45053</v>
      </c>
      <c r="E747" s="8" t="s">
        <v>23</v>
      </c>
      <c r="F747" s="8" t="s">
        <v>92</v>
      </c>
      <c r="G747" s="8" t="s">
        <v>93</v>
      </c>
      <c r="H747" t="s">
        <v>19</v>
      </c>
      <c r="I747" s="4">
        <v>5340</v>
      </c>
      <c r="J747" s="8">
        <v>6</v>
      </c>
      <c r="K747" s="4">
        <v>32040</v>
      </c>
      <c r="L747" s="4">
        <v>9612</v>
      </c>
      <c r="M747" s="3">
        <v>0.3</v>
      </c>
    </row>
    <row r="748" spans="2:13" x14ac:dyDescent="0.3">
      <c r="B748" t="s">
        <v>60</v>
      </c>
      <c r="C748" s="1" t="s">
        <v>63</v>
      </c>
      <c r="D748" s="2">
        <v>45060</v>
      </c>
      <c r="E748" s="8" t="s">
        <v>23</v>
      </c>
      <c r="F748" s="8" t="s">
        <v>92</v>
      </c>
      <c r="G748" s="8" t="s">
        <v>93</v>
      </c>
      <c r="H748" t="s">
        <v>12</v>
      </c>
      <c r="I748" s="4">
        <v>500</v>
      </c>
      <c r="J748" s="8">
        <v>9</v>
      </c>
      <c r="K748" s="4">
        <v>4500</v>
      </c>
      <c r="L748" s="4">
        <v>1125</v>
      </c>
      <c r="M748" s="3">
        <v>0.25</v>
      </c>
    </row>
    <row r="749" spans="2:13" x14ac:dyDescent="0.3">
      <c r="B749" t="s">
        <v>65</v>
      </c>
      <c r="C749" s="1" t="s">
        <v>63</v>
      </c>
      <c r="D749" s="2">
        <v>45067</v>
      </c>
      <c r="E749" s="8" t="s">
        <v>23</v>
      </c>
      <c r="F749" s="8" t="s">
        <v>92</v>
      </c>
      <c r="G749" s="8" t="s">
        <v>93</v>
      </c>
      <c r="H749" t="s">
        <v>18</v>
      </c>
      <c r="I749" s="4">
        <v>4600</v>
      </c>
      <c r="J749" s="8">
        <v>3</v>
      </c>
      <c r="K749" s="4">
        <v>13800</v>
      </c>
      <c r="L749" s="4">
        <v>3450</v>
      </c>
      <c r="M749" s="3">
        <v>0.25</v>
      </c>
    </row>
    <row r="750" spans="2:13" x14ac:dyDescent="0.3">
      <c r="B750" t="s">
        <v>65</v>
      </c>
      <c r="C750" s="1" t="s">
        <v>64</v>
      </c>
      <c r="D750" s="2">
        <v>45074</v>
      </c>
      <c r="E750" s="8" t="s">
        <v>23</v>
      </c>
      <c r="F750" s="8" t="s">
        <v>92</v>
      </c>
      <c r="G750" s="8" t="s">
        <v>93</v>
      </c>
      <c r="H750" t="s">
        <v>18</v>
      </c>
      <c r="I750" s="4">
        <v>4600</v>
      </c>
      <c r="J750" s="8">
        <v>8</v>
      </c>
      <c r="K750" s="4">
        <v>36800</v>
      </c>
      <c r="L750" s="4">
        <v>9200</v>
      </c>
      <c r="M750" s="3">
        <v>0.25</v>
      </c>
    </row>
    <row r="751" spans="2:13" x14ac:dyDescent="0.3">
      <c r="B751" t="s">
        <v>65</v>
      </c>
      <c r="C751" s="1" t="s">
        <v>63</v>
      </c>
      <c r="D751" s="2">
        <v>45081</v>
      </c>
      <c r="E751" s="8" t="s">
        <v>23</v>
      </c>
      <c r="F751" s="8" t="s">
        <v>92</v>
      </c>
      <c r="G751" s="8" t="s">
        <v>93</v>
      </c>
      <c r="H751" t="s">
        <v>13</v>
      </c>
      <c r="I751" s="4">
        <v>3200</v>
      </c>
      <c r="J751" s="8">
        <v>16</v>
      </c>
      <c r="K751" s="4">
        <v>51200</v>
      </c>
      <c r="L751" s="4">
        <v>10240</v>
      </c>
      <c r="M751" s="3">
        <v>0.2</v>
      </c>
    </row>
    <row r="752" spans="2:13" x14ac:dyDescent="0.3">
      <c r="B752" t="s">
        <v>60</v>
      </c>
      <c r="C752" s="1" t="s">
        <v>63</v>
      </c>
      <c r="D752" s="2">
        <v>45088</v>
      </c>
      <c r="E752" s="8" t="s">
        <v>23</v>
      </c>
      <c r="F752" s="8" t="s">
        <v>92</v>
      </c>
      <c r="G752" s="8" t="s">
        <v>93</v>
      </c>
      <c r="H752" t="s">
        <v>20</v>
      </c>
      <c r="I752" s="4">
        <v>8902</v>
      </c>
      <c r="J752" s="8">
        <v>15</v>
      </c>
      <c r="K752" s="4">
        <v>133530</v>
      </c>
      <c r="L752" s="4">
        <v>46735.5</v>
      </c>
      <c r="M752" s="3">
        <v>0.35</v>
      </c>
    </row>
    <row r="753" spans="2:13" x14ac:dyDescent="0.3">
      <c r="B753" t="s">
        <v>65</v>
      </c>
      <c r="C753" s="1" t="s">
        <v>64</v>
      </c>
      <c r="D753" s="2">
        <v>45095</v>
      </c>
      <c r="E753" s="8" t="s">
        <v>23</v>
      </c>
      <c r="F753" s="8" t="s">
        <v>92</v>
      </c>
      <c r="G753" s="8" t="s">
        <v>93</v>
      </c>
      <c r="H753" t="s">
        <v>8</v>
      </c>
      <c r="I753" s="4">
        <v>1200</v>
      </c>
      <c r="J753" s="8">
        <v>5</v>
      </c>
      <c r="K753" s="4">
        <v>6000</v>
      </c>
      <c r="L753" s="4">
        <v>1800</v>
      </c>
      <c r="M753" s="3">
        <v>0.3</v>
      </c>
    </row>
    <row r="754" spans="2:13" x14ac:dyDescent="0.3">
      <c r="B754" t="s">
        <v>60</v>
      </c>
      <c r="C754" s="1" t="s">
        <v>63</v>
      </c>
      <c r="D754" s="2">
        <v>45102</v>
      </c>
      <c r="E754" s="8" t="s">
        <v>23</v>
      </c>
      <c r="F754" s="8" t="s">
        <v>92</v>
      </c>
      <c r="G754" s="8" t="s">
        <v>93</v>
      </c>
      <c r="H754" t="s">
        <v>19</v>
      </c>
      <c r="I754" s="4">
        <v>5340</v>
      </c>
      <c r="J754" s="8">
        <v>5</v>
      </c>
      <c r="K754" s="4">
        <v>26700</v>
      </c>
      <c r="L754" s="4">
        <v>8010</v>
      </c>
      <c r="M754" s="3">
        <v>0.3</v>
      </c>
    </row>
    <row r="755" spans="2:13" x14ac:dyDescent="0.3">
      <c r="B755" t="s">
        <v>65</v>
      </c>
      <c r="C755" s="1" t="s">
        <v>63</v>
      </c>
      <c r="D755" s="2">
        <v>45109</v>
      </c>
      <c r="E755" s="8" t="s">
        <v>23</v>
      </c>
      <c r="F755" s="8" t="s">
        <v>92</v>
      </c>
      <c r="G755" s="8" t="s">
        <v>93</v>
      </c>
      <c r="H755" t="s">
        <v>16</v>
      </c>
      <c r="I755" s="4">
        <v>3400</v>
      </c>
      <c r="J755" s="8">
        <v>5</v>
      </c>
      <c r="K755" s="4">
        <v>17000</v>
      </c>
      <c r="L755" s="4">
        <v>5950</v>
      </c>
      <c r="M755" s="3">
        <v>0.35</v>
      </c>
    </row>
    <row r="756" spans="2:13" x14ac:dyDescent="0.3">
      <c r="B756" t="s">
        <v>65</v>
      </c>
      <c r="C756" s="1" t="s">
        <v>63</v>
      </c>
      <c r="D756" s="2">
        <v>45116</v>
      </c>
      <c r="E756" s="8" t="s">
        <v>23</v>
      </c>
      <c r="F756" s="8" t="s">
        <v>92</v>
      </c>
      <c r="G756" s="8" t="s">
        <v>93</v>
      </c>
      <c r="H756" t="s">
        <v>11</v>
      </c>
      <c r="I756" s="4">
        <v>300</v>
      </c>
      <c r="J756" s="8">
        <v>2</v>
      </c>
      <c r="K756" s="4">
        <v>600</v>
      </c>
      <c r="L756" s="4">
        <v>90</v>
      </c>
      <c r="M756" s="3">
        <v>0.15</v>
      </c>
    </row>
    <row r="757" spans="2:13" x14ac:dyDescent="0.3">
      <c r="B757" t="s">
        <v>65</v>
      </c>
      <c r="C757" s="1" t="s">
        <v>63</v>
      </c>
      <c r="D757" s="2">
        <v>45123</v>
      </c>
      <c r="E757" s="8" t="s">
        <v>23</v>
      </c>
      <c r="F757" s="8" t="s">
        <v>92</v>
      </c>
      <c r="G757" s="8" t="s">
        <v>93</v>
      </c>
      <c r="H757" t="s">
        <v>12</v>
      </c>
      <c r="I757" s="4">
        <v>500</v>
      </c>
      <c r="J757" s="8">
        <v>5</v>
      </c>
      <c r="K757" s="4">
        <v>2500</v>
      </c>
      <c r="L757" s="4">
        <v>625</v>
      </c>
      <c r="M757" s="3">
        <v>0.25</v>
      </c>
    </row>
    <row r="758" spans="2:13" x14ac:dyDescent="0.3">
      <c r="B758" t="s">
        <v>62</v>
      </c>
      <c r="C758" s="1" t="s">
        <v>63</v>
      </c>
      <c r="D758" s="2">
        <v>45130</v>
      </c>
      <c r="E758" s="8" t="s">
        <v>23</v>
      </c>
      <c r="F758" s="8" t="s">
        <v>92</v>
      </c>
      <c r="G758" s="8" t="s">
        <v>93</v>
      </c>
      <c r="H758" t="s">
        <v>15</v>
      </c>
      <c r="I758" s="4">
        <v>5300</v>
      </c>
      <c r="J758" s="8">
        <v>3</v>
      </c>
      <c r="K758" s="4">
        <v>15900</v>
      </c>
      <c r="L758" s="4">
        <v>4770</v>
      </c>
      <c r="M758" s="3">
        <v>0.3</v>
      </c>
    </row>
    <row r="759" spans="2:13" x14ac:dyDescent="0.3">
      <c r="B759" t="s">
        <v>60</v>
      </c>
      <c r="C759" s="1" t="s">
        <v>63</v>
      </c>
      <c r="D759" s="2">
        <v>45137</v>
      </c>
      <c r="E759" s="8" t="s">
        <v>23</v>
      </c>
      <c r="F759" s="8" t="s">
        <v>92</v>
      </c>
      <c r="G759" s="8" t="s">
        <v>93</v>
      </c>
      <c r="H759" t="s">
        <v>13</v>
      </c>
      <c r="I759" s="4">
        <v>3200</v>
      </c>
      <c r="J759" s="8">
        <v>8</v>
      </c>
      <c r="K759" s="4">
        <v>25600</v>
      </c>
      <c r="L759" s="4">
        <v>5120</v>
      </c>
      <c r="M759" s="3">
        <v>0.2</v>
      </c>
    </row>
    <row r="760" spans="2:13" x14ac:dyDescent="0.3">
      <c r="B760" t="s">
        <v>65</v>
      </c>
      <c r="C760" s="1" t="s">
        <v>64</v>
      </c>
      <c r="D760" s="2">
        <v>45144</v>
      </c>
      <c r="E760" s="8" t="s">
        <v>23</v>
      </c>
      <c r="F760" s="8" t="s">
        <v>92</v>
      </c>
      <c r="G760" s="8" t="s">
        <v>93</v>
      </c>
      <c r="H760" t="s">
        <v>13</v>
      </c>
      <c r="I760" s="4">
        <v>3200</v>
      </c>
      <c r="J760" s="8">
        <v>7</v>
      </c>
      <c r="K760" s="4">
        <v>22400</v>
      </c>
      <c r="L760" s="4">
        <v>4480</v>
      </c>
      <c r="M760" s="3">
        <v>0.2</v>
      </c>
    </row>
    <row r="761" spans="2:13" x14ac:dyDescent="0.3">
      <c r="B761" t="s">
        <v>61</v>
      </c>
      <c r="C761" s="1" t="s">
        <v>63</v>
      </c>
      <c r="D761" s="2">
        <v>45151</v>
      </c>
      <c r="E761" s="8" t="s">
        <v>23</v>
      </c>
      <c r="F761" s="8" t="s">
        <v>92</v>
      </c>
      <c r="G761" s="8" t="s">
        <v>93</v>
      </c>
      <c r="H761" t="s">
        <v>18</v>
      </c>
      <c r="I761" s="4">
        <v>4600</v>
      </c>
      <c r="J761" s="8">
        <v>8</v>
      </c>
      <c r="K761" s="4">
        <v>36800</v>
      </c>
      <c r="L761" s="4">
        <v>9200</v>
      </c>
      <c r="M761" s="3">
        <v>0.25</v>
      </c>
    </row>
    <row r="762" spans="2:13" x14ac:dyDescent="0.3">
      <c r="B762" t="s">
        <v>66</v>
      </c>
      <c r="C762" s="1" t="s">
        <v>63</v>
      </c>
      <c r="D762" s="2">
        <v>45158</v>
      </c>
      <c r="E762" s="8" t="s">
        <v>23</v>
      </c>
      <c r="F762" s="8" t="s">
        <v>92</v>
      </c>
      <c r="G762" s="8" t="s">
        <v>93</v>
      </c>
      <c r="H762" t="s">
        <v>17</v>
      </c>
      <c r="I762" s="4">
        <v>5130</v>
      </c>
      <c r="J762" s="8">
        <v>12</v>
      </c>
      <c r="K762" s="4">
        <v>61560</v>
      </c>
      <c r="L762" s="4">
        <v>24624</v>
      </c>
      <c r="M762" s="3">
        <v>0.4</v>
      </c>
    </row>
    <row r="763" spans="2:13" x14ac:dyDescent="0.3">
      <c r="B763" t="s">
        <v>60</v>
      </c>
      <c r="C763" s="1" t="s">
        <v>63</v>
      </c>
      <c r="D763" s="2">
        <v>45165</v>
      </c>
      <c r="E763" s="8" t="s">
        <v>23</v>
      </c>
      <c r="F763" s="8" t="s">
        <v>92</v>
      </c>
      <c r="G763" s="8" t="s">
        <v>93</v>
      </c>
      <c r="H763" t="s">
        <v>8</v>
      </c>
      <c r="I763" s="4">
        <v>1200</v>
      </c>
      <c r="J763" s="8">
        <v>9</v>
      </c>
      <c r="K763" s="4">
        <v>10800</v>
      </c>
      <c r="L763" s="4">
        <v>3240</v>
      </c>
      <c r="M763" s="3">
        <v>0.3</v>
      </c>
    </row>
    <row r="764" spans="2:13" x14ac:dyDescent="0.3">
      <c r="B764" t="s">
        <v>60</v>
      </c>
      <c r="C764" s="1" t="s">
        <v>64</v>
      </c>
      <c r="D764" s="2">
        <v>44562</v>
      </c>
      <c r="E764" s="8" t="s">
        <v>23</v>
      </c>
      <c r="F764" s="8" t="s">
        <v>92</v>
      </c>
      <c r="G764" s="8" t="s">
        <v>93</v>
      </c>
      <c r="H764" t="s">
        <v>10</v>
      </c>
      <c r="I764" s="4">
        <v>1700</v>
      </c>
      <c r="J764" s="8">
        <v>7</v>
      </c>
      <c r="K764" s="4">
        <v>11900</v>
      </c>
      <c r="L764" s="4">
        <v>5950</v>
      </c>
      <c r="M764" s="3">
        <v>0.5</v>
      </c>
    </row>
    <row r="765" spans="2:13" x14ac:dyDescent="0.3">
      <c r="B765" t="s">
        <v>62</v>
      </c>
      <c r="C765" s="1" t="s">
        <v>63</v>
      </c>
      <c r="D765" s="2">
        <v>44577</v>
      </c>
      <c r="E765" s="8" t="s">
        <v>23</v>
      </c>
      <c r="F765" s="8" t="s">
        <v>92</v>
      </c>
      <c r="G765" s="8" t="s">
        <v>93</v>
      </c>
      <c r="H765" t="s">
        <v>9</v>
      </c>
      <c r="I765" s="4">
        <v>1500</v>
      </c>
      <c r="J765" s="8">
        <v>3</v>
      </c>
      <c r="K765" s="4">
        <v>4500</v>
      </c>
      <c r="L765" s="4">
        <v>1800</v>
      </c>
      <c r="M765" s="3">
        <v>0.4</v>
      </c>
    </row>
    <row r="766" spans="2:13" x14ac:dyDescent="0.3">
      <c r="B766" t="s">
        <v>66</v>
      </c>
      <c r="C766" s="1" t="s">
        <v>64</v>
      </c>
      <c r="D766" s="2">
        <v>44584</v>
      </c>
      <c r="E766" s="8" t="s">
        <v>23</v>
      </c>
      <c r="F766" s="8" t="s">
        <v>92</v>
      </c>
      <c r="G766" s="8" t="s">
        <v>93</v>
      </c>
      <c r="H766" t="s">
        <v>10</v>
      </c>
      <c r="I766" s="4">
        <v>1700</v>
      </c>
      <c r="J766" s="8">
        <v>6</v>
      </c>
      <c r="K766" s="4">
        <v>10200</v>
      </c>
      <c r="L766" s="4">
        <v>5100</v>
      </c>
      <c r="M766" s="3">
        <v>0.5</v>
      </c>
    </row>
    <row r="767" spans="2:13" x14ac:dyDescent="0.3">
      <c r="B767" t="s">
        <v>66</v>
      </c>
      <c r="C767" s="1" t="s">
        <v>64</v>
      </c>
      <c r="D767" s="2">
        <v>44591</v>
      </c>
      <c r="E767" s="8" t="s">
        <v>23</v>
      </c>
      <c r="F767" s="8" t="s">
        <v>94</v>
      </c>
      <c r="G767" s="8" t="s">
        <v>95</v>
      </c>
      <c r="H767" t="s">
        <v>14</v>
      </c>
      <c r="I767" s="4">
        <v>4500</v>
      </c>
      <c r="J767" s="8">
        <v>11</v>
      </c>
      <c r="K767" s="4">
        <v>49500</v>
      </c>
      <c r="L767" s="4">
        <v>12375</v>
      </c>
      <c r="M767" s="3">
        <v>0.25</v>
      </c>
    </row>
    <row r="768" spans="2:13" x14ac:dyDescent="0.3">
      <c r="B768" t="s">
        <v>60</v>
      </c>
      <c r="C768" s="1" t="s">
        <v>63</v>
      </c>
      <c r="D768" s="2">
        <v>44598</v>
      </c>
      <c r="E768" s="8" t="s">
        <v>23</v>
      </c>
      <c r="F768" s="8" t="s">
        <v>94</v>
      </c>
      <c r="G768" s="8" t="s">
        <v>95</v>
      </c>
      <c r="H768" t="s">
        <v>18</v>
      </c>
      <c r="I768" s="4">
        <v>4600</v>
      </c>
      <c r="J768" s="8">
        <v>5</v>
      </c>
      <c r="K768" s="4">
        <v>23000</v>
      </c>
      <c r="L768" s="4">
        <v>5750</v>
      </c>
      <c r="M768" s="3">
        <v>0.25</v>
      </c>
    </row>
    <row r="769" spans="2:13" x14ac:dyDescent="0.3">
      <c r="B769" t="s">
        <v>62</v>
      </c>
      <c r="C769" s="1" t="s">
        <v>63</v>
      </c>
      <c r="D769" s="2">
        <v>44605</v>
      </c>
      <c r="E769" s="8" t="s">
        <v>23</v>
      </c>
      <c r="F769" s="8" t="s">
        <v>94</v>
      </c>
      <c r="G769" s="8" t="s">
        <v>95</v>
      </c>
      <c r="H769" t="s">
        <v>19</v>
      </c>
      <c r="I769" s="4">
        <v>5340</v>
      </c>
      <c r="J769" s="8">
        <v>1</v>
      </c>
      <c r="K769" s="4">
        <v>5340</v>
      </c>
      <c r="L769" s="4">
        <v>1602</v>
      </c>
      <c r="M769" s="3">
        <v>0.3</v>
      </c>
    </row>
    <row r="770" spans="2:13" x14ac:dyDescent="0.3">
      <c r="B770" t="s">
        <v>65</v>
      </c>
      <c r="C770" s="1" t="s">
        <v>63</v>
      </c>
      <c r="D770" s="2">
        <v>44612</v>
      </c>
      <c r="E770" s="8" t="s">
        <v>23</v>
      </c>
      <c r="F770" s="8" t="s">
        <v>94</v>
      </c>
      <c r="G770" s="8" t="s">
        <v>95</v>
      </c>
      <c r="H770" t="s">
        <v>9</v>
      </c>
      <c r="I770" s="4">
        <v>1500</v>
      </c>
      <c r="J770" s="8">
        <v>5</v>
      </c>
      <c r="K770" s="4">
        <v>7500</v>
      </c>
      <c r="L770" s="4">
        <v>3000</v>
      </c>
      <c r="M770" s="3">
        <v>0.4</v>
      </c>
    </row>
    <row r="771" spans="2:13" x14ac:dyDescent="0.3">
      <c r="B771" t="s">
        <v>65</v>
      </c>
      <c r="C771" s="1" t="s">
        <v>63</v>
      </c>
      <c r="D771" s="2">
        <v>44619</v>
      </c>
      <c r="E771" s="8" t="s">
        <v>23</v>
      </c>
      <c r="F771" s="8" t="s">
        <v>94</v>
      </c>
      <c r="G771" s="8" t="s">
        <v>95</v>
      </c>
      <c r="H771" t="s">
        <v>18</v>
      </c>
      <c r="I771" s="4">
        <v>4600</v>
      </c>
      <c r="J771" s="8">
        <v>12</v>
      </c>
      <c r="K771" s="4">
        <v>55200</v>
      </c>
      <c r="L771" s="4">
        <v>13800</v>
      </c>
      <c r="M771" s="3">
        <v>0.25</v>
      </c>
    </row>
    <row r="772" spans="2:13" x14ac:dyDescent="0.3">
      <c r="B772" t="s">
        <v>62</v>
      </c>
      <c r="C772" s="1" t="s">
        <v>64</v>
      </c>
      <c r="D772" s="2">
        <v>44626</v>
      </c>
      <c r="E772" s="8" t="s">
        <v>23</v>
      </c>
      <c r="F772" s="8" t="s">
        <v>94</v>
      </c>
      <c r="G772" s="8" t="s">
        <v>95</v>
      </c>
      <c r="H772" t="s">
        <v>20</v>
      </c>
      <c r="I772" s="4">
        <v>8902</v>
      </c>
      <c r="J772" s="8">
        <v>5</v>
      </c>
      <c r="K772" s="4">
        <v>44510</v>
      </c>
      <c r="L772" s="4">
        <v>15578.499999999998</v>
      </c>
      <c r="M772" s="3">
        <v>0.35</v>
      </c>
    </row>
    <row r="773" spans="2:13" x14ac:dyDescent="0.3">
      <c r="B773" t="s">
        <v>65</v>
      </c>
      <c r="C773" s="1" t="s">
        <v>63</v>
      </c>
      <c r="D773" s="2">
        <v>44633</v>
      </c>
      <c r="E773" s="8" t="s">
        <v>23</v>
      </c>
      <c r="F773" s="8" t="s">
        <v>94</v>
      </c>
      <c r="G773" s="8" t="s">
        <v>95</v>
      </c>
      <c r="H773" t="s">
        <v>18</v>
      </c>
      <c r="I773" s="4">
        <v>4600</v>
      </c>
      <c r="J773" s="8">
        <v>10</v>
      </c>
      <c r="K773" s="4">
        <v>46000</v>
      </c>
      <c r="L773" s="4">
        <v>11500</v>
      </c>
      <c r="M773" s="3">
        <v>0.25</v>
      </c>
    </row>
    <row r="774" spans="2:13" x14ac:dyDescent="0.3">
      <c r="B774" t="s">
        <v>65</v>
      </c>
      <c r="C774" s="1" t="s">
        <v>63</v>
      </c>
      <c r="D774" s="2">
        <v>44640</v>
      </c>
      <c r="E774" s="8" t="s">
        <v>23</v>
      </c>
      <c r="F774" s="8" t="s">
        <v>94</v>
      </c>
      <c r="G774" s="8" t="s">
        <v>95</v>
      </c>
      <c r="H774" t="s">
        <v>11</v>
      </c>
      <c r="I774" s="4">
        <v>300</v>
      </c>
      <c r="J774" s="8">
        <v>4</v>
      </c>
      <c r="K774" s="4">
        <v>1200</v>
      </c>
      <c r="L774" s="4">
        <v>180</v>
      </c>
      <c r="M774" s="3">
        <v>0.15</v>
      </c>
    </row>
    <row r="775" spans="2:13" x14ac:dyDescent="0.3">
      <c r="B775" t="s">
        <v>65</v>
      </c>
      <c r="C775" s="1" t="s">
        <v>64</v>
      </c>
      <c r="D775" s="2">
        <v>44647</v>
      </c>
      <c r="E775" s="8" t="s">
        <v>23</v>
      </c>
      <c r="F775" s="8" t="s">
        <v>94</v>
      </c>
      <c r="G775" s="8" t="s">
        <v>95</v>
      </c>
      <c r="H775" t="s">
        <v>13</v>
      </c>
      <c r="I775" s="4">
        <v>3200</v>
      </c>
      <c r="J775" s="8">
        <v>1</v>
      </c>
      <c r="K775" s="4">
        <v>3200</v>
      </c>
      <c r="L775" s="4">
        <v>640</v>
      </c>
      <c r="M775" s="3">
        <v>0.2</v>
      </c>
    </row>
    <row r="776" spans="2:13" x14ac:dyDescent="0.3">
      <c r="B776" t="s">
        <v>61</v>
      </c>
      <c r="C776" s="1" t="s">
        <v>64</v>
      </c>
      <c r="D776" s="2">
        <v>44654</v>
      </c>
      <c r="E776" s="8" t="s">
        <v>23</v>
      </c>
      <c r="F776" s="8" t="s">
        <v>94</v>
      </c>
      <c r="G776" s="8" t="s">
        <v>95</v>
      </c>
      <c r="H776" t="s">
        <v>17</v>
      </c>
      <c r="I776" s="4">
        <v>5130</v>
      </c>
      <c r="J776" s="8">
        <v>11</v>
      </c>
      <c r="K776" s="4">
        <v>56430</v>
      </c>
      <c r="L776" s="4">
        <v>22572</v>
      </c>
      <c r="M776" s="3">
        <v>0.4</v>
      </c>
    </row>
    <row r="777" spans="2:13" x14ac:dyDescent="0.3">
      <c r="B777" t="s">
        <v>65</v>
      </c>
      <c r="C777" s="1" t="s">
        <v>63</v>
      </c>
      <c r="D777" s="2">
        <v>44661</v>
      </c>
      <c r="E777" s="8" t="s">
        <v>23</v>
      </c>
      <c r="F777" s="8" t="s">
        <v>94</v>
      </c>
      <c r="G777" s="8" t="s">
        <v>95</v>
      </c>
      <c r="H777" t="s">
        <v>18</v>
      </c>
      <c r="I777" s="4">
        <v>4600</v>
      </c>
      <c r="J777" s="8">
        <v>4</v>
      </c>
      <c r="K777" s="4">
        <v>18400</v>
      </c>
      <c r="L777" s="4">
        <v>4600</v>
      </c>
      <c r="M777" s="3">
        <v>0.25</v>
      </c>
    </row>
    <row r="778" spans="2:13" x14ac:dyDescent="0.3">
      <c r="B778" t="s">
        <v>65</v>
      </c>
      <c r="C778" s="1" t="s">
        <v>63</v>
      </c>
      <c r="D778" s="2">
        <v>44668</v>
      </c>
      <c r="E778" s="8" t="s">
        <v>23</v>
      </c>
      <c r="F778" s="8" t="s">
        <v>94</v>
      </c>
      <c r="G778" s="8" t="s">
        <v>95</v>
      </c>
      <c r="H778" t="s">
        <v>9</v>
      </c>
      <c r="I778" s="4">
        <v>1500</v>
      </c>
      <c r="J778" s="8">
        <v>11</v>
      </c>
      <c r="K778" s="4">
        <v>16500</v>
      </c>
      <c r="L778" s="4">
        <v>6600</v>
      </c>
      <c r="M778" s="3">
        <v>0.4</v>
      </c>
    </row>
    <row r="779" spans="2:13" x14ac:dyDescent="0.3">
      <c r="B779" t="s">
        <v>65</v>
      </c>
      <c r="C779" s="1" t="s">
        <v>63</v>
      </c>
      <c r="D779" s="2">
        <v>44675</v>
      </c>
      <c r="E779" s="8" t="s">
        <v>23</v>
      </c>
      <c r="F779" s="8" t="s">
        <v>94</v>
      </c>
      <c r="G779" s="8" t="s">
        <v>95</v>
      </c>
      <c r="H779" t="s">
        <v>15</v>
      </c>
      <c r="I779" s="4">
        <v>5300</v>
      </c>
      <c r="J779" s="8">
        <v>4</v>
      </c>
      <c r="K779" s="4">
        <v>21200</v>
      </c>
      <c r="L779" s="4">
        <v>6360</v>
      </c>
      <c r="M779" s="3">
        <v>0.3</v>
      </c>
    </row>
    <row r="780" spans="2:13" x14ac:dyDescent="0.3">
      <c r="B780" t="s">
        <v>65</v>
      </c>
      <c r="C780" s="1" t="s">
        <v>64</v>
      </c>
      <c r="D780" s="2">
        <v>44682</v>
      </c>
      <c r="E780" s="8" t="s">
        <v>23</v>
      </c>
      <c r="F780" s="8" t="s">
        <v>94</v>
      </c>
      <c r="G780" s="8" t="s">
        <v>95</v>
      </c>
      <c r="H780" t="s">
        <v>20</v>
      </c>
      <c r="I780" s="4">
        <v>8902</v>
      </c>
      <c r="J780" s="8">
        <v>6</v>
      </c>
      <c r="K780" s="4">
        <v>53412</v>
      </c>
      <c r="L780" s="4">
        <v>18694.199999999997</v>
      </c>
      <c r="M780" s="3">
        <v>0.35</v>
      </c>
    </row>
    <row r="781" spans="2:13" x14ac:dyDescent="0.3">
      <c r="B781" t="s">
        <v>65</v>
      </c>
      <c r="C781" s="1" t="s">
        <v>64</v>
      </c>
      <c r="D781" s="2">
        <v>44689</v>
      </c>
      <c r="E781" s="8" t="s">
        <v>23</v>
      </c>
      <c r="F781" s="8" t="s">
        <v>94</v>
      </c>
      <c r="G781" s="8" t="s">
        <v>95</v>
      </c>
      <c r="H781" t="s">
        <v>8</v>
      </c>
      <c r="I781" s="4">
        <v>1200</v>
      </c>
      <c r="J781" s="8">
        <v>1</v>
      </c>
      <c r="K781" s="4">
        <v>1200</v>
      </c>
      <c r="L781" s="4">
        <v>360</v>
      </c>
      <c r="M781" s="3">
        <v>0.3</v>
      </c>
    </row>
    <row r="782" spans="2:13" x14ac:dyDescent="0.3">
      <c r="B782" t="s">
        <v>61</v>
      </c>
      <c r="C782" s="1" t="s">
        <v>63</v>
      </c>
      <c r="D782" s="2">
        <v>44696</v>
      </c>
      <c r="E782" s="8" t="s">
        <v>23</v>
      </c>
      <c r="F782" s="8" t="s">
        <v>94</v>
      </c>
      <c r="G782" s="8" t="s">
        <v>95</v>
      </c>
      <c r="H782" t="s">
        <v>17</v>
      </c>
      <c r="I782" s="4">
        <v>5130</v>
      </c>
      <c r="J782" s="8">
        <v>7</v>
      </c>
      <c r="K782" s="4">
        <v>35910</v>
      </c>
      <c r="L782" s="4">
        <v>14364</v>
      </c>
      <c r="M782" s="3">
        <v>0.4</v>
      </c>
    </row>
    <row r="783" spans="2:13" x14ac:dyDescent="0.3">
      <c r="B783" t="s">
        <v>65</v>
      </c>
      <c r="C783" s="1" t="s">
        <v>63</v>
      </c>
      <c r="D783" s="2">
        <v>44703</v>
      </c>
      <c r="E783" s="8" t="s">
        <v>23</v>
      </c>
      <c r="F783" s="8" t="s">
        <v>94</v>
      </c>
      <c r="G783" s="8" t="s">
        <v>95</v>
      </c>
      <c r="H783" t="s">
        <v>9</v>
      </c>
      <c r="I783" s="4">
        <v>1500</v>
      </c>
      <c r="J783" s="8">
        <v>4</v>
      </c>
      <c r="K783" s="4">
        <v>6000</v>
      </c>
      <c r="L783" s="4">
        <v>2400</v>
      </c>
      <c r="M783" s="3">
        <v>0.4</v>
      </c>
    </row>
    <row r="784" spans="2:13" x14ac:dyDescent="0.3">
      <c r="B784" t="s">
        <v>60</v>
      </c>
      <c r="C784" s="1" t="s">
        <v>63</v>
      </c>
      <c r="D784" s="2">
        <v>44710</v>
      </c>
      <c r="E784" s="8" t="s">
        <v>23</v>
      </c>
      <c r="F784" s="8" t="s">
        <v>94</v>
      </c>
      <c r="G784" s="8" t="s">
        <v>95</v>
      </c>
      <c r="H784" t="s">
        <v>17</v>
      </c>
      <c r="I784" s="4">
        <v>5130</v>
      </c>
      <c r="J784" s="8">
        <v>4</v>
      </c>
      <c r="K784" s="4">
        <v>20520</v>
      </c>
      <c r="L784" s="4">
        <v>8208</v>
      </c>
      <c r="M784" s="3">
        <v>0.4</v>
      </c>
    </row>
    <row r="785" spans="2:13" x14ac:dyDescent="0.3">
      <c r="B785" t="s">
        <v>60</v>
      </c>
      <c r="C785" s="1" t="s">
        <v>63</v>
      </c>
      <c r="D785" s="2">
        <v>44717</v>
      </c>
      <c r="E785" s="8" t="s">
        <v>23</v>
      </c>
      <c r="F785" s="8" t="s">
        <v>94</v>
      </c>
      <c r="G785" s="8" t="s">
        <v>95</v>
      </c>
      <c r="H785" t="s">
        <v>14</v>
      </c>
      <c r="I785" s="4">
        <v>4500</v>
      </c>
      <c r="J785" s="8">
        <v>2</v>
      </c>
      <c r="K785" s="4">
        <v>9000</v>
      </c>
      <c r="L785" s="4">
        <v>2250</v>
      </c>
      <c r="M785" s="3">
        <v>0.25</v>
      </c>
    </row>
    <row r="786" spans="2:13" x14ac:dyDescent="0.3">
      <c r="B786" t="s">
        <v>65</v>
      </c>
      <c r="C786" s="1" t="s">
        <v>64</v>
      </c>
      <c r="D786" s="2">
        <v>44724</v>
      </c>
      <c r="E786" s="8" t="s">
        <v>23</v>
      </c>
      <c r="F786" s="8" t="s">
        <v>94</v>
      </c>
      <c r="G786" s="8" t="s">
        <v>95</v>
      </c>
      <c r="H786" t="s">
        <v>15</v>
      </c>
      <c r="I786" s="4">
        <v>5300</v>
      </c>
      <c r="J786" s="8">
        <v>2</v>
      </c>
      <c r="K786" s="4">
        <v>10600</v>
      </c>
      <c r="L786" s="4">
        <v>3180</v>
      </c>
      <c r="M786" s="3">
        <v>0.3</v>
      </c>
    </row>
    <row r="787" spans="2:13" x14ac:dyDescent="0.3">
      <c r="B787" t="s">
        <v>65</v>
      </c>
      <c r="C787" s="1" t="s">
        <v>63</v>
      </c>
      <c r="D787" s="2">
        <v>44731</v>
      </c>
      <c r="E787" s="8" t="s">
        <v>23</v>
      </c>
      <c r="F787" s="8" t="s">
        <v>94</v>
      </c>
      <c r="G787" s="8" t="s">
        <v>95</v>
      </c>
      <c r="H787" t="s">
        <v>11</v>
      </c>
      <c r="I787" s="4">
        <v>300</v>
      </c>
      <c r="J787" s="8">
        <v>2</v>
      </c>
      <c r="K787" s="4">
        <v>600</v>
      </c>
      <c r="L787" s="4">
        <v>90</v>
      </c>
      <c r="M787" s="3">
        <v>0.15</v>
      </c>
    </row>
    <row r="788" spans="2:13" x14ac:dyDescent="0.3">
      <c r="B788" t="s">
        <v>61</v>
      </c>
      <c r="C788" s="1" t="s">
        <v>64</v>
      </c>
      <c r="D788" s="2">
        <v>44738</v>
      </c>
      <c r="E788" s="8" t="s">
        <v>23</v>
      </c>
      <c r="F788" s="8" t="s">
        <v>94</v>
      </c>
      <c r="G788" s="8" t="s">
        <v>95</v>
      </c>
      <c r="H788" t="s">
        <v>12</v>
      </c>
      <c r="I788" s="4">
        <v>500</v>
      </c>
      <c r="J788" s="8">
        <v>12</v>
      </c>
      <c r="K788" s="4">
        <v>6000</v>
      </c>
      <c r="L788" s="4">
        <v>1500</v>
      </c>
      <c r="M788" s="3">
        <v>0.25</v>
      </c>
    </row>
    <row r="789" spans="2:13" x14ac:dyDescent="0.3">
      <c r="B789" t="s">
        <v>66</v>
      </c>
      <c r="C789" s="1" t="s">
        <v>64</v>
      </c>
      <c r="D789" s="2">
        <v>44745</v>
      </c>
      <c r="E789" s="8" t="s">
        <v>23</v>
      </c>
      <c r="F789" s="8" t="s">
        <v>94</v>
      </c>
      <c r="G789" s="8" t="s">
        <v>95</v>
      </c>
      <c r="H789" t="s">
        <v>11</v>
      </c>
      <c r="I789" s="4">
        <v>300</v>
      </c>
      <c r="J789" s="8">
        <v>1</v>
      </c>
      <c r="K789" s="4">
        <v>300</v>
      </c>
      <c r="L789" s="4">
        <v>45</v>
      </c>
      <c r="M789" s="3">
        <v>0.15</v>
      </c>
    </row>
    <row r="790" spans="2:13" x14ac:dyDescent="0.3">
      <c r="B790" t="s">
        <v>60</v>
      </c>
      <c r="C790" s="1" t="s">
        <v>63</v>
      </c>
      <c r="D790" s="2">
        <v>44752</v>
      </c>
      <c r="E790" s="8" t="s">
        <v>23</v>
      </c>
      <c r="F790" s="8" t="s">
        <v>94</v>
      </c>
      <c r="G790" s="8" t="s">
        <v>95</v>
      </c>
      <c r="H790" t="s">
        <v>9</v>
      </c>
      <c r="I790" s="4">
        <v>1500</v>
      </c>
      <c r="J790" s="8">
        <v>1</v>
      </c>
      <c r="K790" s="4">
        <v>1500</v>
      </c>
      <c r="L790" s="4">
        <v>600</v>
      </c>
      <c r="M790" s="3">
        <v>0.4</v>
      </c>
    </row>
    <row r="791" spans="2:13" x14ac:dyDescent="0.3">
      <c r="B791" t="s">
        <v>65</v>
      </c>
      <c r="C791" s="1" t="s">
        <v>63</v>
      </c>
      <c r="D791" s="2">
        <v>44759</v>
      </c>
      <c r="E791" s="8" t="s">
        <v>23</v>
      </c>
      <c r="F791" s="8" t="s">
        <v>94</v>
      </c>
      <c r="G791" s="8" t="s">
        <v>95</v>
      </c>
      <c r="H791" t="s">
        <v>9</v>
      </c>
      <c r="I791" s="4">
        <v>1500</v>
      </c>
      <c r="J791" s="8">
        <v>11</v>
      </c>
      <c r="K791" s="4">
        <v>16500</v>
      </c>
      <c r="L791" s="4">
        <v>6600</v>
      </c>
      <c r="M791" s="3">
        <v>0.4</v>
      </c>
    </row>
    <row r="792" spans="2:13" x14ac:dyDescent="0.3">
      <c r="B792" t="s">
        <v>65</v>
      </c>
      <c r="C792" s="1" t="s">
        <v>63</v>
      </c>
      <c r="D792" s="2">
        <v>44766</v>
      </c>
      <c r="E792" s="8" t="s">
        <v>23</v>
      </c>
      <c r="F792" s="8" t="s">
        <v>94</v>
      </c>
      <c r="G792" s="8" t="s">
        <v>95</v>
      </c>
      <c r="H792" t="s">
        <v>8</v>
      </c>
      <c r="I792" s="4">
        <v>1200</v>
      </c>
      <c r="J792" s="8">
        <v>2</v>
      </c>
      <c r="K792" s="4">
        <v>2400</v>
      </c>
      <c r="L792" s="4">
        <v>720</v>
      </c>
      <c r="M792" s="3">
        <v>0.3</v>
      </c>
    </row>
    <row r="793" spans="2:13" x14ac:dyDescent="0.3">
      <c r="B793" t="s">
        <v>60</v>
      </c>
      <c r="C793" s="1" t="s">
        <v>63</v>
      </c>
      <c r="D793" s="2">
        <v>44766</v>
      </c>
      <c r="E793" s="8" t="s">
        <v>23</v>
      </c>
      <c r="F793" s="8" t="s">
        <v>94</v>
      </c>
      <c r="G793" s="8" t="s">
        <v>95</v>
      </c>
      <c r="H793" t="s">
        <v>12</v>
      </c>
      <c r="I793" s="4">
        <v>500</v>
      </c>
      <c r="J793" s="8">
        <v>5</v>
      </c>
      <c r="K793" s="4">
        <v>2500</v>
      </c>
      <c r="L793" s="4">
        <v>625</v>
      </c>
      <c r="M793" s="3">
        <v>0.25</v>
      </c>
    </row>
    <row r="794" spans="2:13" x14ac:dyDescent="0.3">
      <c r="B794" t="s">
        <v>62</v>
      </c>
      <c r="C794" s="1" t="s">
        <v>64</v>
      </c>
      <c r="D794" s="2">
        <v>44773</v>
      </c>
      <c r="E794" s="8" t="s">
        <v>23</v>
      </c>
      <c r="F794" s="8" t="s">
        <v>94</v>
      </c>
      <c r="G794" s="8" t="s">
        <v>95</v>
      </c>
      <c r="H794" t="s">
        <v>13</v>
      </c>
      <c r="I794" s="4">
        <v>3200</v>
      </c>
      <c r="J794" s="8">
        <v>12</v>
      </c>
      <c r="K794" s="4">
        <v>38400</v>
      </c>
      <c r="L794" s="4">
        <v>7680</v>
      </c>
      <c r="M794" s="3">
        <v>0.2</v>
      </c>
    </row>
    <row r="795" spans="2:13" x14ac:dyDescent="0.3">
      <c r="B795" t="s">
        <v>61</v>
      </c>
      <c r="C795" s="1" t="s">
        <v>63</v>
      </c>
      <c r="D795" s="2">
        <v>44780</v>
      </c>
      <c r="E795" s="8" t="s">
        <v>23</v>
      </c>
      <c r="F795" s="8" t="s">
        <v>94</v>
      </c>
      <c r="G795" s="8" t="s">
        <v>95</v>
      </c>
      <c r="H795" t="s">
        <v>15</v>
      </c>
      <c r="I795" s="4">
        <v>5300</v>
      </c>
      <c r="J795" s="8">
        <v>4</v>
      </c>
      <c r="K795" s="4">
        <v>21200</v>
      </c>
      <c r="L795" s="4">
        <v>6360</v>
      </c>
      <c r="M795" s="3">
        <v>0.3</v>
      </c>
    </row>
    <row r="796" spans="2:13" x14ac:dyDescent="0.3">
      <c r="B796" t="s">
        <v>61</v>
      </c>
      <c r="C796" s="1" t="s">
        <v>63</v>
      </c>
      <c r="D796" s="2">
        <v>44787</v>
      </c>
      <c r="E796" s="8" t="s">
        <v>23</v>
      </c>
      <c r="F796" s="8" t="s">
        <v>94</v>
      </c>
      <c r="G796" s="8" t="s">
        <v>95</v>
      </c>
      <c r="H796" t="s">
        <v>17</v>
      </c>
      <c r="I796" s="4">
        <v>5130</v>
      </c>
      <c r="J796" s="8">
        <v>8</v>
      </c>
      <c r="K796" s="4">
        <v>41040</v>
      </c>
      <c r="L796" s="4">
        <v>16416</v>
      </c>
      <c r="M796" s="3">
        <v>0.4</v>
      </c>
    </row>
    <row r="797" spans="2:13" x14ac:dyDescent="0.3">
      <c r="B797" t="s">
        <v>65</v>
      </c>
      <c r="C797" s="1" t="s">
        <v>63</v>
      </c>
      <c r="D797" s="2">
        <v>44794</v>
      </c>
      <c r="E797" s="8" t="s">
        <v>23</v>
      </c>
      <c r="F797" s="8" t="s">
        <v>94</v>
      </c>
      <c r="G797" s="8" t="s">
        <v>95</v>
      </c>
      <c r="H797" t="s">
        <v>19</v>
      </c>
      <c r="I797" s="4">
        <v>5340</v>
      </c>
      <c r="J797" s="8">
        <v>2</v>
      </c>
      <c r="K797" s="4">
        <v>10680</v>
      </c>
      <c r="L797" s="4">
        <v>3204</v>
      </c>
      <c r="M797" s="3">
        <v>0.3</v>
      </c>
    </row>
    <row r="798" spans="2:13" x14ac:dyDescent="0.3">
      <c r="B798" t="s">
        <v>62</v>
      </c>
      <c r="C798" s="1" t="s">
        <v>63</v>
      </c>
      <c r="D798" s="2">
        <v>44801</v>
      </c>
      <c r="E798" s="8" t="s">
        <v>23</v>
      </c>
      <c r="F798" s="8" t="s">
        <v>94</v>
      </c>
      <c r="G798" s="8" t="s">
        <v>95</v>
      </c>
      <c r="H798" t="s">
        <v>8</v>
      </c>
      <c r="I798" s="4">
        <v>1200</v>
      </c>
      <c r="J798" s="8">
        <v>5</v>
      </c>
      <c r="K798" s="4">
        <v>6000</v>
      </c>
      <c r="L798" s="4">
        <v>1800</v>
      </c>
      <c r="M798" s="3">
        <v>0.3</v>
      </c>
    </row>
    <row r="799" spans="2:13" x14ac:dyDescent="0.3">
      <c r="B799" t="s">
        <v>60</v>
      </c>
      <c r="C799" s="1" t="s">
        <v>63</v>
      </c>
      <c r="D799" s="2">
        <v>44808</v>
      </c>
      <c r="E799" s="8" t="s">
        <v>23</v>
      </c>
      <c r="F799" s="8" t="s">
        <v>94</v>
      </c>
      <c r="G799" s="8" t="s">
        <v>95</v>
      </c>
      <c r="H799" t="s">
        <v>15</v>
      </c>
      <c r="I799" s="4">
        <v>5300</v>
      </c>
      <c r="J799" s="8">
        <v>10</v>
      </c>
      <c r="K799" s="4">
        <v>53000</v>
      </c>
      <c r="L799" s="4">
        <v>15900</v>
      </c>
      <c r="M799" s="3">
        <v>0.3</v>
      </c>
    </row>
    <row r="800" spans="2:13" x14ac:dyDescent="0.3">
      <c r="B800" t="s">
        <v>65</v>
      </c>
      <c r="C800" s="1" t="s">
        <v>63</v>
      </c>
      <c r="D800" s="2">
        <v>44815</v>
      </c>
      <c r="E800" s="8" t="s">
        <v>23</v>
      </c>
      <c r="F800" s="8" t="s">
        <v>94</v>
      </c>
      <c r="G800" s="8" t="s">
        <v>95</v>
      </c>
      <c r="H800" t="s">
        <v>12</v>
      </c>
      <c r="I800" s="4">
        <v>500</v>
      </c>
      <c r="J800" s="8">
        <v>9</v>
      </c>
      <c r="K800" s="4">
        <v>4500</v>
      </c>
      <c r="L800" s="4">
        <v>1125</v>
      </c>
      <c r="M800" s="3">
        <v>0.25</v>
      </c>
    </row>
    <row r="801" spans="2:13" x14ac:dyDescent="0.3">
      <c r="B801" t="s">
        <v>60</v>
      </c>
      <c r="C801" s="1" t="s">
        <v>64</v>
      </c>
      <c r="D801" s="2">
        <v>44822</v>
      </c>
      <c r="E801" s="8" t="s">
        <v>23</v>
      </c>
      <c r="F801" s="8" t="s">
        <v>94</v>
      </c>
      <c r="G801" s="8" t="s">
        <v>95</v>
      </c>
      <c r="H801" t="s">
        <v>19</v>
      </c>
      <c r="I801" s="4">
        <v>5340</v>
      </c>
      <c r="J801" s="8">
        <v>7</v>
      </c>
      <c r="K801" s="4">
        <v>37380</v>
      </c>
      <c r="L801" s="4">
        <v>11214</v>
      </c>
      <c r="M801" s="3">
        <v>0.3</v>
      </c>
    </row>
    <row r="802" spans="2:13" x14ac:dyDescent="0.3">
      <c r="B802" t="s">
        <v>65</v>
      </c>
      <c r="C802" s="1" t="s">
        <v>63</v>
      </c>
      <c r="D802" s="2">
        <v>44829</v>
      </c>
      <c r="E802" s="8" t="s">
        <v>23</v>
      </c>
      <c r="F802" s="8" t="s">
        <v>94</v>
      </c>
      <c r="G802" s="8" t="s">
        <v>95</v>
      </c>
      <c r="H802" t="s">
        <v>20</v>
      </c>
      <c r="I802" s="4">
        <v>8902</v>
      </c>
      <c r="J802" s="8">
        <v>8</v>
      </c>
      <c r="K802" s="4">
        <v>71216</v>
      </c>
      <c r="L802" s="4">
        <v>24925.599999999999</v>
      </c>
      <c r="M802" s="3">
        <v>0.35</v>
      </c>
    </row>
    <row r="803" spans="2:13" x14ac:dyDescent="0.3">
      <c r="B803" t="s">
        <v>65</v>
      </c>
      <c r="C803" s="1" t="s">
        <v>63</v>
      </c>
      <c r="D803" s="2">
        <v>44836</v>
      </c>
      <c r="E803" s="8" t="s">
        <v>23</v>
      </c>
      <c r="F803" s="8" t="s">
        <v>94</v>
      </c>
      <c r="G803" s="8" t="s">
        <v>95</v>
      </c>
      <c r="H803" t="s">
        <v>13</v>
      </c>
      <c r="I803" s="4">
        <v>3200</v>
      </c>
      <c r="J803" s="8">
        <v>7</v>
      </c>
      <c r="K803" s="4">
        <v>22400</v>
      </c>
      <c r="L803" s="4">
        <v>4480</v>
      </c>
      <c r="M803" s="3">
        <v>0.2</v>
      </c>
    </row>
    <row r="804" spans="2:13" x14ac:dyDescent="0.3">
      <c r="B804" t="s">
        <v>60</v>
      </c>
      <c r="C804" s="1" t="s">
        <v>63</v>
      </c>
      <c r="D804" s="2">
        <v>44843</v>
      </c>
      <c r="E804" s="8" t="s">
        <v>23</v>
      </c>
      <c r="F804" s="8" t="s">
        <v>94</v>
      </c>
      <c r="G804" s="8" t="s">
        <v>95</v>
      </c>
      <c r="H804" t="s">
        <v>12</v>
      </c>
      <c r="I804" s="4">
        <v>500</v>
      </c>
      <c r="J804" s="8">
        <v>2</v>
      </c>
      <c r="K804" s="4">
        <v>1000</v>
      </c>
      <c r="L804" s="4">
        <v>250</v>
      </c>
      <c r="M804" s="3">
        <v>0.25</v>
      </c>
    </row>
    <row r="805" spans="2:13" x14ac:dyDescent="0.3">
      <c r="B805" t="s">
        <v>65</v>
      </c>
      <c r="C805" s="1" t="s">
        <v>63</v>
      </c>
      <c r="D805" s="2">
        <v>44850</v>
      </c>
      <c r="E805" s="8" t="s">
        <v>23</v>
      </c>
      <c r="F805" s="8" t="s">
        <v>94</v>
      </c>
      <c r="G805" s="8" t="s">
        <v>95</v>
      </c>
      <c r="H805" t="s">
        <v>19</v>
      </c>
      <c r="I805" s="4">
        <v>5340</v>
      </c>
      <c r="J805" s="8">
        <v>2</v>
      </c>
      <c r="K805" s="4">
        <v>10680</v>
      </c>
      <c r="L805" s="4">
        <v>3204</v>
      </c>
      <c r="M805" s="3">
        <v>0.3</v>
      </c>
    </row>
    <row r="806" spans="2:13" x14ac:dyDescent="0.3">
      <c r="B806" t="s">
        <v>60</v>
      </c>
      <c r="C806" s="1" t="s">
        <v>63</v>
      </c>
      <c r="D806" s="2">
        <v>44857</v>
      </c>
      <c r="E806" s="8" t="s">
        <v>23</v>
      </c>
      <c r="F806" s="8" t="s">
        <v>94</v>
      </c>
      <c r="G806" s="8" t="s">
        <v>95</v>
      </c>
      <c r="H806" t="s">
        <v>12</v>
      </c>
      <c r="I806" s="4">
        <v>500</v>
      </c>
      <c r="J806" s="8">
        <v>2</v>
      </c>
      <c r="K806" s="4">
        <v>1000</v>
      </c>
      <c r="L806" s="4">
        <v>250</v>
      </c>
      <c r="M806" s="3">
        <v>0.25</v>
      </c>
    </row>
    <row r="807" spans="2:13" x14ac:dyDescent="0.3">
      <c r="B807" t="s">
        <v>65</v>
      </c>
      <c r="C807" s="1" t="s">
        <v>64</v>
      </c>
      <c r="D807" s="2">
        <v>44864</v>
      </c>
      <c r="E807" s="8" t="s">
        <v>23</v>
      </c>
      <c r="F807" s="8" t="s">
        <v>94</v>
      </c>
      <c r="G807" s="8" t="s">
        <v>95</v>
      </c>
      <c r="H807" t="s">
        <v>17</v>
      </c>
      <c r="I807" s="4">
        <v>5130</v>
      </c>
      <c r="J807" s="8">
        <v>1</v>
      </c>
      <c r="K807" s="4">
        <v>5130</v>
      </c>
      <c r="L807" s="4">
        <v>2052</v>
      </c>
      <c r="M807" s="3">
        <v>0.4</v>
      </c>
    </row>
    <row r="808" spans="2:13" x14ac:dyDescent="0.3">
      <c r="B808" t="s">
        <v>60</v>
      </c>
      <c r="C808" s="1" t="s">
        <v>63</v>
      </c>
      <c r="D808" s="2">
        <v>44871</v>
      </c>
      <c r="E808" s="8" t="s">
        <v>23</v>
      </c>
      <c r="F808" s="8" t="s">
        <v>94</v>
      </c>
      <c r="G808" s="8" t="s">
        <v>95</v>
      </c>
      <c r="H808" t="s">
        <v>9</v>
      </c>
      <c r="I808" s="4">
        <v>1500</v>
      </c>
      <c r="J808" s="8">
        <v>10</v>
      </c>
      <c r="K808" s="4">
        <v>15000</v>
      </c>
      <c r="L808" s="4">
        <v>6000</v>
      </c>
      <c r="M808" s="3">
        <v>0.4</v>
      </c>
    </row>
    <row r="809" spans="2:13" x14ac:dyDescent="0.3">
      <c r="B809" t="s">
        <v>65</v>
      </c>
      <c r="C809" s="1" t="s">
        <v>63</v>
      </c>
      <c r="D809" s="2">
        <v>44878</v>
      </c>
      <c r="E809" s="8" t="s">
        <v>23</v>
      </c>
      <c r="F809" s="8" t="s">
        <v>94</v>
      </c>
      <c r="G809" s="8" t="s">
        <v>95</v>
      </c>
      <c r="H809" t="s">
        <v>18</v>
      </c>
      <c r="I809" s="4">
        <v>4600</v>
      </c>
      <c r="J809" s="8">
        <v>3</v>
      </c>
      <c r="K809" s="4">
        <v>13800</v>
      </c>
      <c r="L809" s="4">
        <v>3450</v>
      </c>
      <c r="M809" s="3">
        <v>0.25</v>
      </c>
    </row>
    <row r="810" spans="2:13" x14ac:dyDescent="0.3">
      <c r="B810" t="s">
        <v>66</v>
      </c>
      <c r="C810" s="1" t="s">
        <v>64</v>
      </c>
      <c r="D810" s="2">
        <v>44885</v>
      </c>
      <c r="E810" s="8" t="s">
        <v>23</v>
      </c>
      <c r="F810" s="8" t="s">
        <v>94</v>
      </c>
      <c r="G810" s="8" t="s">
        <v>95</v>
      </c>
      <c r="H810" t="s">
        <v>19</v>
      </c>
      <c r="I810" s="4">
        <v>5340</v>
      </c>
      <c r="J810" s="8">
        <v>5</v>
      </c>
      <c r="K810" s="4">
        <v>26700</v>
      </c>
      <c r="L810" s="4">
        <v>8010</v>
      </c>
      <c r="M810" s="3">
        <v>0.3</v>
      </c>
    </row>
    <row r="811" spans="2:13" x14ac:dyDescent="0.3">
      <c r="B811" t="s">
        <v>62</v>
      </c>
      <c r="C811" s="1" t="s">
        <v>63</v>
      </c>
      <c r="D811" s="2">
        <v>44892</v>
      </c>
      <c r="E811" s="8" t="s">
        <v>23</v>
      </c>
      <c r="F811" s="8" t="s">
        <v>94</v>
      </c>
      <c r="G811" s="8" t="s">
        <v>95</v>
      </c>
      <c r="H811" t="s">
        <v>8</v>
      </c>
      <c r="I811" s="4">
        <v>1200</v>
      </c>
      <c r="J811" s="8">
        <v>4</v>
      </c>
      <c r="K811" s="4">
        <v>4800</v>
      </c>
      <c r="L811" s="4">
        <v>1440</v>
      </c>
      <c r="M811" s="3">
        <v>0.3</v>
      </c>
    </row>
    <row r="812" spans="2:13" x14ac:dyDescent="0.3">
      <c r="B812" t="s">
        <v>66</v>
      </c>
      <c r="C812" s="1" t="s">
        <v>63</v>
      </c>
      <c r="D812" s="2">
        <v>44899</v>
      </c>
      <c r="E812" s="8" t="s">
        <v>23</v>
      </c>
      <c r="F812" s="8" t="s">
        <v>94</v>
      </c>
      <c r="G812" s="8" t="s">
        <v>95</v>
      </c>
      <c r="H812" t="s">
        <v>9</v>
      </c>
      <c r="I812" s="4">
        <v>1500</v>
      </c>
      <c r="J812" s="8">
        <v>3</v>
      </c>
      <c r="K812" s="4">
        <v>4500</v>
      </c>
      <c r="L812" s="4">
        <v>1800</v>
      </c>
      <c r="M812" s="3">
        <v>0.4</v>
      </c>
    </row>
    <row r="813" spans="2:13" x14ac:dyDescent="0.3">
      <c r="B813" t="s">
        <v>62</v>
      </c>
      <c r="C813" s="1" t="s">
        <v>63</v>
      </c>
      <c r="D813" s="2">
        <v>44906</v>
      </c>
      <c r="E813" s="8" t="s">
        <v>23</v>
      </c>
      <c r="F813" s="8" t="s">
        <v>94</v>
      </c>
      <c r="G813" s="8" t="s">
        <v>95</v>
      </c>
      <c r="H813" t="s">
        <v>12</v>
      </c>
      <c r="I813" s="4">
        <v>500</v>
      </c>
      <c r="J813" s="8">
        <v>8</v>
      </c>
      <c r="K813" s="4">
        <v>4000</v>
      </c>
      <c r="L813" s="4">
        <v>1000</v>
      </c>
      <c r="M813" s="3">
        <v>0.25</v>
      </c>
    </row>
    <row r="814" spans="2:13" x14ac:dyDescent="0.3">
      <c r="B814" t="s">
        <v>61</v>
      </c>
      <c r="C814" s="1" t="s">
        <v>63</v>
      </c>
      <c r="D814" s="2">
        <v>44913</v>
      </c>
      <c r="E814" s="8" t="s">
        <v>23</v>
      </c>
      <c r="F814" s="8" t="s">
        <v>94</v>
      </c>
      <c r="G814" s="8" t="s">
        <v>95</v>
      </c>
      <c r="H814" t="s">
        <v>9</v>
      </c>
      <c r="I814" s="4">
        <v>1500</v>
      </c>
      <c r="J814" s="8">
        <v>9</v>
      </c>
      <c r="K814" s="4">
        <v>13500</v>
      </c>
      <c r="L814" s="4">
        <v>5400</v>
      </c>
      <c r="M814" s="3">
        <v>0.4</v>
      </c>
    </row>
    <row r="815" spans="2:13" x14ac:dyDescent="0.3">
      <c r="B815" t="s">
        <v>62</v>
      </c>
      <c r="C815" s="1" t="s">
        <v>63</v>
      </c>
      <c r="D815" s="2">
        <v>44920</v>
      </c>
      <c r="E815" s="8" t="s">
        <v>23</v>
      </c>
      <c r="F815" s="8" t="s">
        <v>94</v>
      </c>
      <c r="G815" s="8" t="s">
        <v>95</v>
      </c>
      <c r="H815" t="s">
        <v>11</v>
      </c>
      <c r="I815" s="4">
        <v>300</v>
      </c>
      <c r="J815" s="8">
        <v>11</v>
      </c>
      <c r="K815" s="4">
        <v>3300</v>
      </c>
      <c r="L815" s="4">
        <v>495</v>
      </c>
      <c r="M815" s="3">
        <v>0.15</v>
      </c>
    </row>
    <row r="816" spans="2:13" x14ac:dyDescent="0.3">
      <c r="B816" t="s">
        <v>60</v>
      </c>
      <c r="C816" s="1" t="s">
        <v>64</v>
      </c>
      <c r="D816" s="2">
        <v>44927</v>
      </c>
      <c r="E816" s="8" t="s">
        <v>23</v>
      </c>
      <c r="F816" s="8" t="s">
        <v>94</v>
      </c>
      <c r="G816" s="8" t="s">
        <v>95</v>
      </c>
      <c r="H816" t="s">
        <v>20</v>
      </c>
      <c r="I816" s="4">
        <v>8902</v>
      </c>
      <c r="J816" s="8">
        <v>12</v>
      </c>
      <c r="K816" s="4">
        <v>106824</v>
      </c>
      <c r="L816" s="4">
        <v>37388.399999999994</v>
      </c>
      <c r="M816" s="3">
        <v>0.35</v>
      </c>
    </row>
    <row r="817" spans="2:13" x14ac:dyDescent="0.3">
      <c r="B817" t="s">
        <v>60</v>
      </c>
      <c r="C817" s="1" t="s">
        <v>63</v>
      </c>
      <c r="D817" s="2">
        <v>44934</v>
      </c>
      <c r="E817" s="8" t="s">
        <v>23</v>
      </c>
      <c r="F817" s="8" t="s">
        <v>94</v>
      </c>
      <c r="G817" s="8" t="s">
        <v>95</v>
      </c>
      <c r="H817" t="s">
        <v>14</v>
      </c>
      <c r="I817" s="4">
        <v>4500</v>
      </c>
      <c r="J817" s="8">
        <v>10</v>
      </c>
      <c r="K817" s="4">
        <v>45000</v>
      </c>
      <c r="L817" s="4">
        <v>11250</v>
      </c>
      <c r="M817" s="3">
        <v>0.25</v>
      </c>
    </row>
    <row r="818" spans="2:13" x14ac:dyDescent="0.3">
      <c r="B818" t="s">
        <v>66</v>
      </c>
      <c r="C818" s="1" t="s">
        <v>63</v>
      </c>
      <c r="D818" s="2">
        <v>44941</v>
      </c>
      <c r="E818" s="8" t="s">
        <v>23</v>
      </c>
      <c r="F818" s="8" t="s">
        <v>94</v>
      </c>
      <c r="G818" s="8" t="s">
        <v>95</v>
      </c>
      <c r="H818" t="s">
        <v>8</v>
      </c>
      <c r="I818" s="4">
        <v>1200</v>
      </c>
      <c r="J818" s="8">
        <v>1</v>
      </c>
      <c r="K818" s="4">
        <v>1200</v>
      </c>
      <c r="L818" s="4">
        <v>360</v>
      </c>
      <c r="M818" s="3">
        <v>0.3</v>
      </c>
    </row>
    <row r="819" spans="2:13" x14ac:dyDescent="0.3">
      <c r="B819" t="s">
        <v>65</v>
      </c>
      <c r="C819" s="1" t="s">
        <v>64</v>
      </c>
      <c r="D819" s="2">
        <v>44948</v>
      </c>
      <c r="E819" s="8" t="s">
        <v>23</v>
      </c>
      <c r="F819" s="8" t="s">
        <v>94</v>
      </c>
      <c r="G819" s="8" t="s">
        <v>95</v>
      </c>
      <c r="H819" t="s">
        <v>12</v>
      </c>
      <c r="I819" s="4">
        <v>500</v>
      </c>
      <c r="J819" s="8">
        <v>5</v>
      </c>
      <c r="K819" s="4">
        <v>2500</v>
      </c>
      <c r="L819" s="4">
        <v>625</v>
      </c>
      <c r="M819" s="3">
        <v>0.25</v>
      </c>
    </row>
    <row r="820" spans="2:13" x14ac:dyDescent="0.3">
      <c r="B820" t="s">
        <v>65</v>
      </c>
      <c r="C820" s="1" t="s">
        <v>64</v>
      </c>
      <c r="D820" s="2">
        <v>44955</v>
      </c>
      <c r="E820" s="8" t="s">
        <v>23</v>
      </c>
      <c r="F820" s="8" t="s">
        <v>94</v>
      </c>
      <c r="G820" s="8" t="s">
        <v>95</v>
      </c>
      <c r="H820" t="s">
        <v>18</v>
      </c>
      <c r="I820" s="4">
        <v>4600</v>
      </c>
      <c r="J820" s="8">
        <v>12</v>
      </c>
      <c r="K820" s="4">
        <v>55200</v>
      </c>
      <c r="L820" s="4">
        <v>13800</v>
      </c>
      <c r="M820" s="3">
        <v>0.25</v>
      </c>
    </row>
    <row r="821" spans="2:13" x14ac:dyDescent="0.3">
      <c r="B821" t="s">
        <v>61</v>
      </c>
      <c r="C821" s="1" t="s">
        <v>64</v>
      </c>
      <c r="D821" s="2">
        <v>44962</v>
      </c>
      <c r="E821" s="8" t="s">
        <v>23</v>
      </c>
      <c r="F821" s="8" t="s">
        <v>94</v>
      </c>
      <c r="G821" s="8" t="s">
        <v>95</v>
      </c>
      <c r="H821" t="s">
        <v>18</v>
      </c>
      <c r="I821" s="4">
        <v>4600</v>
      </c>
      <c r="J821" s="8">
        <v>7</v>
      </c>
      <c r="K821" s="4">
        <v>32200</v>
      </c>
      <c r="L821" s="4">
        <v>8050</v>
      </c>
      <c r="M821" s="3">
        <v>0.25</v>
      </c>
    </row>
    <row r="822" spans="2:13" x14ac:dyDescent="0.3">
      <c r="B822" t="s">
        <v>60</v>
      </c>
      <c r="C822" s="1" t="s">
        <v>63</v>
      </c>
      <c r="D822" s="2">
        <v>44969</v>
      </c>
      <c r="E822" s="8" t="s">
        <v>23</v>
      </c>
      <c r="F822" s="8" t="s">
        <v>94</v>
      </c>
      <c r="G822" s="8" t="s">
        <v>95</v>
      </c>
      <c r="H822" t="s">
        <v>20</v>
      </c>
      <c r="I822" s="4">
        <v>8902</v>
      </c>
      <c r="J822" s="8">
        <v>9</v>
      </c>
      <c r="K822" s="4">
        <v>80118</v>
      </c>
      <c r="L822" s="4">
        <v>28041.3</v>
      </c>
      <c r="M822" s="3">
        <v>0.35</v>
      </c>
    </row>
    <row r="823" spans="2:13" x14ac:dyDescent="0.3">
      <c r="B823" t="s">
        <v>65</v>
      </c>
      <c r="C823" s="1" t="s">
        <v>64</v>
      </c>
      <c r="D823" s="2">
        <v>44976</v>
      </c>
      <c r="E823" s="8" t="s">
        <v>23</v>
      </c>
      <c r="F823" s="8" t="s">
        <v>94</v>
      </c>
      <c r="G823" s="8" t="s">
        <v>95</v>
      </c>
      <c r="H823" t="s">
        <v>11</v>
      </c>
      <c r="I823" s="4">
        <v>300</v>
      </c>
      <c r="J823" s="8">
        <v>5</v>
      </c>
      <c r="K823" s="4">
        <v>1500</v>
      </c>
      <c r="L823" s="4">
        <v>225</v>
      </c>
      <c r="M823" s="3">
        <v>0.15</v>
      </c>
    </row>
    <row r="824" spans="2:13" x14ac:dyDescent="0.3">
      <c r="B824" t="s">
        <v>66</v>
      </c>
      <c r="C824" s="1" t="s">
        <v>63</v>
      </c>
      <c r="D824" s="2">
        <v>44983</v>
      </c>
      <c r="E824" s="8" t="s">
        <v>23</v>
      </c>
      <c r="F824" s="8" t="s">
        <v>94</v>
      </c>
      <c r="G824" s="8" t="s">
        <v>95</v>
      </c>
      <c r="H824" t="s">
        <v>13</v>
      </c>
      <c r="I824" s="4">
        <v>3200</v>
      </c>
      <c r="J824" s="8">
        <v>2</v>
      </c>
      <c r="K824" s="4">
        <v>6400</v>
      </c>
      <c r="L824" s="4">
        <v>1280</v>
      </c>
      <c r="M824" s="3">
        <v>0.2</v>
      </c>
    </row>
    <row r="825" spans="2:13" x14ac:dyDescent="0.3">
      <c r="B825" t="s">
        <v>60</v>
      </c>
      <c r="C825" s="1" t="s">
        <v>63</v>
      </c>
      <c r="D825" s="2">
        <v>44990</v>
      </c>
      <c r="E825" s="8" t="s">
        <v>23</v>
      </c>
      <c r="F825" s="8" t="s">
        <v>94</v>
      </c>
      <c r="G825" s="8" t="s">
        <v>95</v>
      </c>
      <c r="H825" t="s">
        <v>14</v>
      </c>
      <c r="I825" s="4">
        <v>4500</v>
      </c>
      <c r="J825" s="8">
        <v>12</v>
      </c>
      <c r="K825" s="4">
        <v>54000</v>
      </c>
      <c r="L825" s="4">
        <v>13500</v>
      </c>
      <c r="M825" s="3">
        <v>0.25</v>
      </c>
    </row>
    <row r="826" spans="2:13" x14ac:dyDescent="0.3">
      <c r="B826" t="s">
        <v>61</v>
      </c>
      <c r="C826" s="1" t="s">
        <v>63</v>
      </c>
      <c r="D826" s="2">
        <v>44997</v>
      </c>
      <c r="E826" s="8" t="s">
        <v>23</v>
      </c>
      <c r="F826" s="8" t="s">
        <v>94</v>
      </c>
      <c r="G826" s="8" t="s">
        <v>95</v>
      </c>
      <c r="H826" t="s">
        <v>10</v>
      </c>
      <c r="I826" s="4">
        <v>1700</v>
      </c>
      <c r="J826" s="8">
        <v>12</v>
      </c>
      <c r="K826" s="4">
        <v>20400</v>
      </c>
      <c r="L826" s="4">
        <v>10200</v>
      </c>
      <c r="M826" s="3">
        <v>0.5</v>
      </c>
    </row>
    <row r="827" spans="2:13" x14ac:dyDescent="0.3">
      <c r="B827" t="s">
        <v>62</v>
      </c>
      <c r="C827" s="1" t="s">
        <v>63</v>
      </c>
      <c r="D827" s="2">
        <v>45004</v>
      </c>
      <c r="E827" s="8" t="s">
        <v>23</v>
      </c>
      <c r="F827" s="8" t="s">
        <v>94</v>
      </c>
      <c r="G827" s="8" t="s">
        <v>95</v>
      </c>
      <c r="H827" t="s">
        <v>13</v>
      </c>
      <c r="I827" s="4">
        <v>3200</v>
      </c>
      <c r="J827" s="8">
        <v>8</v>
      </c>
      <c r="K827" s="4">
        <v>25600</v>
      </c>
      <c r="L827" s="4">
        <v>5120</v>
      </c>
      <c r="M827" s="3">
        <v>0.2</v>
      </c>
    </row>
    <row r="828" spans="2:13" x14ac:dyDescent="0.3">
      <c r="B828" t="s">
        <v>60</v>
      </c>
      <c r="C828" s="1" t="s">
        <v>64</v>
      </c>
      <c r="D828" s="2">
        <v>45011</v>
      </c>
      <c r="E828" s="8" t="s">
        <v>23</v>
      </c>
      <c r="F828" s="8" t="s">
        <v>94</v>
      </c>
      <c r="G828" s="8" t="s">
        <v>95</v>
      </c>
      <c r="H828" t="s">
        <v>11</v>
      </c>
      <c r="I828" s="4">
        <v>300</v>
      </c>
      <c r="J828" s="8">
        <v>7</v>
      </c>
      <c r="K828" s="4">
        <v>2100</v>
      </c>
      <c r="L828" s="4">
        <v>315</v>
      </c>
      <c r="M828" s="3">
        <v>0.15</v>
      </c>
    </row>
    <row r="829" spans="2:13" x14ac:dyDescent="0.3">
      <c r="B829" t="s">
        <v>65</v>
      </c>
      <c r="C829" s="1" t="s">
        <v>63</v>
      </c>
      <c r="D829" s="2">
        <v>45018</v>
      </c>
      <c r="E829" s="8" t="s">
        <v>23</v>
      </c>
      <c r="F829" s="8" t="s">
        <v>94</v>
      </c>
      <c r="G829" s="8" t="s">
        <v>95</v>
      </c>
      <c r="H829" t="s">
        <v>16</v>
      </c>
      <c r="I829" s="4">
        <v>3400</v>
      </c>
      <c r="J829" s="8">
        <v>12</v>
      </c>
      <c r="K829" s="4">
        <v>40800</v>
      </c>
      <c r="L829" s="4">
        <v>14280</v>
      </c>
      <c r="M829" s="3">
        <v>0.35</v>
      </c>
    </row>
    <row r="830" spans="2:13" x14ac:dyDescent="0.3">
      <c r="B830" t="s">
        <v>65</v>
      </c>
      <c r="C830" s="1" t="s">
        <v>64</v>
      </c>
      <c r="D830" s="2">
        <v>45025</v>
      </c>
      <c r="E830" s="8" t="s">
        <v>23</v>
      </c>
      <c r="F830" s="8" t="s">
        <v>94</v>
      </c>
      <c r="G830" s="8" t="s">
        <v>95</v>
      </c>
      <c r="H830" t="s">
        <v>18</v>
      </c>
      <c r="I830" s="4">
        <v>4600</v>
      </c>
      <c r="J830" s="8">
        <v>3</v>
      </c>
      <c r="K830" s="4">
        <v>13800</v>
      </c>
      <c r="L830" s="4">
        <v>3450</v>
      </c>
      <c r="M830" s="3">
        <v>0.25</v>
      </c>
    </row>
    <row r="831" spans="2:13" x14ac:dyDescent="0.3">
      <c r="B831" t="s">
        <v>60</v>
      </c>
      <c r="C831" s="1" t="s">
        <v>63</v>
      </c>
      <c r="D831" s="2">
        <v>45032</v>
      </c>
      <c r="E831" s="8" t="s">
        <v>23</v>
      </c>
      <c r="F831" s="8" t="s">
        <v>94</v>
      </c>
      <c r="G831" s="8" t="s">
        <v>95</v>
      </c>
      <c r="H831" t="s">
        <v>16</v>
      </c>
      <c r="I831" s="4">
        <v>3400</v>
      </c>
      <c r="J831" s="8">
        <v>3</v>
      </c>
      <c r="K831" s="4">
        <v>10200</v>
      </c>
      <c r="L831" s="4">
        <v>3570</v>
      </c>
      <c r="M831" s="3">
        <v>0.35</v>
      </c>
    </row>
    <row r="832" spans="2:13" x14ac:dyDescent="0.3">
      <c r="B832" t="s">
        <v>65</v>
      </c>
      <c r="C832" s="1" t="s">
        <v>63</v>
      </c>
      <c r="D832" s="2">
        <v>45039</v>
      </c>
      <c r="E832" s="8" t="s">
        <v>23</v>
      </c>
      <c r="F832" s="8" t="s">
        <v>94</v>
      </c>
      <c r="G832" s="8" t="s">
        <v>95</v>
      </c>
      <c r="H832" t="s">
        <v>10</v>
      </c>
      <c r="I832" s="4">
        <v>1700</v>
      </c>
      <c r="J832" s="8">
        <v>3</v>
      </c>
      <c r="K832" s="4">
        <v>5100</v>
      </c>
      <c r="L832" s="4">
        <v>2550</v>
      </c>
      <c r="M832" s="3">
        <v>0.5</v>
      </c>
    </row>
    <row r="833" spans="2:13" x14ac:dyDescent="0.3">
      <c r="B833" t="s">
        <v>62</v>
      </c>
      <c r="C833" s="1" t="s">
        <v>64</v>
      </c>
      <c r="D833" s="2">
        <v>45046</v>
      </c>
      <c r="E833" s="8" t="s">
        <v>23</v>
      </c>
      <c r="F833" s="8" t="s">
        <v>94</v>
      </c>
      <c r="G833" s="8" t="s">
        <v>95</v>
      </c>
      <c r="H833" t="s">
        <v>13</v>
      </c>
      <c r="I833" s="4">
        <v>3200</v>
      </c>
      <c r="J833" s="8">
        <v>8</v>
      </c>
      <c r="K833" s="4">
        <v>25600</v>
      </c>
      <c r="L833" s="4">
        <v>5120</v>
      </c>
      <c r="M833" s="3">
        <v>0.2</v>
      </c>
    </row>
    <row r="834" spans="2:13" x14ac:dyDescent="0.3">
      <c r="B834" t="s">
        <v>65</v>
      </c>
      <c r="C834" s="1" t="s">
        <v>63</v>
      </c>
      <c r="D834" s="2">
        <v>45053</v>
      </c>
      <c r="E834" s="8" t="s">
        <v>23</v>
      </c>
      <c r="F834" s="8" t="s">
        <v>94</v>
      </c>
      <c r="G834" s="8" t="s">
        <v>95</v>
      </c>
      <c r="H834" t="s">
        <v>20</v>
      </c>
      <c r="I834" s="4">
        <v>8902</v>
      </c>
      <c r="J834" s="8">
        <v>7</v>
      </c>
      <c r="K834" s="4">
        <v>62314</v>
      </c>
      <c r="L834" s="4">
        <v>21809.899999999998</v>
      </c>
      <c r="M834" s="3">
        <v>0.35</v>
      </c>
    </row>
    <row r="835" spans="2:13" x14ac:dyDescent="0.3">
      <c r="B835" t="s">
        <v>65</v>
      </c>
      <c r="C835" s="1" t="s">
        <v>63</v>
      </c>
      <c r="D835" s="2">
        <v>45060</v>
      </c>
      <c r="E835" s="8" t="s">
        <v>23</v>
      </c>
      <c r="F835" s="8" t="s">
        <v>94</v>
      </c>
      <c r="G835" s="8" t="s">
        <v>95</v>
      </c>
      <c r="H835" t="s">
        <v>14</v>
      </c>
      <c r="I835" s="4">
        <v>4500</v>
      </c>
      <c r="J835" s="8">
        <v>10</v>
      </c>
      <c r="K835" s="4">
        <v>45000</v>
      </c>
      <c r="L835" s="4">
        <v>11250</v>
      </c>
      <c r="M835" s="3">
        <v>0.25</v>
      </c>
    </row>
    <row r="836" spans="2:13" x14ac:dyDescent="0.3">
      <c r="B836" t="s">
        <v>65</v>
      </c>
      <c r="C836" s="1" t="s">
        <v>63</v>
      </c>
      <c r="D836" s="2">
        <v>45067</v>
      </c>
      <c r="E836" s="8" t="s">
        <v>23</v>
      </c>
      <c r="F836" s="8" t="s">
        <v>94</v>
      </c>
      <c r="G836" s="8" t="s">
        <v>95</v>
      </c>
      <c r="H836" t="s">
        <v>17</v>
      </c>
      <c r="I836" s="4">
        <v>5130</v>
      </c>
      <c r="J836" s="8">
        <v>6</v>
      </c>
      <c r="K836" s="4">
        <v>30780</v>
      </c>
      <c r="L836" s="4">
        <v>12312</v>
      </c>
      <c r="M836" s="3">
        <v>0.4</v>
      </c>
    </row>
    <row r="837" spans="2:13" x14ac:dyDescent="0.3">
      <c r="B837" t="s">
        <v>62</v>
      </c>
      <c r="C837" s="1" t="s">
        <v>63</v>
      </c>
      <c r="D837" s="2">
        <v>45074</v>
      </c>
      <c r="E837" s="8" t="s">
        <v>23</v>
      </c>
      <c r="F837" s="8" t="s">
        <v>94</v>
      </c>
      <c r="G837" s="8" t="s">
        <v>95</v>
      </c>
      <c r="H837" t="s">
        <v>20</v>
      </c>
      <c r="I837" s="4">
        <v>8902</v>
      </c>
      <c r="J837" s="8">
        <v>1</v>
      </c>
      <c r="K837" s="4">
        <v>8902</v>
      </c>
      <c r="L837" s="4">
        <v>3115.7</v>
      </c>
      <c r="M837" s="3">
        <v>0.35</v>
      </c>
    </row>
    <row r="838" spans="2:13" x14ac:dyDescent="0.3">
      <c r="B838" t="s">
        <v>62</v>
      </c>
      <c r="C838" s="1" t="s">
        <v>64</v>
      </c>
      <c r="D838" s="2">
        <v>45081</v>
      </c>
      <c r="E838" s="8" t="s">
        <v>23</v>
      </c>
      <c r="F838" s="8" t="s">
        <v>94</v>
      </c>
      <c r="G838" s="8" t="s">
        <v>95</v>
      </c>
      <c r="H838" t="s">
        <v>11</v>
      </c>
      <c r="I838" s="4">
        <v>300</v>
      </c>
      <c r="J838" s="8">
        <v>4</v>
      </c>
      <c r="K838" s="4">
        <v>1200</v>
      </c>
      <c r="L838" s="4">
        <v>180</v>
      </c>
      <c r="M838" s="3">
        <v>0.15</v>
      </c>
    </row>
    <row r="839" spans="2:13" x14ac:dyDescent="0.3">
      <c r="B839" t="s">
        <v>60</v>
      </c>
      <c r="C839" s="1" t="s">
        <v>63</v>
      </c>
      <c r="D839" s="2">
        <v>45088</v>
      </c>
      <c r="E839" s="8" t="s">
        <v>23</v>
      </c>
      <c r="F839" s="8" t="s">
        <v>96</v>
      </c>
      <c r="G839" s="8" t="s">
        <v>97</v>
      </c>
      <c r="H839" t="s">
        <v>9</v>
      </c>
      <c r="I839" s="4">
        <v>1500</v>
      </c>
      <c r="J839" s="8">
        <v>10</v>
      </c>
      <c r="K839" s="4">
        <v>15000</v>
      </c>
      <c r="L839" s="4">
        <v>6000</v>
      </c>
      <c r="M839" s="3">
        <v>0.4</v>
      </c>
    </row>
    <row r="840" spans="2:13" x14ac:dyDescent="0.3">
      <c r="B840" t="s">
        <v>60</v>
      </c>
      <c r="C840" s="1" t="s">
        <v>64</v>
      </c>
      <c r="D840" s="2">
        <v>45095</v>
      </c>
      <c r="E840" s="8" t="s">
        <v>23</v>
      </c>
      <c r="F840" s="8" t="s">
        <v>96</v>
      </c>
      <c r="G840" s="8" t="s">
        <v>97</v>
      </c>
      <c r="H840" t="s">
        <v>9</v>
      </c>
      <c r="I840" s="4">
        <v>1500</v>
      </c>
      <c r="J840" s="8">
        <v>10</v>
      </c>
      <c r="K840" s="4">
        <v>15000</v>
      </c>
      <c r="L840" s="4">
        <v>6000</v>
      </c>
      <c r="M840" s="3">
        <v>0.4</v>
      </c>
    </row>
    <row r="841" spans="2:13" x14ac:dyDescent="0.3">
      <c r="B841" t="s">
        <v>65</v>
      </c>
      <c r="C841" s="1" t="s">
        <v>63</v>
      </c>
      <c r="D841" s="2">
        <v>45102</v>
      </c>
      <c r="E841" s="8" t="s">
        <v>23</v>
      </c>
      <c r="F841" s="8" t="s">
        <v>96</v>
      </c>
      <c r="G841" s="8" t="s">
        <v>97</v>
      </c>
      <c r="H841" t="s">
        <v>8</v>
      </c>
      <c r="I841" s="4">
        <v>1200</v>
      </c>
      <c r="J841" s="8">
        <v>8</v>
      </c>
      <c r="K841" s="4">
        <v>9600</v>
      </c>
      <c r="L841" s="4">
        <v>2880</v>
      </c>
      <c r="M841" s="3">
        <v>0.3</v>
      </c>
    </row>
    <row r="842" spans="2:13" x14ac:dyDescent="0.3">
      <c r="B842" t="s">
        <v>60</v>
      </c>
      <c r="C842" s="1" t="s">
        <v>63</v>
      </c>
      <c r="D842" s="2">
        <v>45109</v>
      </c>
      <c r="E842" s="8" t="s">
        <v>23</v>
      </c>
      <c r="F842" s="8" t="s">
        <v>96</v>
      </c>
      <c r="G842" s="8" t="s">
        <v>97</v>
      </c>
      <c r="H842" t="s">
        <v>12</v>
      </c>
      <c r="I842" s="4">
        <v>500</v>
      </c>
      <c r="J842" s="8">
        <v>7</v>
      </c>
      <c r="K842" s="4">
        <v>3500</v>
      </c>
      <c r="L842" s="4">
        <v>875</v>
      </c>
      <c r="M842" s="3">
        <v>0.25</v>
      </c>
    </row>
    <row r="843" spans="2:13" x14ac:dyDescent="0.3">
      <c r="B843" t="s">
        <v>65</v>
      </c>
      <c r="C843" s="1" t="s">
        <v>63</v>
      </c>
      <c r="D843" s="2">
        <v>45116</v>
      </c>
      <c r="E843" s="8" t="s">
        <v>23</v>
      </c>
      <c r="F843" s="8" t="s">
        <v>96</v>
      </c>
      <c r="G843" s="8" t="s">
        <v>97</v>
      </c>
      <c r="H843" t="s">
        <v>9</v>
      </c>
      <c r="I843" s="4">
        <v>1500</v>
      </c>
      <c r="J843" s="8">
        <v>2</v>
      </c>
      <c r="K843" s="4">
        <v>3000</v>
      </c>
      <c r="L843" s="4">
        <v>1200</v>
      </c>
      <c r="M843" s="3">
        <v>0.4</v>
      </c>
    </row>
    <row r="844" spans="2:13" x14ac:dyDescent="0.3">
      <c r="B844" t="s">
        <v>66</v>
      </c>
      <c r="C844" s="1" t="s">
        <v>64</v>
      </c>
      <c r="D844" s="2">
        <v>45123</v>
      </c>
      <c r="E844" s="8" t="s">
        <v>23</v>
      </c>
      <c r="F844" s="8" t="s">
        <v>96</v>
      </c>
      <c r="G844" s="8" t="s">
        <v>97</v>
      </c>
      <c r="H844" t="s">
        <v>12</v>
      </c>
      <c r="I844" s="4">
        <v>500</v>
      </c>
      <c r="J844" s="8">
        <v>4</v>
      </c>
      <c r="K844" s="4">
        <v>2000</v>
      </c>
      <c r="L844" s="4">
        <v>500</v>
      </c>
      <c r="M844" s="3">
        <v>0.25</v>
      </c>
    </row>
    <row r="845" spans="2:13" x14ac:dyDescent="0.3">
      <c r="B845" t="s">
        <v>65</v>
      </c>
      <c r="C845" s="1" t="s">
        <v>63</v>
      </c>
      <c r="D845" s="2">
        <v>45130</v>
      </c>
      <c r="E845" s="8" t="s">
        <v>23</v>
      </c>
      <c r="F845" s="8" t="s">
        <v>96</v>
      </c>
      <c r="G845" s="8" t="s">
        <v>97</v>
      </c>
      <c r="H845" t="s">
        <v>12</v>
      </c>
      <c r="I845" s="4">
        <v>500</v>
      </c>
      <c r="J845" s="8">
        <v>5</v>
      </c>
      <c r="K845" s="4">
        <v>2500</v>
      </c>
      <c r="L845" s="4">
        <v>625</v>
      </c>
      <c r="M845" s="3">
        <v>0.25</v>
      </c>
    </row>
    <row r="846" spans="2:13" x14ac:dyDescent="0.3">
      <c r="B846" t="s">
        <v>60</v>
      </c>
      <c r="C846" s="1" t="s">
        <v>63</v>
      </c>
      <c r="D846" s="2">
        <v>45137</v>
      </c>
      <c r="E846" s="8" t="s">
        <v>23</v>
      </c>
      <c r="F846" s="8" t="s">
        <v>96</v>
      </c>
      <c r="G846" s="8" t="s">
        <v>97</v>
      </c>
      <c r="H846" t="s">
        <v>15</v>
      </c>
      <c r="I846" s="4">
        <v>5300</v>
      </c>
      <c r="J846" s="8">
        <v>11</v>
      </c>
      <c r="K846" s="4">
        <v>58300</v>
      </c>
      <c r="L846" s="4">
        <v>17490</v>
      </c>
      <c r="M846" s="3">
        <v>0.3</v>
      </c>
    </row>
    <row r="847" spans="2:13" x14ac:dyDescent="0.3">
      <c r="B847" t="s">
        <v>60</v>
      </c>
      <c r="C847" s="1" t="s">
        <v>64</v>
      </c>
      <c r="D847" s="2">
        <v>45144</v>
      </c>
      <c r="E847" s="8" t="s">
        <v>23</v>
      </c>
      <c r="F847" s="8" t="s">
        <v>96</v>
      </c>
      <c r="G847" s="8" t="s">
        <v>97</v>
      </c>
      <c r="H847" t="s">
        <v>15</v>
      </c>
      <c r="I847" s="4">
        <v>5300</v>
      </c>
      <c r="J847" s="8">
        <v>11</v>
      </c>
      <c r="K847" s="4">
        <v>58300</v>
      </c>
      <c r="L847" s="4">
        <v>17490</v>
      </c>
      <c r="M847" s="3">
        <v>0.3</v>
      </c>
    </row>
    <row r="848" spans="2:13" x14ac:dyDescent="0.3">
      <c r="B848" t="s">
        <v>61</v>
      </c>
      <c r="C848" s="1" t="s">
        <v>64</v>
      </c>
      <c r="D848" s="2">
        <v>45151</v>
      </c>
      <c r="E848" s="8" t="s">
        <v>23</v>
      </c>
      <c r="F848" s="8" t="s">
        <v>96</v>
      </c>
      <c r="G848" s="8" t="s">
        <v>97</v>
      </c>
      <c r="H848" t="s">
        <v>18</v>
      </c>
      <c r="I848" s="4">
        <v>4600</v>
      </c>
      <c r="J848" s="8">
        <v>1</v>
      </c>
      <c r="K848" s="4">
        <v>4600</v>
      </c>
      <c r="L848" s="4">
        <v>1150</v>
      </c>
      <c r="M848" s="3">
        <v>0.25</v>
      </c>
    </row>
    <row r="849" spans="2:13" x14ac:dyDescent="0.3">
      <c r="B849" t="s">
        <v>60</v>
      </c>
      <c r="C849" s="1" t="s">
        <v>63</v>
      </c>
      <c r="D849" s="2">
        <v>45158</v>
      </c>
      <c r="E849" s="8" t="s">
        <v>23</v>
      </c>
      <c r="F849" s="8" t="s">
        <v>96</v>
      </c>
      <c r="G849" s="8" t="s">
        <v>97</v>
      </c>
      <c r="H849" t="s">
        <v>20</v>
      </c>
      <c r="I849" s="4">
        <v>8902</v>
      </c>
      <c r="J849" s="8">
        <v>17</v>
      </c>
      <c r="K849" s="4">
        <v>151334</v>
      </c>
      <c r="L849" s="4">
        <v>52966.899999999994</v>
      </c>
      <c r="M849" s="3">
        <v>0.35</v>
      </c>
    </row>
    <row r="850" spans="2:13" x14ac:dyDescent="0.3">
      <c r="B850" t="s">
        <v>65</v>
      </c>
      <c r="C850" s="1" t="s">
        <v>63</v>
      </c>
      <c r="D850" s="2">
        <v>45165</v>
      </c>
      <c r="E850" s="8" t="s">
        <v>23</v>
      </c>
      <c r="F850" s="8" t="s">
        <v>96</v>
      </c>
      <c r="G850" s="8" t="s">
        <v>97</v>
      </c>
      <c r="H850" t="s">
        <v>18</v>
      </c>
      <c r="I850" s="4">
        <v>4600</v>
      </c>
      <c r="J850" s="8">
        <v>6</v>
      </c>
      <c r="K850" s="4">
        <v>27600</v>
      </c>
      <c r="L850" s="4">
        <v>6900</v>
      </c>
      <c r="M850" s="3">
        <v>0.25</v>
      </c>
    </row>
    <row r="851" spans="2:13" x14ac:dyDescent="0.3">
      <c r="B851" t="s">
        <v>62</v>
      </c>
      <c r="C851" s="1" t="s">
        <v>63</v>
      </c>
      <c r="D851" s="2">
        <v>44766</v>
      </c>
      <c r="E851" s="8" t="s">
        <v>23</v>
      </c>
      <c r="F851" s="8" t="s">
        <v>96</v>
      </c>
      <c r="G851" s="8" t="s">
        <v>97</v>
      </c>
      <c r="H851" t="s">
        <v>15</v>
      </c>
      <c r="I851" s="4">
        <v>5300</v>
      </c>
      <c r="J851" s="8">
        <v>9</v>
      </c>
      <c r="K851" s="4">
        <v>47700</v>
      </c>
      <c r="L851" s="4">
        <v>14310</v>
      </c>
      <c r="M851" s="3">
        <v>0.3</v>
      </c>
    </row>
    <row r="852" spans="2:13" x14ac:dyDescent="0.3">
      <c r="B852" t="s">
        <v>60</v>
      </c>
      <c r="C852" s="1" t="s">
        <v>63</v>
      </c>
      <c r="D852" s="2">
        <v>44773</v>
      </c>
      <c r="E852" s="8" t="s">
        <v>23</v>
      </c>
      <c r="F852" s="8" t="s">
        <v>96</v>
      </c>
      <c r="G852" s="8" t="s">
        <v>97</v>
      </c>
      <c r="H852" t="s">
        <v>8</v>
      </c>
      <c r="I852" s="4">
        <v>1200</v>
      </c>
      <c r="J852" s="8">
        <v>3</v>
      </c>
      <c r="K852" s="4">
        <v>3600</v>
      </c>
      <c r="L852" s="4">
        <v>1080</v>
      </c>
      <c r="M852" s="3">
        <v>0.3</v>
      </c>
    </row>
    <row r="853" spans="2:13" x14ac:dyDescent="0.3">
      <c r="B853" t="s">
        <v>65</v>
      </c>
      <c r="C853" s="1" t="s">
        <v>63</v>
      </c>
      <c r="D853" s="2">
        <v>44780</v>
      </c>
      <c r="E853" s="8" t="s">
        <v>23</v>
      </c>
      <c r="F853" s="8" t="s">
        <v>96</v>
      </c>
      <c r="G853" s="8" t="s">
        <v>97</v>
      </c>
      <c r="H853" t="s">
        <v>11</v>
      </c>
      <c r="I853" s="4">
        <v>300</v>
      </c>
      <c r="J853" s="8">
        <v>6</v>
      </c>
      <c r="K853" s="4">
        <v>1800</v>
      </c>
      <c r="L853" s="4">
        <v>270</v>
      </c>
      <c r="M853" s="3">
        <v>0.15</v>
      </c>
    </row>
    <row r="854" spans="2:13" x14ac:dyDescent="0.3">
      <c r="B854" t="s">
        <v>65</v>
      </c>
      <c r="C854" s="1" t="s">
        <v>64</v>
      </c>
      <c r="D854" s="2">
        <v>44787</v>
      </c>
      <c r="E854" s="8" t="s">
        <v>23</v>
      </c>
      <c r="F854" s="8" t="s">
        <v>96</v>
      </c>
      <c r="G854" s="8" t="s">
        <v>97</v>
      </c>
      <c r="H854" t="s">
        <v>14</v>
      </c>
      <c r="I854" s="4">
        <v>4500</v>
      </c>
      <c r="J854" s="8">
        <v>6</v>
      </c>
      <c r="K854" s="4">
        <v>27000</v>
      </c>
      <c r="L854" s="4">
        <v>6750</v>
      </c>
      <c r="M854" s="3">
        <v>0.25</v>
      </c>
    </row>
    <row r="855" spans="2:13" x14ac:dyDescent="0.3">
      <c r="B855" t="s">
        <v>65</v>
      </c>
      <c r="C855" s="1" t="s">
        <v>64</v>
      </c>
      <c r="D855" s="2">
        <v>44794</v>
      </c>
      <c r="E855" s="8" t="s">
        <v>23</v>
      </c>
      <c r="F855" s="8" t="s">
        <v>96</v>
      </c>
      <c r="G855" s="8" t="s">
        <v>97</v>
      </c>
      <c r="H855" t="s">
        <v>9</v>
      </c>
      <c r="I855" s="4">
        <v>1500</v>
      </c>
      <c r="J855" s="8">
        <v>5</v>
      </c>
      <c r="K855" s="4">
        <v>7500</v>
      </c>
      <c r="L855" s="4">
        <v>3000</v>
      </c>
      <c r="M855" s="3">
        <v>0.4</v>
      </c>
    </row>
    <row r="856" spans="2:13" x14ac:dyDescent="0.3">
      <c r="B856" t="s">
        <v>65</v>
      </c>
      <c r="C856" s="1" t="s">
        <v>64</v>
      </c>
      <c r="D856" s="2">
        <v>44801</v>
      </c>
      <c r="E856" s="8" t="s">
        <v>23</v>
      </c>
      <c r="F856" s="8" t="s">
        <v>96</v>
      </c>
      <c r="G856" s="8" t="s">
        <v>97</v>
      </c>
      <c r="H856" t="s">
        <v>14</v>
      </c>
      <c r="I856" s="4">
        <v>4500</v>
      </c>
      <c r="J856" s="8">
        <v>7</v>
      </c>
      <c r="K856" s="4">
        <v>31500</v>
      </c>
      <c r="L856" s="4">
        <v>7875</v>
      </c>
      <c r="M856" s="3">
        <v>0.25</v>
      </c>
    </row>
    <row r="857" spans="2:13" x14ac:dyDescent="0.3">
      <c r="B857" t="s">
        <v>65</v>
      </c>
      <c r="C857" s="1" t="s">
        <v>63</v>
      </c>
      <c r="D857" s="2">
        <v>44808</v>
      </c>
      <c r="E857" s="8" t="s">
        <v>23</v>
      </c>
      <c r="F857" s="8" t="s">
        <v>96</v>
      </c>
      <c r="G857" s="8" t="s">
        <v>97</v>
      </c>
      <c r="H857" t="s">
        <v>13</v>
      </c>
      <c r="I857" s="4">
        <v>3200</v>
      </c>
      <c r="J857" s="8">
        <v>7</v>
      </c>
      <c r="K857" s="4">
        <v>22400</v>
      </c>
      <c r="L857" s="4">
        <v>4480</v>
      </c>
      <c r="M857" s="3">
        <v>0.2</v>
      </c>
    </row>
    <row r="858" spans="2:13" x14ac:dyDescent="0.3">
      <c r="B858" t="s">
        <v>65</v>
      </c>
      <c r="C858" s="1" t="s">
        <v>63</v>
      </c>
      <c r="D858" s="2">
        <v>44815</v>
      </c>
      <c r="E858" s="8" t="s">
        <v>23</v>
      </c>
      <c r="F858" s="8" t="s">
        <v>96</v>
      </c>
      <c r="G858" s="8" t="s">
        <v>97</v>
      </c>
      <c r="H858" t="s">
        <v>9</v>
      </c>
      <c r="I858" s="4">
        <v>1500</v>
      </c>
      <c r="J858" s="8">
        <v>9</v>
      </c>
      <c r="K858" s="4">
        <v>13500</v>
      </c>
      <c r="L858" s="4">
        <v>5400</v>
      </c>
      <c r="M858" s="3">
        <v>0.4</v>
      </c>
    </row>
    <row r="859" spans="2:13" x14ac:dyDescent="0.3">
      <c r="B859" t="s">
        <v>60</v>
      </c>
      <c r="C859" s="1" t="s">
        <v>63</v>
      </c>
      <c r="D859" s="2">
        <v>44822</v>
      </c>
      <c r="E859" s="8" t="s">
        <v>23</v>
      </c>
      <c r="F859" s="8" t="s">
        <v>96</v>
      </c>
      <c r="G859" s="8" t="s">
        <v>97</v>
      </c>
      <c r="H859" t="s">
        <v>12</v>
      </c>
      <c r="I859" s="4">
        <v>500</v>
      </c>
      <c r="J859" s="8">
        <v>2</v>
      </c>
      <c r="K859" s="4">
        <v>1000</v>
      </c>
      <c r="L859" s="4">
        <v>250</v>
      </c>
      <c r="M859" s="3">
        <v>0.25</v>
      </c>
    </row>
    <row r="860" spans="2:13" x14ac:dyDescent="0.3">
      <c r="B860" t="s">
        <v>65</v>
      </c>
      <c r="C860" s="1" t="s">
        <v>64</v>
      </c>
      <c r="D860" s="2">
        <v>44829</v>
      </c>
      <c r="E860" s="8" t="s">
        <v>23</v>
      </c>
      <c r="F860" s="8" t="s">
        <v>96</v>
      </c>
      <c r="G860" s="8" t="s">
        <v>97</v>
      </c>
      <c r="H860" t="s">
        <v>12</v>
      </c>
      <c r="I860" s="4">
        <v>500</v>
      </c>
      <c r="J860" s="8">
        <v>9</v>
      </c>
      <c r="K860" s="4">
        <v>4500</v>
      </c>
      <c r="L860" s="4">
        <v>1125</v>
      </c>
      <c r="M860" s="3">
        <v>0.25</v>
      </c>
    </row>
    <row r="861" spans="2:13" x14ac:dyDescent="0.3">
      <c r="B861" t="s">
        <v>65</v>
      </c>
      <c r="C861" s="1" t="s">
        <v>63</v>
      </c>
      <c r="D861" s="2">
        <v>44836</v>
      </c>
      <c r="E861" s="8" t="s">
        <v>23</v>
      </c>
      <c r="F861" s="8" t="s">
        <v>96</v>
      </c>
      <c r="G861" s="8" t="s">
        <v>97</v>
      </c>
      <c r="H861" t="s">
        <v>15</v>
      </c>
      <c r="I861" s="4">
        <v>5300</v>
      </c>
      <c r="J861" s="8">
        <v>4</v>
      </c>
      <c r="K861" s="4">
        <v>21200</v>
      </c>
      <c r="L861" s="4">
        <v>6360</v>
      </c>
      <c r="M861" s="3">
        <v>0.3</v>
      </c>
    </row>
    <row r="862" spans="2:13" x14ac:dyDescent="0.3">
      <c r="B862" t="s">
        <v>60</v>
      </c>
      <c r="C862" s="1" t="s">
        <v>63</v>
      </c>
      <c r="D862" s="2">
        <v>44843</v>
      </c>
      <c r="E862" s="8" t="s">
        <v>23</v>
      </c>
      <c r="F862" s="8" t="s">
        <v>96</v>
      </c>
      <c r="G862" s="8" t="s">
        <v>97</v>
      </c>
      <c r="H862" t="s">
        <v>18</v>
      </c>
      <c r="I862" s="4">
        <v>4600</v>
      </c>
      <c r="J862" s="8">
        <v>5</v>
      </c>
      <c r="K862" s="4">
        <v>23000</v>
      </c>
      <c r="L862" s="4">
        <v>5750</v>
      </c>
      <c r="M862" s="3">
        <v>0.25</v>
      </c>
    </row>
    <row r="863" spans="2:13" x14ac:dyDescent="0.3">
      <c r="B863" t="s">
        <v>60</v>
      </c>
      <c r="C863" s="1" t="s">
        <v>63</v>
      </c>
      <c r="D863" s="2">
        <v>44850</v>
      </c>
      <c r="E863" s="8" t="s">
        <v>23</v>
      </c>
      <c r="F863" s="8" t="s">
        <v>96</v>
      </c>
      <c r="G863" s="8" t="s">
        <v>97</v>
      </c>
      <c r="H863" t="s">
        <v>18</v>
      </c>
      <c r="I863" s="4">
        <v>4600</v>
      </c>
      <c r="J863" s="8">
        <v>11</v>
      </c>
      <c r="K863" s="4">
        <v>50600</v>
      </c>
      <c r="L863" s="4">
        <v>12650</v>
      </c>
      <c r="M863" s="3">
        <v>0.25</v>
      </c>
    </row>
    <row r="864" spans="2:13" x14ac:dyDescent="0.3">
      <c r="B864" t="s">
        <v>65</v>
      </c>
      <c r="C864" s="1" t="s">
        <v>63</v>
      </c>
      <c r="D864" s="2">
        <v>44857</v>
      </c>
      <c r="E864" s="8" t="s">
        <v>23</v>
      </c>
      <c r="F864" s="8" t="s">
        <v>96</v>
      </c>
      <c r="G864" s="8" t="s">
        <v>97</v>
      </c>
      <c r="H864" t="s">
        <v>8</v>
      </c>
      <c r="I864" s="4">
        <v>1200</v>
      </c>
      <c r="J864" s="8">
        <v>6</v>
      </c>
      <c r="K864" s="4">
        <v>7200</v>
      </c>
      <c r="L864" s="4">
        <v>2160</v>
      </c>
      <c r="M864" s="3">
        <v>0.3</v>
      </c>
    </row>
    <row r="865" spans="2:13" x14ac:dyDescent="0.3">
      <c r="B865" t="s">
        <v>65</v>
      </c>
      <c r="C865" s="1" t="s">
        <v>64</v>
      </c>
      <c r="D865" s="2">
        <v>44864</v>
      </c>
      <c r="E865" s="8" t="s">
        <v>23</v>
      </c>
      <c r="F865" s="8" t="s">
        <v>96</v>
      </c>
      <c r="G865" s="8" t="s">
        <v>97</v>
      </c>
      <c r="H865" t="s">
        <v>13</v>
      </c>
      <c r="I865" s="4">
        <v>3200</v>
      </c>
      <c r="J865" s="8">
        <v>1</v>
      </c>
      <c r="K865" s="4">
        <v>3200</v>
      </c>
      <c r="L865" s="4">
        <v>640</v>
      </c>
      <c r="M865" s="3">
        <v>0.2</v>
      </c>
    </row>
    <row r="866" spans="2:13" x14ac:dyDescent="0.3">
      <c r="B866" t="s">
        <v>65</v>
      </c>
      <c r="C866" s="1" t="s">
        <v>64</v>
      </c>
      <c r="D866" s="2">
        <v>44871</v>
      </c>
      <c r="E866" s="8" t="s">
        <v>23</v>
      </c>
      <c r="F866" s="8" t="s">
        <v>96</v>
      </c>
      <c r="G866" s="8" t="s">
        <v>97</v>
      </c>
      <c r="H866" t="s">
        <v>15</v>
      </c>
      <c r="I866" s="4">
        <v>5300</v>
      </c>
      <c r="J866" s="8">
        <v>12</v>
      </c>
      <c r="K866" s="4">
        <v>63600</v>
      </c>
      <c r="L866" s="4">
        <v>19080</v>
      </c>
      <c r="M866" s="3">
        <v>0.3</v>
      </c>
    </row>
    <row r="867" spans="2:13" x14ac:dyDescent="0.3">
      <c r="B867" t="s">
        <v>60</v>
      </c>
      <c r="C867" s="1" t="s">
        <v>63</v>
      </c>
      <c r="D867" s="2">
        <v>44878</v>
      </c>
      <c r="E867" s="8" t="s">
        <v>23</v>
      </c>
      <c r="F867" s="8" t="s">
        <v>96</v>
      </c>
      <c r="G867" s="8" t="s">
        <v>97</v>
      </c>
      <c r="H867" t="s">
        <v>12</v>
      </c>
      <c r="I867" s="4">
        <v>500</v>
      </c>
      <c r="J867" s="8">
        <v>5</v>
      </c>
      <c r="K867" s="4">
        <v>2500</v>
      </c>
      <c r="L867" s="4">
        <v>625</v>
      </c>
      <c r="M867" s="3">
        <v>0.25</v>
      </c>
    </row>
    <row r="868" spans="2:13" x14ac:dyDescent="0.3">
      <c r="B868" t="s">
        <v>61</v>
      </c>
      <c r="C868" s="1" t="s">
        <v>63</v>
      </c>
      <c r="D868" s="2">
        <v>44885</v>
      </c>
      <c r="E868" s="8" t="s">
        <v>23</v>
      </c>
      <c r="F868" s="8" t="s">
        <v>96</v>
      </c>
      <c r="G868" s="8" t="s">
        <v>97</v>
      </c>
      <c r="H868" t="s">
        <v>17</v>
      </c>
      <c r="I868" s="4">
        <v>5130</v>
      </c>
      <c r="J868" s="8">
        <v>7</v>
      </c>
      <c r="K868" s="4">
        <v>35910</v>
      </c>
      <c r="L868" s="4">
        <v>14364</v>
      </c>
      <c r="M868" s="3">
        <v>0.4</v>
      </c>
    </row>
    <row r="869" spans="2:13" x14ac:dyDescent="0.3">
      <c r="B869" t="s">
        <v>65</v>
      </c>
      <c r="C869" s="1" t="s">
        <v>64</v>
      </c>
      <c r="D869" s="2">
        <v>44892</v>
      </c>
      <c r="E869" s="8" t="s">
        <v>23</v>
      </c>
      <c r="F869" s="8" t="s">
        <v>96</v>
      </c>
      <c r="G869" s="8" t="s">
        <v>97</v>
      </c>
      <c r="H869" t="s">
        <v>9</v>
      </c>
      <c r="I869" s="4">
        <v>1500</v>
      </c>
      <c r="J869" s="8">
        <v>5</v>
      </c>
      <c r="K869" s="4">
        <v>7500</v>
      </c>
      <c r="L869" s="4">
        <v>3000</v>
      </c>
      <c r="M869" s="3">
        <v>0.4</v>
      </c>
    </row>
    <row r="870" spans="2:13" x14ac:dyDescent="0.3">
      <c r="B870" t="s">
        <v>60</v>
      </c>
      <c r="C870" s="1" t="s">
        <v>63</v>
      </c>
      <c r="D870" s="2">
        <v>44899</v>
      </c>
      <c r="E870" s="8" t="s">
        <v>23</v>
      </c>
      <c r="F870" s="8" t="s">
        <v>96</v>
      </c>
      <c r="G870" s="8" t="s">
        <v>97</v>
      </c>
      <c r="H870" t="s">
        <v>15</v>
      </c>
      <c r="I870" s="4">
        <v>5300</v>
      </c>
      <c r="J870" s="8">
        <v>10</v>
      </c>
      <c r="K870" s="4">
        <v>53000</v>
      </c>
      <c r="L870" s="4">
        <v>15900</v>
      </c>
      <c r="M870" s="3">
        <v>0.3</v>
      </c>
    </row>
    <row r="871" spans="2:13" x14ac:dyDescent="0.3">
      <c r="B871" t="s">
        <v>65</v>
      </c>
      <c r="C871" s="1" t="s">
        <v>63</v>
      </c>
      <c r="D871" s="2">
        <v>44906</v>
      </c>
      <c r="E871" s="8" t="s">
        <v>23</v>
      </c>
      <c r="F871" s="8" t="s">
        <v>96</v>
      </c>
      <c r="G871" s="8" t="s">
        <v>97</v>
      </c>
      <c r="H871" t="s">
        <v>19</v>
      </c>
      <c r="I871" s="4">
        <v>5340</v>
      </c>
      <c r="J871" s="8">
        <v>8</v>
      </c>
      <c r="K871" s="4">
        <v>42720</v>
      </c>
      <c r="L871" s="4">
        <v>12816</v>
      </c>
      <c r="M871" s="3">
        <v>0.3</v>
      </c>
    </row>
    <row r="872" spans="2:13" x14ac:dyDescent="0.3">
      <c r="B872" t="s">
        <v>66</v>
      </c>
      <c r="C872" s="1" t="s">
        <v>63</v>
      </c>
      <c r="D872" s="2">
        <v>44913</v>
      </c>
      <c r="E872" s="8" t="s">
        <v>23</v>
      </c>
      <c r="F872" s="8" t="s">
        <v>96</v>
      </c>
      <c r="G872" s="8" t="s">
        <v>97</v>
      </c>
      <c r="H872" t="s">
        <v>15</v>
      </c>
      <c r="I872" s="4">
        <v>5300</v>
      </c>
      <c r="J872" s="8">
        <v>6</v>
      </c>
      <c r="K872" s="4">
        <v>31800</v>
      </c>
      <c r="L872" s="4">
        <v>9540</v>
      </c>
      <c r="M872" s="3">
        <v>0.3</v>
      </c>
    </row>
    <row r="873" spans="2:13" x14ac:dyDescent="0.3">
      <c r="B873" t="s">
        <v>60</v>
      </c>
      <c r="C873" s="1" t="s">
        <v>64</v>
      </c>
      <c r="D873" s="2">
        <v>44920</v>
      </c>
      <c r="E873" s="8" t="s">
        <v>23</v>
      </c>
      <c r="F873" s="8" t="s">
        <v>96</v>
      </c>
      <c r="G873" s="8" t="s">
        <v>97</v>
      </c>
      <c r="H873" t="s">
        <v>12</v>
      </c>
      <c r="I873" s="4">
        <v>500</v>
      </c>
      <c r="J873" s="8">
        <v>5</v>
      </c>
      <c r="K873" s="4">
        <v>2500</v>
      </c>
      <c r="L873" s="4">
        <v>625</v>
      </c>
      <c r="M873" s="3">
        <v>0.25</v>
      </c>
    </row>
    <row r="874" spans="2:13" x14ac:dyDescent="0.3">
      <c r="B874" t="s">
        <v>65</v>
      </c>
      <c r="C874" s="1" t="s">
        <v>63</v>
      </c>
      <c r="D874" s="2">
        <v>44927</v>
      </c>
      <c r="E874" s="8" t="s">
        <v>23</v>
      </c>
      <c r="F874" s="8" t="s">
        <v>96</v>
      </c>
      <c r="G874" s="8" t="s">
        <v>97</v>
      </c>
      <c r="H874" t="s">
        <v>20</v>
      </c>
      <c r="I874" s="4">
        <v>8902</v>
      </c>
      <c r="J874" s="8">
        <v>11</v>
      </c>
      <c r="K874" s="4">
        <v>97922</v>
      </c>
      <c r="L874" s="4">
        <v>34272.699999999997</v>
      </c>
      <c r="M874" s="3">
        <v>0.35</v>
      </c>
    </row>
    <row r="875" spans="2:13" x14ac:dyDescent="0.3">
      <c r="B875" t="s">
        <v>66</v>
      </c>
      <c r="C875" s="1" t="s">
        <v>63</v>
      </c>
      <c r="D875" s="2">
        <v>44934</v>
      </c>
      <c r="E875" s="8" t="s">
        <v>23</v>
      </c>
      <c r="F875" s="8" t="s">
        <v>96</v>
      </c>
      <c r="G875" s="8" t="s">
        <v>97</v>
      </c>
      <c r="H875" t="s">
        <v>19</v>
      </c>
      <c r="I875" s="4">
        <v>5340</v>
      </c>
      <c r="J875" s="8">
        <v>5</v>
      </c>
      <c r="K875" s="4">
        <v>26700</v>
      </c>
      <c r="L875" s="4">
        <v>8010</v>
      </c>
      <c r="M875" s="3">
        <v>0.3</v>
      </c>
    </row>
    <row r="876" spans="2:13" x14ac:dyDescent="0.3">
      <c r="B876" t="s">
        <v>66</v>
      </c>
      <c r="C876" s="1" t="s">
        <v>64</v>
      </c>
      <c r="D876" s="2">
        <v>44941</v>
      </c>
      <c r="E876" s="8" t="s">
        <v>23</v>
      </c>
      <c r="F876" s="8" t="s">
        <v>96</v>
      </c>
      <c r="G876" s="8" t="s">
        <v>97</v>
      </c>
      <c r="H876" t="s">
        <v>11</v>
      </c>
      <c r="I876" s="4">
        <v>300</v>
      </c>
      <c r="J876" s="8">
        <v>3</v>
      </c>
      <c r="K876" s="4">
        <v>900</v>
      </c>
      <c r="L876" s="4">
        <v>135</v>
      </c>
      <c r="M876" s="3">
        <v>0.15</v>
      </c>
    </row>
    <row r="877" spans="2:13" x14ac:dyDescent="0.3">
      <c r="B877" t="s">
        <v>65</v>
      </c>
      <c r="C877" s="1" t="s">
        <v>64</v>
      </c>
      <c r="D877" s="2">
        <v>44948</v>
      </c>
      <c r="E877" s="8" t="s">
        <v>23</v>
      </c>
      <c r="F877" s="8" t="s">
        <v>96</v>
      </c>
      <c r="G877" s="8" t="s">
        <v>97</v>
      </c>
      <c r="H877" t="s">
        <v>13</v>
      </c>
      <c r="I877" s="4">
        <v>3200</v>
      </c>
      <c r="J877" s="8">
        <v>3</v>
      </c>
      <c r="K877" s="4">
        <v>9600</v>
      </c>
      <c r="L877" s="4">
        <v>1920</v>
      </c>
      <c r="M877" s="3">
        <v>0.2</v>
      </c>
    </row>
    <row r="878" spans="2:13" x14ac:dyDescent="0.3">
      <c r="B878" t="s">
        <v>61</v>
      </c>
      <c r="C878" s="1" t="s">
        <v>63</v>
      </c>
      <c r="D878" s="2">
        <v>44955</v>
      </c>
      <c r="E878" s="8" t="s">
        <v>23</v>
      </c>
      <c r="F878" s="8" t="s">
        <v>96</v>
      </c>
      <c r="G878" s="8" t="s">
        <v>97</v>
      </c>
      <c r="H878" t="s">
        <v>15</v>
      </c>
      <c r="I878" s="4">
        <v>5300</v>
      </c>
      <c r="J878" s="8">
        <v>1</v>
      </c>
      <c r="K878" s="4">
        <v>5300</v>
      </c>
      <c r="L878" s="4">
        <v>1590</v>
      </c>
      <c r="M878" s="3">
        <v>0.3</v>
      </c>
    </row>
    <row r="879" spans="2:13" x14ac:dyDescent="0.3">
      <c r="B879" t="s">
        <v>60</v>
      </c>
      <c r="C879" s="1" t="s">
        <v>64</v>
      </c>
      <c r="D879" s="2">
        <v>44962</v>
      </c>
      <c r="E879" s="8" t="s">
        <v>23</v>
      </c>
      <c r="F879" s="8" t="s">
        <v>96</v>
      </c>
      <c r="G879" s="8" t="s">
        <v>97</v>
      </c>
      <c r="H879" t="s">
        <v>16</v>
      </c>
      <c r="I879" s="4">
        <v>3400</v>
      </c>
      <c r="J879" s="8">
        <v>1</v>
      </c>
      <c r="K879" s="4">
        <v>3400</v>
      </c>
      <c r="L879" s="4">
        <v>1190</v>
      </c>
      <c r="M879" s="3">
        <v>0.35</v>
      </c>
    </row>
    <row r="880" spans="2:13" x14ac:dyDescent="0.3">
      <c r="B880" t="s">
        <v>65</v>
      </c>
      <c r="C880" s="1" t="s">
        <v>63</v>
      </c>
      <c r="D880" s="2">
        <v>44969</v>
      </c>
      <c r="E880" s="8" t="s">
        <v>23</v>
      </c>
      <c r="F880" s="8" t="s">
        <v>96</v>
      </c>
      <c r="G880" s="8" t="s">
        <v>97</v>
      </c>
      <c r="H880" t="s">
        <v>13</v>
      </c>
      <c r="I880" s="4">
        <v>3200</v>
      </c>
      <c r="J880" s="8">
        <v>7</v>
      </c>
      <c r="K880" s="4">
        <v>22400</v>
      </c>
      <c r="L880" s="4">
        <v>4480</v>
      </c>
      <c r="M880" s="3">
        <v>0.2</v>
      </c>
    </row>
    <row r="881" spans="2:13" x14ac:dyDescent="0.3">
      <c r="B881" t="s">
        <v>65</v>
      </c>
      <c r="C881" s="1" t="s">
        <v>63</v>
      </c>
      <c r="D881" s="2">
        <v>44976</v>
      </c>
      <c r="E881" s="8" t="s">
        <v>23</v>
      </c>
      <c r="F881" s="8" t="s">
        <v>96</v>
      </c>
      <c r="G881" s="8" t="s">
        <v>97</v>
      </c>
      <c r="H881" t="s">
        <v>12</v>
      </c>
      <c r="I881" s="4">
        <v>500</v>
      </c>
      <c r="J881" s="8">
        <v>5</v>
      </c>
      <c r="K881" s="4">
        <v>2500</v>
      </c>
      <c r="L881" s="4">
        <v>625</v>
      </c>
      <c r="M881" s="3">
        <v>0.25</v>
      </c>
    </row>
    <row r="882" spans="2:13" x14ac:dyDescent="0.3">
      <c r="B882" t="s">
        <v>65</v>
      </c>
      <c r="C882" s="1" t="s">
        <v>63</v>
      </c>
      <c r="D882" s="2">
        <v>44983</v>
      </c>
      <c r="E882" s="8" t="s">
        <v>23</v>
      </c>
      <c r="F882" s="8" t="s">
        <v>96</v>
      </c>
      <c r="G882" s="8" t="s">
        <v>97</v>
      </c>
      <c r="H882" t="s">
        <v>18</v>
      </c>
      <c r="I882" s="4">
        <v>4600</v>
      </c>
      <c r="J882" s="8">
        <v>12</v>
      </c>
      <c r="K882" s="4">
        <v>55200</v>
      </c>
      <c r="L882" s="4">
        <v>13800</v>
      </c>
      <c r="M882" s="3">
        <v>0.25</v>
      </c>
    </row>
    <row r="883" spans="2:13" x14ac:dyDescent="0.3">
      <c r="B883" t="s">
        <v>66</v>
      </c>
      <c r="C883" s="1" t="s">
        <v>63</v>
      </c>
      <c r="D883" s="2">
        <v>44990</v>
      </c>
      <c r="E883" s="8" t="s">
        <v>23</v>
      </c>
      <c r="F883" s="8" t="s">
        <v>96</v>
      </c>
      <c r="G883" s="8" t="s">
        <v>97</v>
      </c>
      <c r="H883" t="s">
        <v>17</v>
      </c>
      <c r="I883" s="4">
        <v>5130</v>
      </c>
      <c r="J883" s="8">
        <v>7</v>
      </c>
      <c r="K883" s="4">
        <v>35910</v>
      </c>
      <c r="L883" s="4">
        <v>14364</v>
      </c>
      <c r="M883" s="3">
        <v>0.4</v>
      </c>
    </row>
    <row r="884" spans="2:13" x14ac:dyDescent="0.3">
      <c r="B884" t="s">
        <v>65</v>
      </c>
      <c r="C884" s="1" t="s">
        <v>63</v>
      </c>
      <c r="D884" s="2">
        <v>44997</v>
      </c>
      <c r="E884" s="8" t="s">
        <v>23</v>
      </c>
      <c r="F884" s="8" t="s">
        <v>96</v>
      </c>
      <c r="G884" s="8" t="s">
        <v>97</v>
      </c>
      <c r="H884" t="s">
        <v>20</v>
      </c>
      <c r="I884" s="4">
        <v>8902</v>
      </c>
      <c r="J884" s="8">
        <v>10</v>
      </c>
      <c r="K884" s="4">
        <v>89020</v>
      </c>
      <c r="L884" s="4">
        <v>31156.999999999996</v>
      </c>
      <c r="M884" s="3">
        <v>0.35</v>
      </c>
    </row>
    <row r="885" spans="2:13" x14ac:dyDescent="0.3">
      <c r="B885" t="s">
        <v>60</v>
      </c>
      <c r="C885" s="1" t="s">
        <v>63</v>
      </c>
      <c r="D885" s="2">
        <v>45004</v>
      </c>
      <c r="E885" s="8" t="s">
        <v>23</v>
      </c>
      <c r="F885" s="8" t="s">
        <v>96</v>
      </c>
      <c r="G885" s="8" t="s">
        <v>97</v>
      </c>
      <c r="H885" t="s">
        <v>20</v>
      </c>
      <c r="I885" s="4">
        <v>8902</v>
      </c>
      <c r="J885" s="8">
        <v>9</v>
      </c>
      <c r="K885" s="4">
        <v>80118</v>
      </c>
      <c r="L885" s="4">
        <v>28041.3</v>
      </c>
      <c r="M885" s="3">
        <v>0.35</v>
      </c>
    </row>
    <row r="886" spans="2:13" x14ac:dyDescent="0.3">
      <c r="B886" t="s">
        <v>60</v>
      </c>
      <c r="C886" s="1" t="s">
        <v>63</v>
      </c>
      <c r="D886" s="2">
        <v>45011</v>
      </c>
      <c r="E886" s="8" t="s">
        <v>23</v>
      </c>
      <c r="F886" s="8" t="s">
        <v>96</v>
      </c>
      <c r="G886" s="8" t="s">
        <v>97</v>
      </c>
      <c r="H886" t="s">
        <v>20</v>
      </c>
      <c r="I886" s="4">
        <v>8902</v>
      </c>
      <c r="J886" s="8">
        <v>9</v>
      </c>
      <c r="K886" s="4">
        <v>80118</v>
      </c>
      <c r="L886" s="4">
        <v>28041.3</v>
      </c>
      <c r="M886" s="3">
        <v>0.35</v>
      </c>
    </row>
    <row r="887" spans="2:13" x14ac:dyDescent="0.3">
      <c r="B887" t="s">
        <v>60</v>
      </c>
      <c r="C887" s="1" t="s">
        <v>63</v>
      </c>
      <c r="D887" s="2">
        <v>45018</v>
      </c>
      <c r="E887" s="8" t="s">
        <v>23</v>
      </c>
      <c r="F887" s="8" t="s">
        <v>96</v>
      </c>
      <c r="G887" s="8" t="s">
        <v>97</v>
      </c>
      <c r="H887" t="s">
        <v>12</v>
      </c>
      <c r="I887" s="4">
        <v>500</v>
      </c>
      <c r="J887" s="8">
        <v>6</v>
      </c>
      <c r="K887" s="4">
        <v>3000</v>
      </c>
      <c r="L887" s="4">
        <v>750</v>
      </c>
      <c r="M887" s="3">
        <v>0.25</v>
      </c>
    </row>
    <row r="888" spans="2:13" x14ac:dyDescent="0.3">
      <c r="B888" t="s">
        <v>61</v>
      </c>
      <c r="C888" s="1" t="s">
        <v>63</v>
      </c>
      <c r="D888" s="2">
        <v>45025</v>
      </c>
      <c r="E888" s="8" t="s">
        <v>23</v>
      </c>
      <c r="F888" s="8" t="s">
        <v>96</v>
      </c>
      <c r="G888" s="8" t="s">
        <v>97</v>
      </c>
      <c r="H888" t="s">
        <v>20</v>
      </c>
      <c r="I888" s="4">
        <v>8902</v>
      </c>
      <c r="J888" s="8">
        <v>6</v>
      </c>
      <c r="K888" s="4">
        <v>53412</v>
      </c>
      <c r="L888" s="4">
        <v>18694.199999999997</v>
      </c>
      <c r="M888" s="3">
        <v>0.35</v>
      </c>
    </row>
    <row r="889" spans="2:13" x14ac:dyDescent="0.3">
      <c r="B889" t="s">
        <v>65</v>
      </c>
      <c r="C889" s="1" t="s">
        <v>63</v>
      </c>
      <c r="D889" s="2">
        <v>45032</v>
      </c>
      <c r="E889" s="8" t="s">
        <v>23</v>
      </c>
      <c r="F889" s="8" t="s">
        <v>96</v>
      </c>
      <c r="G889" s="8" t="s">
        <v>97</v>
      </c>
      <c r="H889" t="s">
        <v>8</v>
      </c>
      <c r="I889" s="4">
        <v>1200</v>
      </c>
      <c r="J889" s="8">
        <v>8</v>
      </c>
      <c r="K889" s="4">
        <v>9600</v>
      </c>
      <c r="L889" s="4">
        <v>2880</v>
      </c>
      <c r="M889" s="3">
        <v>0.3</v>
      </c>
    </row>
    <row r="890" spans="2:13" x14ac:dyDescent="0.3">
      <c r="B890" t="s">
        <v>65</v>
      </c>
      <c r="C890" s="1" t="s">
        <v>63</v>
      </c>
      <c r="D890" s="2">
        <v>45039</v>
      </c>
      <c r="E890" s="8" t="s">
        <v>23</v>
      </c>
      <c r="F890" s="8" t="s">
        <v>96</v>
      </c>
      <c r="G890" s="8" t="s">
        <v>97</v>
      </c>
      <c r="H890" t="s">
        <v>9</v>
      </c>
      <c r="I890" s="4">
        <v>1500</v>
      </c>
      <c r="J890" s="8">
        <v>5</v>
      </c>
      <c r="K890" s="4">
        <v>7500</v>
      </c>
      <c r="L890" s="4">
        <v>3000</v>
      </c>
      <c r="M890" s="3">
        <v>0.4</v>
      </c>
    </row>
    <row r="891" spans="2:13" x14ac:dyDescent="0.3">
      <c r="B891" t="s">
        <v>66</v>
      </c>
      <c r="C891" s="1" t="s">
        <v>63</v>
      </c>
      <c r="D891" s="2">
        <v>45046</v>
      </c>
      <c r="E891" s="8" t="s">
        <v>23</v>
      </c>
      <c r="F891" s="8" t="s">
        <v>96</v>
      </c>
      <c r="G891" s="8" t="s">
        <v>97</v>
      </c>
      <c r="H891" t="s">
        <v>19</v>
      </c>
      <c r="I891" s="4">
        <v>5340</v>
      </c>
      <c r="J891" s="8">
        <v>9</v>
      </c>
      <c r="K891" s="4">
        <v>48060</v>
      </c>
      <c r="L891" s="4">
        <v>14418</v>
      </c>
      <c r="M891" s="3">
        <v>0.3</v>
      </c>
    </row>
    <row r="892" spans="2:13" x14ac:dyDescent="0.3">
      <c r="B892" t="s">
        <v>66</v>
      </c>
      <c r="C892" s="1" t="s">
        <v>63</v>
      </c>
      <c r="D892" s="2">
        <v>45053</v>
      </c>
      <c r="E892" s="8" t="s">
        <v>23</v>
      </c>
      <c r="F892" s="8" t="s">
        <v>96</v>
      </c>
      <c r="G892" s="8" t="s">
        <v>97</v>
      </c>
      <c r="H892" t="s">
        <v>13</v>
      </c>
      <c r="I892" s="4">
        <v>3200</v>
      </c>
      <c r="J892" s="8">
        <v>2</v>
      </c>
      <c r="K892" s="4">
        <v>6400</v>
      </c>
      <c r="L892" s="4">
        <v>1280</v>
      </c>
      <c r="M892" s="3">
        <v>0.2</v>
      </c>
    </row>
    <row r="893" spans="2:13" x14ac:dyDescent="0.3">
      <c r="B893" t="s">
        <v>65</v>
      </c>
      <c r="C893" s="1" t="s">
        <v>64</v>
      </c>
      <c r="D893" s="2">
        <v>45060</v>
      </c>
      <c r="E893" s="8" t="s">
        <v>23</v>
      </c>
      <c r="F893" s="8" t="s">
        <v>96</v>
      </c>
      <c r="G893" s="8" t="s">
        <v>97</v>
      </c>
      <c r="H893" t="s">
        <v>15</v>
      </c>
      <c r="I893" s="4">
        <v>5300</v>
      </c>
      <c r="J893" s="8">
        <v>2</v>
      </c>
      <c r="K893" s="4">
        <v>10600</v>
      </c>
      <c r="L893" s="4">
        <v>3180</v>
      </c>
      <c r="M893" s="3">
        <v>0.3</v>
      </c>
    </row>
    <row r="894" spans="2:13" x14ac:dyDescent="0.3">
      <c r="B894" t="s">
        <v>66</v>
      </c>
      <c r="C894" s="1" t="s">
        <v>63</v>
      </c>
      <c r="D894" s="2">
        <v>45067</v>
      </c>
      <c r="E894" s="8" t="s">
        <v>23</v>
      </c>
      <c r="F894" s="8" t="s">
        <v>96</v>
      </c>
      <c r="G894" s="8" t="s">
        <v>97</v>
      </c>
      <c r="H894" t="s">
        <v>9</v>
      </c>
      <c r="I894" s="4">
        <v>1500</v>
      </c>
      <c r="J894" s="8">
        <v>11</v>
      </c>
      <c r="K894" s="4">
        <v>16500</v>
      </c>
      <c r="L894" s="4">
        <v>6600</v>
      </c>
      <c r="M894" s="3">
        <v>0.4</v>
      </c>
    </row>
    <row r="895" spans="2:13" x14ac:dyDescent="0.3">
      <c r="B895" t="s">
        <v>62</v>
      </c>
      <c r="C895" s="1" t="s">
        <v>63</v>
      </c>
      <c r="D895" s="2">
        <v>45074</v>
      </c>
      <c r="E895" s="8" t="s">
        <v>23</v>
      </c>
      <c r="F895" s="8" t="s">
        <v>96</v>
      </c>
      <c r="G895" s="8" t="s">
        <v>97</v>
      </c>
      <c r="H895" t="s">
        <v>18</v>
      </c>
      <c r="I895" s="4">
        <v>4600</v>
      </c>
      <c r="J895" s="8">
        <v>9</v>
      </c>
      <c r="K895" s="4">
        <v>41400</v>
      </c>
      <c r="L895" s="4">
        <v>10350</v>
      </c>
      <c r="M895" s="3">
        <v>0.25</v>
      </c>
    </row>
    <row r="896" spans="2:13" x14ac:dyDescent="0.3">
      <c r="B896" t="s">
        <v>60</v>
      </c>
      <c r="C896" s="1" t="s">
        <v>63</v>
      </c>
      <c r="D896" s="2">
        <v>45081</v>
      </c>
      <c r="E896" s="8" t="s">
        <v>23</v>
      </c>
      <c r="F896" s="8" t="s">
        <v>96</v>
      </c>
      <c r="G896" s="8" t="s">
        <v>97</v>
      </c>
      <c r="H896" t="s">
        <v>10</v>
      </c>
      <c r="I896" s="4">
        <v>1700</v>
      </c>
      <c r="J896" s="8">
        <v>6</v>
      </c>
      <c r="K896" s="4">
        <v>10200</v>
      </c>
      <c r="L896" s="4">
        <v>5100</v>
      </c>
      <c r="M896" s="3">
        <v>0.5</v>
      </c>
    </row>
    <row r="897" spans="2:13" x14ac:dyDescent="0.3">
      <c r="B897" t="s">
        <v>60</v>
      </c>
      <c r="C897" s="1" t="s">
        <v>64</v>
      </c>
      <c r="D897" s="2">
        <v>45088</v>
      </c>
      <c r="E897" s="8" t="s">
        <v>23</v>
      </c>
      <c r="F897" s="8" t="s">
        <v>96</v>
      </c>
      <c r="G897" s="8" t="s">
        <v>97</v>
      </c>
      <c r="H897" t="s">
        <v>12</v>
      </c>
      <c r="I897" s="4">
        <v>500</v>
      </c>
      <c r="J897" s="8">
        <v>7</v>
      </c>
      <c r="K897" s="4">
        <v>3500</v>
      </c>
      <c r="L897" s="4">
        <v>875</v>
      </c>
      <c r="M897" s="3">
        <v>0.25</v>
      </c>
    </row>
    <row r="898" spans="2:13" x14ac:dyDescent="0.3">
      <c r="B898" t="s">
        <v>65</v>
      </c>
      <c r="C898" s="1" t="s">
        <v>63</v>
      </c>
      <c r="D898" s="2">
        <v>45095</v>
      </c>
      <c r="E898" s="8" t="s">
        <v>23</v>
      </c>
      <c r="F898" s="8" t="s">
        <v>96</v>
      </c>
      <c r="G898" s="8" t="s">
        <v>97</v>
      </c>
      <c r="H898" t="s">
        <v>11</v>
      </c>
      <c r="I898" s="4">
        <v>300</v>
      </c>
      <c r="J898" s="8">
        <v>12</v>
      </c>
      <c r="K898" s="4">
        <v>3600</v>
      </c>
      <c r="L898" s="4">
        <v>540</v>
      </c>
      <c r="M898" s="3">
        <v>0.15</v>
      </c>
    </row>
    <row r="899" spans="2:13" x14ac:dyDescent="0.3">
      <c r="B899" t="s">
        <v>65</v>
      </c>
      <c r="C899" s="1" t="s">
        <v>63</v>
      </c>
      <c r="D899" s="2">
        <v>45102</v>
      </c>
      <c r="E899" s="8" t="s">
        <v>23</v>
      </c>
      <c r="F899" s="8" t="s">
        <v>96</v>
      </c>
      <c r="G899" s="8" t="s">
        <v>97</v>
      </c>
      <c r="H899" t="s">
        <v>13</v>
      </c>
      <c r="I899" s="4">
        <v>3200</v>
      </c>
      <c r="J899" s="8">
        <v>15</v>
      </c>
      <c r="K899" s="4">
        <v>48000</v>
      </c>
      <c r="L899" s="4">
        <v>9600</v>
      </c>
      <c r="M899" s="3">
        <v>0.2</v>
      </c>
    </row>
    <row r="900" spans="2:13" x14ac:dyDescent="0.3">
      <c r="B900" t="s">
        <v>60</v>
      </c>
      <c r="C900" s="1" t="s">
        <v>64</v>
      </c>
      <c r="D900" s="2">
        <v>45109</v>
      </c>
      <c r="E900" s="8" t="s">
        <v>23</v>
      </c>
      <c r="F900" s="8" t="s">
        <v>96</v>
      </c>
      <c r="G900" s="8" t="s">
        <v>97</v>
      </c>
      <c r="H900" t="s">
        <v>12</v>
      </c>
      <c r="I900" s="4">
        <v>500</v>
      </c>
      <c r="J900" s="8">
        <v>12</v>
      </c>
      <c r="K900" s="4">
        <v>6000</v>
      </c>
      <c r="L900" s="4">
        <v>1500</v>
      </c>
      <c r="M900" s="3">
        <v>0.25</v>
      </c>
    </row>
    <row r="901" spans="2:13" x14ac:dyDescent="0.3">
      <c r="B901" t="s">
        <v>60</v>
      </c>
      <c r="C901" s="1" t="s">
        <v>63</v>
      </c>
      <c r="D901" s="2">
        <v>45116</v>
      </c>
      <c r="E901" s="8" t="s">
        <v>23</v>
      </c>
      <c r="F901" s="8" t="s">
        <v>96</v>
      </c>
      <c r="G901" s="8" t="s">
        <v>97</v>
      </c>
      <c r="H901" t="s">
        <v>8</v>
      </c>
      <c r="I901" s="4">
        <v>1200</v>
      </c>
      <c r="J901" s="8">
        <v>7</v>
      </c>
      <c r="K901" s="4">
        <v>8400</v>
      </c>
      <c r="L901" s="4">
        <v>2520</v>
      </c>
      <c r="M901" s="3">
        <v>0.3</v>
      </c>
    </row>
    <row r="902" spans="2:13" x14ac:dyDescent="0.3">
      <c r="B902" t="s">
        <v>61</v>
      </c>
      <c r="C902" s="1" t="s">
        <v>63</v>
      </c>
      <c r="D902" s="2">
        <v>45123</v>
      </c>
      <c r="E902" s="8" t="s">
        <v>23</v>
      </c>
      <c r="F902" s="8" t="s">
        <v>96</v>
      </c>
      <c r="G902" s="8" t="s">
        <v>97</v>
      </c>
      <c r="H902" t="s">
        <v>10</v>
      </c>
      <c r="I902" s="4">
        <v>1700</v>
      </c>
      <c r="J902" s="8">
        <v>2</v>
      </c>
      <c r="K902" s="4">
        <v>3400</v>
      </c>
      <c r="L902" s="4">
        <v>1700</v>
      </c>
      <c r="M902" s="3">
        <v>0.5</v>
      </c>
    </row>
    <row r="903" spans="2:13" x14ac:dyDescent="0.3">
      <c r="B903" t="s">
        <v>65</v>
      </c>
      <c r="C903" s="1" t="s">
        <v>63</v>
      </c>
      <c r="D903" s="2">
        <v>45130</v>
      </c>
      <c r="E903" s="8" t="s">
        <v>23</v>
      </c>
      <c r="F903" s="8" t="s">
        <v>96</v>
      </c>
      <c r="G903" s="8" t="s">
        <v>97</v>
      </c>
      <c r="H903" t="s">
        <v>16</v>
      </c>
      <c r="I903" s="4">
        <v>3400</v>
      </c>
      <c r="J903" s="8">
        <v>12</v>
      </c>
      <c r="K903" s="4">
        <v>40800</v>
      </c>
      <c r="L903" s="4">
        <v>14280</v>
      </c>
      <c r="M903" s="3">
        <v>0.35</v>
      </c>
    </row>
    <row r="904" spans="2:13" x14ac:dyDescent="0.3">
      <c r="B904" t="s">
        <v>65</v>
      </c>
      <c r="C904" s="1" t="s">
        <v>63</v>
      </c>
      <c r="D904" s="2">
        <v>45137</v>
      </c>
      <c r="E904" s="8" t="s">
        <v>23</v>
      </c>
      <c r="F904" s="8" t="s">
        <v>96</v>
      </c>
      <c r="G904" s="8" t="s">
        <v>97</v>
      </c>
      <c r="H904" t="s">
        <v>13</v>
      </c>
      <c r="I904" s="4">
        <v>3200</v>
      </c>
      <c r="J904" s="8">
        <v>3</v>
      </c>
      <c r="K904" s="4">
        <v>9600</v>
      </c>
      <c r="L904" s="4">
        <v>1920</v>
      </c>
      <c r="M904" s="3">
        <v>0.2</v>
      </c>
    </row>
    <row r="905" spans="2:13" x14ac:dyDescent="0.3">
      <c r="B905" t="s">
        <v>61</v>
      </c>
      <c r="C905" s="1" t="s">
        <v>63</v>
      </c>
      <c r="D905" s="2">
        <v>45139</v>
      </c>
      <c r="E905" s="8" t="s">
        <v>23</v>
      </c>
      <c r="F905" s="8" t="s">
        <v>96</v>
      </c>
      <c r="G905" s="8" t="s">
        <v>97</v>
      </c>
      <c r="H905" t="s">
        <v>16</v>
      </c>
      <c r="I905" s="4">
        <v>3400</v>
      </c>
      <c r="J905" s="8">
        <v>1</v>
      </c>
      <c r="K905" s="4">
        <v>3400</v>
      </c>
      <c r="L905" s="4">
        <v>1190</v>
      </c>
      <c r="M905" s="3">
        <v>0.35</v>
      </c>
    </row>
    <row r="906" spans="2:13" x14ac:dyDescent="0.3">
      <c r="B906" t="s">
        <v>60</v>
      </c>
      <c r="C906" s="1" t="s">
        <v>63</v>
      </c>
      <c r="D906" s="2">
        <v>45144</v>
      </c>
      <c r="E906" s="8" t="s">
        <v>23</v>
      </c>
      <c r="F906" s="8" t="s">
        <v>96</v>
      </c>
      <c r="G906" s="8" t="s">
        <v>97</v>
      </c>
      <c r="H906" t="s">
        <v>10</v>
      </c>
      <c r="I906" s="4">
        <v>1700</v>
      </c>
      <c r="J906" s="8">
        <v>4</v>
      </c>
      <c r="K906" s="4">
        <v>6800</v>
      </c>
      <c r="L906" s="4">
        <v>3400</v>
      </c>
      <c r="M906" s="3">
        <v>0.5</v>
      </c>
    </row>
    <row r="907" spans="2:13" x14ac:dyDescent="0.3">
      <c r="B907" t="s">
        <v>65</v>
      </c>
      <c r="C907" s="1" t="s">
        <v>63</v>
      </c>
      <c r="D907" s="2">
        <v>45146</v>
      </c>
      <c r="E907" s="8" t="s">
        <v>23</v>
      </c>
      <c r="F907" s="8" t="s">
        <v>96</v>
      </c>
      <c r="G907" s="8" t="s">
        <v>97</v>
      </c>
      <c r="H907" t="s">
        <v>18</v>
      </c>
      <c r="I907" s="4">
        <v>4600</v>
      </c>
      <c r="J907" s="8">
        <v>6</v>
      </c>
      <c r="K907" s="4">
        <v>27600</v>
      </c>
      <c r="L907" s="4">
        <v>6900</v>
      </c>
      <c r="M907" s="3">
        <v>0.25</v>
      </c>
    </row>
    <row r="908" spans="2:13" x14ac:dyDescent="0.3">
      <c r="B908" t="s">
        <v>60</v>
      </c>
      <c r="C908" s="1" t="s">
        <v>63</v>
      </c>
      <c r="D908" s="2">
        <v>45151</v>
      </c>
      <c r="E908" s="8" t="s">
        <v>23</v>
      </c>
      <c r="F908" s="8" t="s">
        <v>96</v>
      </c>
      <c r="G908" s="8" t="s">
        <v>97</v>
      </c>
      <c r="H908" t="s">
        <v>10</v>
      </c>
      <c r="I908" s="4">
        <v>1700</v>
      </c>
      <c r="J908" s="8">
        <v>7</v>
      </c>
      <c r="K908" s="4">
        <v>11900</v>
      </c>
      <c r="L908" s="4">
        <v>5950</v>
      </c>
      <c r="M908" s="3">
        <v>0.5</v>
      </c>
    </row>
    <row r="909" spans="2:13" x14ac:dyDescent="0.3">
      <c r="B909" t="s">
        <v>60</v>
      </c>
      <c r="C909" s="1" t="s">
        <v>63</v>
      </c>
      <c r="D909" s="2">
        <v>45153</v>
      </c>
      <c r="E909" s="8" t="s">
        <v>23</v>
      </c>
      <c r="F909" s="8" t="s">
        <v>96</v>
      </c>
      <c r="G909" s="8" t="s">
        <v>97</v>
      </c>
      <c r="H909" t="s">
        <v>14</v>
      </c>
      <c r="I909" s="4">
        <v>4500</v>
      </c>
      <c r="J909" s="8">
        <v>5</v>
      </c>
      <c r="K909" s="4">
        <v>22500</v>
      </c>
      <c r="L909" s="4">
        <v>5625</v>
      </c>
      <c r="M909" s="3">
        <v>0.25</v>
      </c>
    </row>
    <row r="910" spans="2:13" x14ac:dyDescent="0.3">
      <c r="B910" t="s">
        <v>60</v>
      </c>
      <c r="C910" s="1" t="s">
        <v>64</v>
      </c>
      <c r="D910" s="2">
        <v>45158</v>
      </c>
      <c r="E910" s="8" t="s">
        <v>23</v>
      </c>
      <c r="F910" s="8" t="s">
        <v>96</v>
      </c>
      <c r="G910" s="8" t="s">
        <v>97</v>
      </c>
      <c r="H910" t="s">
        <v>8</v>
      </c>
      <c r="I910" s="4">
        <v>1200</v>
      </c>
      <c r="J910" s="8">
        <v>5</v>
      </c>
      <c r="K910" s="4">
        <v>6000</v>
      </c>
      <c r="L910" s="4">
        <v>1800</v>
      </c>
      <c r="M910" s="3">
        <v>0.3</v>
      </c>
    </row>
    <row r="911" spans="2:13" x14ac:dyDescent="0.3">
      <c r="B911" t="s">
        <v>65</v>
      </c>
      <c r="C911" s="1" t="s">
        <v>64</v>
      </c>
      <c r="D911" s="2">
        <v>45160</v>
      </c>
      <c r="E911" s="8" t="s">
        <v>23</v>
      </c>
      <c r="F911" s="8" t="s">
        <v>96</v>
      </c>
      <c r="G911" s="8" t="s">
        <v>97</v>
      </c>
      <c r="H911" t="s">
        <v>20</v>
      </c>
      <c r="I911" s="4">
        <v>8902</v>
      </c>
      <c r="J911" s="8">
        <v>19</v>
      </c>
      <c r="K911" s="4">
        <v>169138</v>
      </c>
      <c r="L911" s="4">
        <v>59198.299999999996</v>
      </c>
      <c r="M911" s="3">
        <v>0.35</v>
      </c>
    </row>
    <row r="912" spans="2:13" x14ac:dyDescent="0.3">
      <c r="B912" t="s">
        <v>60</v>
      </c>
      <c r="C912" s="1" t="s">
        <v>64</v>
      </c>
      <c r="D912" s="2">
        <v>45165</v>
      </c>
      <c r="E912" s="8" t="s">
        <v>23</v>
      </c>
      <c r="F912" s="8" t="s">
        <v>96</v>
      </c>
      <c r="G912" s="8" t="s">
        <v>97</v>
      </c>
      <c r="H912" t="s">
        <v>11</v>
      </c>
      <c r="I912" s="4">
        <v>300</v>
      </c>
      <c r="J912" s="8">
        <v>1</v>
      </c>
      <c r="K912" s="4">
        <v>300</v>
      </c>
      <c r="L912" s="4">
        <v>45</v>
      </c>
      <c r="M912" s="3">
        <v>0.15</v>
      </c>
    </row>
    <row r="913" spans="2:13" x14ac:dyDescent="0.3">
      <c r="B913" t="s">
        <v>60</v>
      </c>
      <c r="C913" s="1" t="s">
        <v>63</v>
      </c>
      <c r="D913" s="2">
        <v>45165</v>
      </c>
      <c r="E913" s="8" t="s">
        <v>23</v>
      </c>
      <c r="F913" s="8" t="s">
        <v>96</v>
      </c>
      <c r="G913" s="8" t="s">
        <v>97</v>
      </c>
      <c r="H913" t="s">
        <v>11</v>
      </c>
      <c r="I913" s="4">
        <v>300</v>
      </c>
      <c r="J913" s="8">
        <v>7</v>
      </c>
      <c r="K913" s="4">
        <v>2100</v>
      </c>
      <c r="L913" s="4">
        <v>315</v>
      </c>
      <c r="M913" s="3">
        <v>0.15</v>
      </c>
    </row>
    <row r="914" spans="2:13" x14ac:dyDescent="0.3">
      <c r="B914" t="s">
        <v>60</v>
      </c>
      <c r="C914" s="1" t="s">
        <v>63</v>
      </c>
      <c r="D914" s="2">
        <v>45165</v>
      </c>
      <c r="E914" s="8" t="s">
        <v>23</v>
      </c>
      <c r="F914" s="8" t="s">
        <v>96</v>
      </c>
      <c r="G914" s="8" t="s">
        <v>97</v>
      </c>
      <c r="H914" t="s">
        <v>8</v>
      </c>
      <c r="I914" s="4">
        <v>1200</v>
      </c>
      <c r="J914" s="8">
        <v>18</v>
      </c>
      <c r="K914" s="4">
        <v>21600</v>
      </c>
      <c r="L914" s="4">
        <v>6480</v>
      </c>
      <c r="M914" s="3">
        <v>0.3</v>
      </c>
    </row>
    <row r="915" spans="2:13" x14ac:dyDescent="0.3">
      <c r="B915" t="s">
        <v>65</v>
      </c>
      <c r="C915" s="1" t="s">
        <v>64</v>
      </c>
      <c r="D915" s="2">
        <v>45165</v>
      </c>
      <c r="E915" s="8" t="s">
        <v>23</v>
      </c>
      <c r="F915" s="8" t="s">
        <v>96</v>
      </c>
      <c r="G915" s="8" t="s">
        <v>97</v>
      </c>
      <c r="H915" t="s">
        <v>13</v>
      </c>
      <c r="I915" s="4">
        <v>3200</v>
      </c>
      <c r="J915" s="8">
        <v>7</v>
      </c>
      <c r="K915" s="4">
        <v>22400</v>
      </c>
      <c r="L915" s="4">
        <v>4480</v>
      </c>
      <c r="M915" s="3">
        <v>0.2</v>
      </c>
    </row>
    <row r="916" spans="2:13" x14ac:dyDescent="0.3">
      <c r="B916" t="s">
        <v>65</v>
      </c>
      <c r="C916" s="1" t="s">
        <v>63</v>
      </c>
      <c r="D916" s="2">
        <v>45165</v>
      </c>
      <c r="E916" s="8" t="s">
        <v>23</v>
      </c>
      <c r="F916" s="8" t="s">
        <v>96</v>
      </c>
      <c r="G916" s="8" t="s">
        <v>97</v>
      </c>
      <c r="H916" t="s">
        <v>16</v>
      </c>
      <c r="I916" s="4">
        <v>3400</v>
      </c>
      <c r="J916" s="8">
        <v>7</v>
      </c>
      <c r="K916" s="4">
        <v>23800</v>
      </c>
      <c r="L916" s="4">
        <v>8330</v>
      </c>
      <c r="M916" s="3">
        <v>0.35</v>
      </c>
    </row>
    <row r="917" spans="2:13" x14ac:dyDescent="0.3">
      <c r="B917" t="s">
        <v>66</v>
      </c>
      <c r="C917" s="1" t="s">
        <v>63</v>
      </c>
      <c r="D917" s="2">
        <v>45165</v>
      </c>
      <c r="E917" s="8" t="s">
        <v>23</v>
      </c>
      <c r="F917" s="8" t="s">
        <v>96</v>
      </c>
      <c r="G917" s="8" t="s">
        <v>97</v>
      </c>
      <c r="H917" t="s">
        <v>17</v>
      </c>
      <c r="I917" s="4">
        <v>5130</v>
      </c>
      <c r="J917" s="8">
        <v>15</v>
      </c>
      <c r="K917" s="4">
        <v>76950</v>
      </c>
      <c r="L917" s="4">
        <v>30780</v>
      </c>
      <c r="M917" s="3">
        <v>0.4</v>
      </c>
    </row>
    <row r="918" spans="2:13" x14ac:dyDescent="0.3">
      <c r="B918" t="s">
        <v>66</v>
      </c>
      <c r="C918" s="1" t="s">
        <v>63</v>
      </c>
      <c r="D918" s="2">
        <v>44562</v>
      </c>
      <c r="E918" s="8" t="s">
        <v>23</v>
      </c>
      <c r="F918" s="8" t="s">
        <v>96</v>
      </c>
      <c r="G918" s="8" t="s">
        <v>97</v>
      </c>
      <c r="H918" t="s">
        <v>20</v>
      </c>
      <c r="I918" s="4">
        <v>8902</v>
      </c>
      <c r="J918" s="8">
        <v>5</v>
      </c>
      <c r="K918" s="4">
        <v>44510</v>
      </c>
      <c r="L918" s="4">
        <v>15578.499999999998</v>
      </c>
      <c r="M918" s="3">
        <v>0.35</v>
      </c>
    </row>
    <row r="919" spans="2:13" x14ac:dyDescent="0.3">
      <c r="B919" t="s">
        <v>62</v>
      </c>
      <c r="C919" s="1" t="s">
        <v>63</v>
      </c>
      <c r="D919" s="2">
        <v>44577</v>
      </c>
      <c r="E919" s="8" t="s">
        <v>23</v>
      </c>
      <c r="F919" s="8" t="s">
        <v>96</v>
      </c>
      <c r="G919" s="8" t="s">
        <v>97</v>
      </c>
      <c r="H919" t="s">
        <v>17</v>
      </c>
      <c r="I919" s="4">
        <v>5130</v>
      </c>
      <c r="J919" s="8">
        <v>4</v>
      </c>
      <c r="K919" s="4">
        <v>20520</v>
      </c>
      <c r="L919" s="4">
        <v>8208</v>
      </c>
      <c r="M919" s="3">
        <v>0.4</v>
      </c>
    </row>
    <row r="920" spans="2:13" x14ac:dyDescent="0.3">
      <c r="B920" t="s">
        <v>60</v>
      </c>
      <c r="C920" s="1" t="s">
        <v>64</v>
      </c>
      <c r="D920" s="2">
        <v>44584</v>
      </c>
      <c r="E920" s="8" t="s">
        <v>23</v>
      </c>
      <c r="F920" s="8" t="s">
        <v>96</v>
      </c>
      <c r="G920" s="8" t="s">
        <v>97</v>
      </c>
      <c r="H920" t="s">
        <v>10</v>
      </c>
      <c r="I920" s="4">
        <v>1700</v>
      </c>
      <c r="J920" s="8">
        <v>5</v>
      </c>
      <c r="K920" s="4">
        <v>8500</v>
      </c>
      <c r="L920" s="4">
        <v>4250</v>
      </c>
      <c r="M920" s="3">
        <v>0.5</v>
      </c>
    </row>
    <row r="921" spans="2:13" x14ac:dyDescent="0.3">
      <c r="B921" t="s">
        <v>60</v>
      </c>
      <c r="C921" s="1" t="s">
        <v>63</v>
      </c>
      <c r="D921" s="2">
        <v>44591</v>
      </c>
      <c r="E921" s="8" t="s">
        <v>23</v>
      </c>
      <c r="F921" s="8" t="s">
        <v>96</v>
      </c>
      <c r="G921" s="8" t="s">
        <v>97</v>
      </c>
      <c r="H921" t="s">
        <v>9</v>
      </c>
      <c r="I921" s="4">
        <v>1500</v>
      </c>
      <c r="J921" s="8">
        <v>3</v>
      </c>
      <c r="K921" s="4">
        <v>4500</v>
      </c>
      <c r="L921" s="4">
        <v>1800</v>
      </c>
      <c r="M921" s="3">
        <v>0.4</v>
      </c>
    </row>
    <row r="922" spans="2:13" x14ac:dyDescent="0.3">
      <c r="B922" t="s">
        <v>65</v>
      </c>
      <c r="C922" s="1" t="s">
        <v>63</v>
      </c>
      <c r="D922" s="2">
        <v>44562</v>
      </c>
      <c r="E922" s="8" t="s">
        <v>27</v>
      </c>
      <c r="F922" s="8" t="s">
        <v>53</v>
      </c>
      <c r="G922" s="8" t="s">
        <v>59</v>
      </c>
      <c r="H922" t="s">
        <v>17</v>
      </c>
      <c r="I922" s="4">
        <v>5130</v>
      </c>
      <c r="J922" s="8">
        <v>6</v>
      </c>
      <c r="K922" s="4">
        <f t="shared" ref="K922:K953" si="20">I922*J922</f>
        <v>30780</v>
      </c>
      <c r="L922" s="4">
        <f t="shared" ref="L922:L953" si="21">K922*M922</f>
        <v>12312</v>
      </c>
      <c r="M922" s="3">
        <v>0.4</v>
      </c>
    </row>
    <row r="923" spans="2:13" x14ac:dyDescent="0.3">
      <c r="B923" t="s">
        <v>65</v>
      </c>
      <c r="C923" s="1" t="s">
        <v>64</v>
      </c>
      <c r="D923" s="2">
        <v>44592</v>
      </c>
      <c r="E923" s="8" t="s">
        <v>27</v>
      </c>
      <c r="F923" s="8" t="s">
        <v>53</v>
      </c>
      <c r="G923" s="8" t="s">
        <v>59</v>
      </c>
      <c r="H923" t="s">
        <v>9</v>
      </c>
      <c r="I923" s="4">
        <v>1500</v>
      </c>
      <c r="J923" s="8">
        <v>6</v>
      </c>
      <c r="K923" s="4">
        <f t="shared" si="20"/>
        <v>9000</v>
      </c>
      <c r="L923" s="4">
        <f t="shared" si="21"/>
        <v>3600</v>
      </c>
      <c r="M923" s="3">
        <v>0.4</v>
      </c>
    </row>
    <row r="924" spans="2:13" x14ac:dyDescent="0.3">
      <c r="B924" t="s">
        <v>65</v>
      </c>
      <c r="C924" s="1" t="s">
        <v>64</v>
      </c>
      <c r="D924" s="2">
        <v>44622</v>
      </c>
      <c r="E924" s="8" t="s">
        <v>27</v>
      </c>
      <c r="F924" s="8" t="s">
        <v>53</v>
      </c>
      <c r="G924" s="8" t="s">
        <v>59</v>
      </c>
      <c r="H924" t="s">
        <v>16</v>
      </c>
      <c r="I924" s="4">
        <v>3400</v>
      </c>
      <c r="J924" s="8">
        <v>8</v>
      </c>
      <c r="K924" s="4">
        <f t="shared" si="20"/>
        <v>27200</v>
      </c>
      <c r="L924" s="4">
        <f t="shared" si="21"/>
        <v>9520</v>
      </c>
      <c r="M924" s="3">
        <v>0.35</v>
      </c>
    </row>
    <row r="925" spans="2:13" x14ac:dyDescent="0.3">
      <c r="B925" t="s">
        <v>62</v>
      </c>
      <c r="C925" s="1" t="s">
        <v>63</v>
      </c>
      <c r="D925" s="2">
        <v>44652</v>
      </c>
      <c r="E925" s="8" t="s">
        <v>27</v>
      </c>
      <c r="F925" s="8" t="s">
        <v>53</v>
      </c>
      <c r="G925" s="8" t="s">
        <v>59</v>
      </c>
      <c r="H925" t="s">
        <v>11</v>
      </c>
      <c r="I925" s="4">
        <v>300</v>
      </c>
      <c r="J925" s="8">
        <v>3</v>
      </c>
      <c r="K925" s="4">
        <f t="shared" si="20"/>
        <v>900</v>
      </c>
      <c r="L925" s="4">
        <f t="shared" si="21"/>
        <v>135</v>
      </c>
      <c r="M925" s="3">
        <v>0.15</v>
      </c>
    </row>
    <row r="926" spans="2:13" x14ac:dyDescent="0.3">
      <c r="B926" t="s">
        <v>66</v>
      </c>
      <c r="C926" s="1" t="s">
        <v>63</v>
      </c>
      <c r="D926" s="2">
        <v>44682</v>
      </c>
      <c r="E926" s="8" t="s">
        <v>27</v>
      </c>
      <c r="F926" s="8" t="s">
        <v>53</v>
      </c>
      <c r="G926" s="8" t="s">
        <v>59</v>
      </c>
      <c r="H926" t="s">
        <v>10</v>
      </c>
      <c r="I926" s="4">
        <v>1700</v>
      </c>
      <c r="J926" s="8">
        <v>12</v>
      </c>
      <c r="K926" s="4">
        <f t="shared" si="20"/>
        <v>20400</v>
      </c>
      <c r="L926" s="4">
        <f t="shared" si="21"/>
        <v>10200</v>
      </c>
      <c r="M926" s="3">
        <v>0.5</v>
      </c>
    </row>
    <row r="927" spans="2:13" x14ac:dyDescent="0.3">
      <c r="B927" t="s">
        <v>66</v>
      </c>
      <c r="C927" s="1" t="s">
        <v>63</v>
      </c>
      <c r="D927" s="2">
        <v>44712</v>
      </c>
      <c r="E927" s="8" t="s">
        <v>27</v>
      </c>
      <c r="F927" s="8" t="s">
        <v>53</v>
      </c>
      <c r="G927" s="8" t="s">
        <v>59</v>
      </c>
      <c r="H927" t="s">
        <v>10</v>
      </c>
      <c r="I927" s="4">
        <v>1700</v>
      </c>
      <c r="J927" s="8">
        <v>11</v>
      </c>
      <c r="K927" s="4">
        <f t="shared" si="20"/>
        <v>18700</v>
      </c>
      <c r="L927" s="4">
        <f t="shared" si="21"/>
        <v>9350</v>
      </c>
      <c r="M927" s="3">
        <v>0.5</v>
      </c>
    </row>
    <row r="928" spans="2:13" x14ac:dyDescent="0.3">
      <c r="B928" t="s">
        <v>65</v>
      </c>
      <c r="C928" s="1" t="s">
        <v>64</v>
      </c>
      <c r="D928" s="2">
        <v>44742</v>
      </c>
      <c r="E928" s="8" t="s">
        <v>27</v>
      </c>
      <c r="F928" s="8" t="s">
        <v>53</v>
      </c>
      <c r="G928" s="8" t="s">
        <v>59</v>
      </c>
      <c r="H928" t="s">
        <v>15</v>
      </c>
      <c r="I928" s="4">
        <v>5300</v>
      </c>
      <c r="J928" s="8">
        <v>9</v>
      </c>
      <c r="K928" s="4">
        <f t="shared" si="20"/>
        <v>47700</v>
      </c>
      <c r="L928" s="4">
        <f t="shared" si="21"/>
        <v>14310</v>
      </c>
      <c r="M928" s="3">
        <v>0.3</v>
      </c>
    </row>
    <row r="929" spans="2:13" x14ac:dyDescent="0.3">
      <c r="B929" t="s">
        <v>66</v>
      </c>
      <c r="C929" s="1" t="s">
        <v>63</v>
      </c>
      <c r="D929" s="2">
        <v>44772</v>
      </c>
      <c r="E929" s="8" t="s">
        <v>27</v>
      </c>
      <c r="F929" s="8" t="s">
        <v>53</v>
      </c>
      <c r="G929" s="8" t="s">
        <v>59</v>
      </c>
      <c r="H929" t="s">
        <v>9</v>
      </c>
      <c r="I929" s="4">
        <v>1500</v>
      </c>
      <c r="J929" s="8">
        <v>5</v>
      </c>
      <c r="K929" s="4">
        <f t="shared" si="20"/>
        <v>7500</v>
      </c>
      <c r="L929" s="4">
        <f t="shared" si="21"/>
        <v>3000</v>
      </c>
      <c r="M929" s="3">
        <v>0.4</v>
      </c>
    </row>
    <row r="930" spans="2:13" x14ac:dyDescent="0.3">
      <c r="B930" t="s">
        <v>66</v>
      </c>
      <c r="C930" s="1" t="s">
        <v>63</v>
      </c>
      <c r="D930" s="2">
        <v>44562</v>
      </c>
      <c r="E930" s="8" t="s">
        <v>27</v>
      </c>
      <c r="F930" s="8" t="s">
        <v>73</v>
      </c>
      <c r="G930" s="8" t="s">
        <v>98</v>
      </c>
      <c r="H930" t="s">
        <v>20</v>
      </c>
      <c r="I930" s="4">
        <v>8902</v>
      </c>
      <c r="J930" s="8">
        <v>5</v>
      </c>
      <c r="K930" s="4">
        <f t="shared" si="20"/>
        <v>44510</v>
      </c>
      <c r="L930" s="4">
        <f t="shared" si="21"/>
        <v>15578.499999999998</v>
      </c>
      <c r="M930" s="3">
        <v>0.35</v>
      </c>
    </row>
    <row r="931" spans="2:13" x14ac:dyDescent="0.3">
      <c r="B931" t="s">
        <v>62</v>
      </c>
      <c r="C931" s="1" t="s">
        <v>63</v>
      </c>
      <c r="D931" s="2">
        <v>44577</v>
      </c>
      <c r="E931" s="8" t="s">
        <v>27</v>
      </c>
      <c r="F931" s="8" t="s">
        <v>73</v>
      </c>
      <c r="G931" s="8" t="s">
        <v>98</v>
      </c>
      <c r="H931" t="s">
        <v>17</v>
      </c>
      <c r="I931" s="4">
        <v>5130</v>
      </c>
      <c r="J931" s="8">
        <v>4</v>
      </c>
      <c r="K931" s="4">
        <f t="shared" si="20"/>
        <v>20520</v>
      </c>
      <c r="L931" s="4">
        <f t="shared" si="21"/>
        <v>8208</v>
      </c>
      <c r="M931" s="3">
        <v>0.4</v>
      </c>
    </row>
    <row r="932" spans="2:13" x14ac:dyDescent="0.3">
      <c r="B932" t="s">
        <v>60</v>
      </c>
      <c r="C932" s="1" t="s">
        <v>64</v>
      </c>
      <c r="D932" s="2">
        <v>44584</v>
      </c>
      <c r="E932" s="8" t="s">
        <v>27</v>
      </c>
      <c r="F932" s="8" t="s">
        <v>73</v>
      </c>
      <c r="G932" s="8" t="s">
        <v>98</v>
      </c>
      <c r="H932" t="s">
        <v>10</v>
      </c>
      <c r="I932" s="4">
        <v>1700</v>
      </c>
      <c r="J932" s="8">
        <v>5</v>
      </c>
      <c r="K932" s="4">
        <f t="shared" si="20"/>
        <v>8500</v>
      </c>
      <c r="L932" s="4">
        <f t="shared" si="21"/>
        <v>4250</v>
      </c>
      <c r="M932" s="3">
        <v>0.5</v>
      </c>
    </row>
    <row r="933" spans="2:13" x14ac:dyDescent="0.3">
      <c r="B933" t="s">
        <v>60</v>
      </c>
      <c r="C933" s="1" t="s">
        <v>63</v>
      </c>
      <c r="D933" s="2">
        <v>44591</v>
      </c>
      <c r="E933" s="8" t="s">
        <v>27</v>
      </c>
      <c r="F933" s="8" t="s">
        <v>73</v>
      </c>
      <c r="G933" s="8" t="s">
        <v>98</v>
      </c>
      <c r="H933" t="s">
        <v>9</v>
      </c>
      <c r="I933" s="4">
        <v>1500</v>
      </c>
      <c r="J933" s="8">
        <v>3</v>
      </c>
      <c r="K933" s="4">
        <f t="shared" si="20"/>
        <v>4500</v>
      </c>
      <c r="L933" s="4">
        <f t="shared" si="21"/>
        <v>1800</v>
      </c>
      <c r="M933" s="3">
        <v>0.4</v>
      </c>
    </row>
    <row r="934" spans="2:13" x14ac:dyDescent="0.3">
      <c r="B934" t="s">
        <v>62</v>
      </c>
      <c r="C934" s="1" t="s">
        <v>63</v>
      </c>
      <c r="D934" s="2">
        <v>44598</v>
      </c>
      <c r="E934" s="8" t="s">
        <v>27</v>
      </c>
      <c r="F934" s="8" t="s">
        <v>73</v>
      </c>
      <c r="G934" s="8" t="s">
        <v>98</v>
      </c>
      <c r="H934" t="s">
        <v>16</v>
      </c>
      <c r="I934" s="4">
        <v>3400</v>
      </c>
      <c r="J934" s="8">
        <v>4</v>
      </c>
      <c r="K934" s="4">
        <f t="shared" si="20"/>
        <v>13600</v>
      </c>
      <c r="L934" s="4">
        <f t="shared" si="21"/>
        <v>4760</v>
      </c>
      <c r="M934" s="3">
        <v>0.35</v>
      </c>
    </row>
    <row r="935" spans="2:13" x14ac:dyDescent="0.3">
      <c r="B935" t="s">
        <v>65</v>
      </c>
      <c r="C935" s="1" t="s">
        <v>64</v>
      </c>
      <c r="D935" s="2">
        <v>44605</v>
      </c>
      <c r="E935" s="8" t="s">
        <v>27</v>
      </c>
      <c r="F935" s="8" t="s">
        <v>73</v>
      </c>
      <c r="G935" s="8" t="s">
        <v>98</v>
      </c>
      <c r="H935" t="s">
        <v>9</v>
      </c>
      <c r="I935" s="4">
        <v>1500</v>
      </c>
      <c r="J935" s="8">
        <v>11</v>
      </c>
      <c r="K935" s="4">
        <f t="shared" si="20"/>
        <v>16500</v>
      </c>
      <c r="L935" s="4">
        <f t="shared" si="21"/>
        <v>6600</v>
      </c>
      <c r="M935" s="3">
        <v>0.4</v>
      </c>
    </row>
    <row r="936" spans="2:13" x14ac:dyDescent="0.3">
      <c r="B936" t="s">
        <v>60</v>
      </c>
      <c r="C936" s="1" t="s">
        <v>64</v>
      </c>
      <c r="D936" s="2">
        <v>44612</v>
      </c>
      <c r="E936" s="8" t="s">
        <v>27</v>
      </c>
      <c r="F936" s="8" t="s">
        <v>73</v>
      </c>
      <c r="G936" s="8" t="s">
        <v>98</v>
      </c>
      <c r="H936" t="s">
        <v>13</v>
      </c>
      <c r="I936" s="4">
        <v>3200</v>
      </c>
      <c r="J936" s="8">
        <v>7</v>
      </c>
      <c r="K936" s="4">
        <f t="shared" si="20"/>
        <v>22400</v>
      </c>
      <c r="L936" s="4">
        <f t="shared" si="21"/>
        <v>4480</v>
      </c>
      <c r="M936" s="3">
        <v>0.2</v>
      </c>
    </row>
    <row r="937" spans="2:13" x14ac:dyDescent="0.3">
      <c r="B937" t="s">
        <v>65</v>
      </c>
      <c r="C937" s="1" t="s">
        <v>63</v>
      </c>
      <c r="D937" s="2">
        <v>44619</v>
      </c>
      <c r="E937" s="8" t="s">
        <v>27</v>
      </c>
      <c r="F937" s="8" t="s">
        <v>73</v>
      </c>
      <c r="G937" s="8" t="s">
        <v>98</v>
      </c>
      <c r="H937" t="s">
        <v>15</v>
      </c>
      <c r="I937" s="4">
        <v>5300</v>
      </c>
      <c r="J937" s="8">
        <v>12</v>
      </c>
      <c r="K937" s="4">
        <f t="shared" si="20"/>
        <v>63600</v>
      </c>
      <c r="L937" s="4">
        <f t="shared" si="21"/>
        <v>19080</v>
      </c>
      <c r="M937" s="3">
        <v>0.3</v>
      </c>
    </row>
    <row r="938" spans="2:13" x14ac:dyDescent="0.3">
      <c r="B938" t="s">
        <v>66</v>
      </c>
      <c r="C938" s="1" t="s">
        <v>64</v>
      </c>
      <c r="D938" s="2">
        <v>44626</v>
      </c>
      <c r="E938" s="8" t="s">
        <v>27</v>
      </c>
      <c r="F938" s="8" t="s">
        <v>73</v>
      </c>
      <c r="G938" s="8" t="s">
        <v>98</v>
      </c>
      <c r="H938" t="s">
        <v>13</v>
      </c>
      <c r="I938" s="4">
        <v>3200</v>
      </c>
      <c r="J938" s="8">
        <v>10</v>
      </c>
      <c r="K938" s="4">
        <f t="shared" si="20"/>
        <v>32000</v>
      </c>
      <c r="L938" s="4">
        <f t="shared" si="21"/>
        <v>6400</v>
      </c>
      <c r="M938" s="3">
        <v>0.2</v>
      </c>
    </row>
    <row r="939" spans="2:13" x14ac:dyDescent="0.3">
      <c r="B939" t="s">
        <v>65</v>
      </c>
      <c r="C939" s="1" t="s">
        <v>63</v>
      </c>
      <c r="D939" s="2">
        <v>44802</v>
      </c>
      <c r="E939" s="8" t="s">
        <v>27</v>
      </c>
      <c r="F939" s="8" t="s">
        <v>53</v>
      </c>
      <c r="G939" s="8" t="s">
        <v>59</v>
      </c>
      <c r="H939" t="s">
        <v>10</v>
      </c>
      <c r="I939" s="4">
        <v>1700</v>
      </c>
      <c r="J939" s="8">
        <v>5</v>
      </c>
      <c r="K939" s="4">
        <f t="shared" si="20"/>
        <v>8500</v>
      </c>
      <c r="L939" s="4">
        <f t="shared" si="21"/>
        <v>4250</v>
      </c>
      <c r="M939" s="3">
        <v>0.5</v>
      </c>
    </row>
    <row r="940" spans="2:13" x14ac:dyDescent="0.3">
      <c r="B940" t="s">
        <v>60</v>
      </c>
      <c r="C940" s="1" t="s">
        <v>64</v>
      </c>
      <c r="D940" s="2">
        <v>44633</v>
      </c>
      <c r="E940" s="8" t="s">
        <v>27</v>
      </c>
      <c r="F940" s="8" t="s">
        <v>73</v>
      </c>
      <c r="G940" s="8" t="s">
        <v>98</v>
      </c>
      <c r="H940" t="s">
        <v>18</v>
      </c>
      <c r="I940" s="4">
        <v>4600</v>
      </c>
      <c r="J940" s="8">
        <v>11</v>
      </c>
      <c r="K940" s="4">
        <f t="shared" si="20"/>
        <v>50600</v>
      </c>
      <c r="L940" s="4">
        <f t="shared" si="21"/>
        <v>12650</v>
      </c>
      <c r="M940" s="3">
        <v>0.25</v>
      </c>
    </row>
    <row r="941" spans="2:13" x14ac:dyDescent="0.3">
      <c r="B941" t="s">
        <v>65</v>
      </c>
      <c r="C941" s="1" t="s">
        <v>63</v>
      </c>
      <c r="D941" s="2">
        <v>44640</v>
      </c>
      <c r="E941" s="8" t="s">
        <v>27</v>
      </c>
      <c r="F941" s="8" t="s">
        <v>73</v>
      </c>
      <c r="G941" s="8" t="s">
        <v>98</v>
      </c>
      <c r="H941" t="s">
        <v>14</v>
      </c>
      <c r="I941" s="4">
        <v>4500</v>
      </c>
      <c r="J941" s="8">
        <v>6</v>
      </c>
      <c r="K941" s="4">
        <f t="shared" si="20"/>
        <v>27000</v>
      </c>
      <c r="L941" s="4">
        <f t="shared" si="21"/>
        <v>6750</v>
      </c>
      <c r="M941" s="3">
        <v>0.25</v>
      </c>
    </row>
    <row r="942" spans="2:13" x14ac:dyDescent="0.3">
      <c r="B942" t="s">
        <v>60</v>
      </c>
      <c r="C942" s="1" t="s">
        <v>64</v>
      </c>
      <c r="D942" s="2">
        <v>44647</v>
      </c>
      <c r="E942" s="8" t="s">
        <v>27</v>
      </c>
      <c r="F942" s="8" t="s">
        <v>73</v>
      </c>
      <c r="G942" s="8" t="s">
        <v>98</v>
      </c>
      <c r="H942" t="s">
        <v>14</v>
      </c>
      <c r="I942" s="4">
        <v>4500</v>
      </c>
      <c r="J942" s="8">
        <v>10</v>
      </c>
      <c r="K942" s="4">
        <f t="shared" si="20"/>
        <v>45000</v>
      </c>
      <c r="L942" s="4">
        <f t="shared" si="21"/>
        <v>11250</v>
      </c>
      <c r="M942" s="3">
        <v>0.25</v>
      </c>
    </row>
    <row r="943" spans="2:13" x14ac:dyDescent="0.3">
      <c r="B943" t="s">
        <v>62</v>
      </c>
      <c r="C943" s="1" t="s">
        <v>63</v>
      </c>
      <c r="D943" s="2">
        <v>44654</v>
      </c>
      <c r="E943" s="8" t="s">
        <v>27</v>
      </c>
      <c r="F943" s="8" t="s">
        <v>73</v>
      </c>
      <c r="G943" s="8" t="s">
        <v>98</v>
      </c>
      <c r="H943" t="s">
        <v>12</v>
      </c>
      <c r="I943" s="4">
        <v>500</v>
      </c>
      <c r="J943" s="8">
        <v>3</v>
      </c>
      <c r="K943" s="4">
        <f t="shared" si="20"/>
        <v>1500</v>
      </c>
      <c r="L943" s="4">
        <f t="shared" si="21"/>
        <v>375</v>
      </c>
      <c r="M943" s="3">
        <v>0.25</v>
      </c>
    </row>
    <row r="944" spans="2:13" x14ac:dyDescent="0.3">
      <c r="B944" t="s">
        <v>60</v>
      </c>
      <c r="C944" s="1" t="s">
        <v>63</v>
      </c>
      <c r="D944" s="2">
        <v>44661</v>
      </c>
      <c r="E944" s="8" t="s">
        <v>27</v>
      </c>
      <c r="F944" s="8" t="s">
        <v>73</v>
      </c>
      <c r="G944" s="8" t="s">
        <v>98</v>
      </c>
      <c r="H944" t="s">
        <v>13</v>
      </c>
      <c r="I944" s="4">
        <v>3200</v>
      </c>
      <c r="J944" s="8">
        <v>7</v>
      </c>
      <c r="K944" s="4">
        <f t="shared" si="20"/>
        <v>22400</v>
      </c>
      <c r="L944" s="4">
        <f t="shared" si="21"/>
        <v>4480</v>
      </c>
      <c r="M944" s="3">
        <v>0.2</v>
      </c>
    </row>
    <row r="945" spans="2:13" x14ac:dyDescent="0.3">
      <c r="B945" t="s">
        <v>62</v>
      </c>
      <c r="C945" s="1" t="s">
        <v>63</v>
      </c>
      <c r="D945" s="2">
        <v>44668</v>
      </c>
      <c r="E945" s="8" t="s">
        <v>27</v>
      </c>
      <c r="F945" s="8" t="s">
        <v>73</v>
      </c>
      <c r="G945" s="8" t="s">
        <v>98</v>
      </c>
      <c r="H945" t="s">
        <v>14</v>
      </c>
      <c r="I945" s="4">
        <v>4500</v>
      </c>
      <c r="J945" s="8">
        <v>8</v>
      </c>
      <c r="K945" s="4">
        <f t="shared" si="20"/>
        <v>36000</v>
      </c>
      <c r="L945" s="4">
        <f t="shared" si="21"/>
        <v>9000</v>
      </c>
      <c r="M945" s="3">
        <v>0.25</v>
      </c>
    </row>
    <row r="946" spans="2:13" x14ac:dyDescent="0.3">
      <c r="B946" t="s">
        <v>65</v>
      </c>
      <c r="C946" s="1" t="s">
        <v>63</v>
      </c>
      <c r="D946" s="2">
        <v>44675</v>
      </c>
      <c r="E946" s="8" t="s">
        <v>27</v>
      </c>
      <c r="F946" s="8" t="s">
        <v>73</v>
      </c>
      <c r="G946" s="8" t="s">
        <v>98</v>
      </c>
      <c r="H946" t="s">
        <v>19</v>
      </c>
      <c r="I946" s="4">
        <v>5340</v>
      </c>
      <c r="J946" s="8">
        <v>9</v>
      </c>
      <c r="K946" s="4">
        <f t="shared" si="20"/>
        <v>48060</v>
      </c>
      <c r="L946" s="4">
        <f t="shared" si="21"/>
        <v>14418</v>
      </c>
      <c r="M946" s="3">
        <v>0.3</v>
      </c>
    </row>
    <row r="947" spans="2:13" x14ac:dyDescent="0.3">
      <c r="B947" t="s">
        <v>60</v>
      </c>
      <c r="C947" s="1" t="s">
        <v>63</v>
      </c>
      <c r="D947" s="2">
        <v>44682</v>
      </c>
      <c r="E947" s="8" t="s">
        <v>27</v>
      </c>
      <c r="F947" s="8" t="s">
        <v>73</v>
      </c>
      <c r="G947" s="8" t="s">
        <v>98</v>
      </c>
      <c r="H947" t="s">
        <v>19</v>
      </c>
      <c r="I947" s="4">
        <v>5340</v>
      </c>
      <c r="J947" s="8">
        <v>11</v>
      </c>
      <c r="K947" s="4">
        <f t="shared" si="20"/>
        <v>58740</v>
      </c>
      <c r="L947" s="4">
        <f t="shared" si="21"/>
        <v>17622</v>
      </c>
      <c r="M947" s="3">
        <v>0.3</v>
      </c>
    </row>
    <row r="948" spans="2:13" x14ac:dyDescent="0.3">
      <c r="B948" t="s">
        <v>66</v>
      </c>
      <c r="C948" s="1" t="s">
        <v>64</v>
      </c>
      <c r="D948" s="2">
        <v>44689</v>
      </c>
      <c r="E948" s="8" t="s">
        <v>27</v>
      </c>
      <c r="F948" s="8" t="s">
        <v>73</v>
      </c>
      <c r="G948" s="8" t="s">
        <v>98</v>
      </c>
      <c r="H948" t="s">
        <v>9</v>
      </c>
      <c r="I948" s="4">
        <v>1500</v>
      </c>
      <c r="J948" s="8">
        <v>7</v>
      </c>
      <c r="K948" s="4">
        <f t="shared" si="20"/>
        <v>10500</v>
      </c>
      <c r="L948" s="4">
        <f t="shared" si="21"/>
        <v>4200</v>
      </c>
      <c r="M948" s="3">
        <v>0.4</v>
      </c>
    </row>
    <row r="949" spans="2:13" x14ac:dyDescent="0.3">
      <c r="B949" t="s">
        <v>62</v>
      </c>
      <c r="C949" s="1" t="s">
        <v>63</v>
      </c>
      <c r="D949" s="2">
        <v>44696</v>
      </c>
      <c r="E949" s="8" t="s">
        <v>27</v>
      </c>
      <c r="F949" s="8" t="s">
        <v>73</v>
      </c>
      <c r="G949" s="8" t="s">
        <v>98</v>
      </c>
      <c r="H949" t="s">
        <v>12</v>
      </c>
      <c r="I949" s="4">
        <v>500</v>
      </c>
      <c r="J949" s="8">
        <v>5</v>
      </c>
      <c r="K949" s="4">
        <f t="shared" si="20"/>
        <v>2500</v>
      </c>
      <c r="L949" s="4">
        <f t="shared" si="21"/>
        <v>625</v>
      </c>
      <c r="M949" s="3">
        <v>0.25</v>
      </c>
    </row>
    <row r="950" spans="2:13" x14ac:dyDescent="0.3">
      <c r="B950" t="s">
        <v>61</v>
      </c>
      <c r="C950" s="1" t="s">
        <v>63</v>
      </c>
      <c r="D950" s="2">
        <v>44703</v>
      </c>
      <c r="E950" s="8" t="s">
        <v>27</v>
      </c>
      <c r="F950" s="8" t="s">
        <v>73</v>
      </c>
      <c r="G950" s="8" t="s">
        <v>98</v>
      </c>
      <c r="H950" t="s">
        <v>19</v>
      </c>
      <c r="I950" s="4">
        <v>5340</v>
      </c>
      <c r="J950" s="8">
        <v>5</v>
      </c>
      <c r="K950" s="4">
        <f t="shared" si="20"/>
        <v>26700</v>
      </c>
      <c r="L950" s="4">
        <f t="shared" si="21"/>
        <v>8010</v>
      </c>
      <c r="M950" s="3">
        <v>0.3</v>
      </c>
    </row>
    <row r="951" spans="2:13" x14ac:dyDescent="0.3">
      <c r="B951" t="s">
        <v>60</v>
      </c>
      <c r="C951" s="1" t="s">
        <v>63</v>
      </c>
      <c r="D951" s="2">
        <v>44710</v>
      </c>
      <c r="E951" s="8" t="s">
        <v>27</v>
      </c>
      <c r="F951" s="8" t="s">
        <v>73</v>
      </c>
      <c r="G951" s="8" t="s">
        <v>98</v>
      </c>
      <c r="H951" t="s">
        <v>15</v>
      </c>
      <c r="I951" s="4">
        <v>5300</v>
      </c>
      <c r="J951" s="8">
        <v>8</v>
      </c>
      <c r="K951" s="4">
        <f t="shared" si="20"/>
        <v>42400</v>
      </c>
      <c r="L951" s="4">
        <f t="shared" si="21"/>
        <v>12720</v>
      </c>
      <c r="M951" s="3">
        <v>0.3</v>
      </c>
    </row>
    <row r="952" spans="2:13" x14ac:dyDescent="0.3">
      <c r="B952" t="s">
        <v>65</v>
      </c>
      <c r="C952" s="1" t="s">
        <v>63</v>
      </c>
      <c r="D952" s="2">
        <v>44832</v>
      </c>
      <c r="E952" s="8" t="s">
        <v>27</v>
      </c>
      <c r="F952" s="8" t="s">
        <v>53</v>
      </c>
      <c r="G952" s="8" t="s">
        <v>59</v>
      </c>
      <c r="H952" t="s">
        <v>18</v>
      </c>
      <c r="I952" s="4">
        <v>4600</v>
      </c>
      <c r="J952" s="8">
        <v>6</v>
      </c>
      <c r="K952" s="4">
        <f t="shared" si="20"/>
        <v>27600</v>
      </c>
      <c r="L952" s="4">
        <f t="shared" si="21"/>
        <v>6900</v>
      </c>
      <c r="M952" s="3">
        <v>0.25</v>
      </c>
    </row>
    <row r="953" spans="2:13" x14ac:dyDescent="0.3">
      <c r="B953" t="s">
        <v>66</v>
      </c>
      <c r="C953" s="1" t="s">
        <v>64</v>
      </c>
      <c r="D953" s="2">
        <v>44717</v>
      </c>
      <c r="E953" s="8" t="s">
        <v>27</v>
      </c>
      <c r="F953" s="8" t="s">
        <v>73</v>
      </c>
      <c r="G953" s="8" t="s">
        <v>98</v>
      </c>
      <c r="H953" t="s">
        <v>8</v>
      </c>
      <c r="I953" s="4">
        <v>1200</v>
      </c>
      <c r="J953" s="8">
        <v>7</v>
      </c>
      <c r="K953" s="4">
        <f t="shared" si="20"/>
        <v>8400</v>
      </c>
      <c r="L953" s="4">
        <f t="shared" si="21"/>
        <v>2520</v>
      </c>
      <c r="M953" s="3">
        <v>0.3</v>
      </c>
    </row>
    <row r="954" spans="2:13" x14ac:dyDescent="0.3">
      <c r="B954" t="s">
        <v>65</v>
      </c>
      <c r="C954" s="1" t="s">
        <v>63</v>
      </c>
      <c r="D954" s="2">
        <v>44724</v>
      </c>
      <c r="E954" s="8" t="s">
        <v>27</v>
      </c>
      <c r="F954" s="8" t="s">
        <v>73</v>
      </c>
      <c r="G954" s="8" t="s">
        <v>98</v>
      </c>
      <c r="H954" t="s">
        <v>20</v>
      </c>
      <c r="I954" s="4">
        <v>8902</v>
      </c>
      <c r="J954" s="8">
        <v>6</v>
      </c>
      <c r="K954" s="4">
        <f t="shared" ref="K954:K985" si="22">I954*J954</f>
        <v>53412</v>
      </c>
      <c r="L954" s="4">
        <f t="shared" ref="L954:L985" si="23">K954*M954</f>
        <v>18694.199999999997</v>
      </c>
      <c r="M954" s="3">
        <v>0.35</v>
      </c>
    </row>
    <row r="955" spans="2:13" x14ac:dyDescent="0.3">
      <c r="B955" t="s">
        <v>60</v>
      </c>
      <c r="C955" s="1" t="s">
        <v>63</v>
      </c>
      <c r="D955" s="2">
        <v>44731</v>
      </c>
      <c r="E955" s="8" t="s">
        <v>27</v>
      </c>
      <c r="F955" s="8" t="s">
        <v>73</v>
      </c>
      <c r="G955" s="8" t="s">
        <v>98</v>
      </c>
      <c r="H955" t="s">
        <v>15</v>
      </c>
      <c r="I955" s="4">
        <v>5300</v>
      </c>
      <c r="J955" s="8">
        <v>9</v>
      </c>
      <c r="K955" s="4">
        <f t="shared" si="22"/>
        <v>47700</v>
      </c>
      <c r="L955" s="4">
        <f t="shared" si="23"/>
        <v>14310</v>
      </c>
      <c r="M955" s="3">
        <v>0.3</v>
      </c>
    </row>
    <row r="956" spans="2:13" x14ac:dyDescent="0.3">
      <c r="B956" t="s">
        <v>62</v>
      </c>
      <c r="C956" s="1" t="s">
        <v>64</v>
      </c>
      <c r="D956" s="2">
        <v>44738</v>
      </c>
      <c r="E956" s="8" t="s">
        <v>27</v>
      </c>
      <c r="F956" s="8" t="s">
        <v>73</v>
      </c>
      <c r="G956" s="8" t="s">
        <v>98</v>
      </c>
      <c r="H956" t="s">
        <v>16</v>
      </c>
      <c r="I956" s="4">
        <v>3400</v>
      </c>
      <c r="J956" s="8">
        <v>8</v>
      </c>
      <c r="K956" s="4">
        <f t="shared" si="22"/>
        <v>27200</v>
      </c>
      <c r="L956" s="4">
        <f t="shared" si="23"/>
        <v>9520</v>
      </c>
      <c r="M956" s="3">
        <v>0.35</v>
      </c>
    </row>
    <row r="957" spans="2:13" x14ac:dyDescent="0.3">
      <c r="B957" t="s">
        <v>65</v>
      </c>
      <c r="C957" s="1" t="s">
        <v>64</v>
      </c>
      <c r="D957" s="2">
        <v>44745</v>
      </c>
      <c r="E957" s="8" t="s">
        <v>27</v>
      </c>
      <c r="F957" s="8" t="s">
        <v>73</v>
      </c>
      <c r="G957" s="8" t="s">
        <v>98</v>
      </c>
      <c r="H957" t="s">
        <v>19</v>
      </c>
      <c r="I957" s="4">
        <v>5340</v>
      </c>
      <c r="J957" s="8">
        <v>3</v>
      </c>
      <c r="K957" s="4">
        <f t="shared" si="22"/>
        <v>16020</v>
      </c>
      <c r="L957" s="4">
        <f t="shared" si="23"/>
        <v>4806</v>
      </c>
      <c r="M957" s="3">
        <v>0.3</v>
      </c>
    </row>
    <row r="958" spans="2:13" x14ac:dyDescent="0.3">
      <c r="B958" t="s">
        <v>65</v>
      </c>
      <c r="C958" s="1" t="s">
        <v>63</v>
      </c>
      <c r="D958" s="2">
        <v>44752</v>
      </c>
      <c r="E958" s="8" t="s">
        <v>27</v>
      </c>
      <c r="F958" s="8" t="s">
        <v>73</v>
      </c>
      <c r="G958" s="8" t="s">
        <v>98</v>
      </c>
      <c r="H958" t="s">
        <v>10</v>
      </c>
      <c r="I958" s="4">
        <v>1700</v>
      </c>
      <c r="J958" s="8">
        <v>3</v>
      </c>
      <c r="K958" s="4">
        <f t="shared" si="22"/>
        <v>5100</v>
      </c>
      <c r="L958" s="4">
        <f t="shared" si="23"/>
        <v>2550</v>
      </c>
      <c r="M958" s="3">
        <v>0.5</v>
      </c>
    </row>
    <row r="959" spans="2:13" x14ac:dyDescent="0.3">
      <c r="B959" t="s">
        <v>62</v>
      </c>
      <c r="C959" s="1" t="s">
        <v>64</v>
      </c>
      <c r="D959" s="2">
        <v>44759</v>
      </c>
      <c r="E959" s="8" t="s">
        <v>27</v>
      </c>
      <c r="F959" s="8" t="s">
        <v>73</v>
      </c>
      <c r="G959" s="8" t="s">
        <v>98</v>
      </c>
      <c r="H959" t="s">
        <v>11</v>
      </c>
      <c r="I959" s="4">
        <v>300</v>
      </c>
      <c r="J959" s="8">
        <v>1</v>
      </c>
      <c r="K959" s="4">
        <f t="shared" si="22"/>
        <v>300</v>
      </c>
      <c r="L959" s="4">
        <f t="shared" si="23"/>
        <v>45</v>
      </c>
      <c r="M959" s="3">
        <v>0.15</v>
      </c>
    </row>
    <row r="960" spans="2:13" x14ac:dyDescent="0.3">
      <c r="B960" t="s">
        <v>61</v>
      </c>
      <c r="C960" s="1" t="s">
        <v>63</v>
      </c>
      <c r="D960" s="2">
        <v>44766</v>
      </c>
      <c r="E960" s="8" t="s">
        <v>27</v>
      </c>
      <c r="F960" s="8" t="s">
        <v>73</v>
      </c>
      <c r="G960" s="8" t="s">
        <v>98</v>
      </c>
      <c r="H960" t="s">
        <v>12</v>
      </c>
      <c r="I960" s="4">
        <v>500</v>
      </c>
      <c r="J960" s="8">
        <v>8</v>
      </c>
      <c r="K960" s="4">
        <f t="shared" si="22"/>
        <v>4000</v>
      </c>
      <c r="L960" s="4">
        <f t="shared" si="23"/>
        <v>1000</v>
      </c>
      <c r="M960" s="3">
        <v>0.25</v>
      </c>
    </row>
    <row r="961" spans="2:13" x14ac:dyDescent="0.3">
      <c r="B961" t="s">
        <v>65</v>
      </c>
      <c r="C961" s="1" t="s">
        <v>63</v>
      </c>
      <c r="D961" s="2">
        <v>44766</v>
      </c>
      <c r="E961" s="8" t="s">
        <v>27</v>
      </c>
      <c r="F961" s="8" t="s">
        <v>73</v>
      </c>
      <c r="G961" s="8" t="s">
        <v>98</v>
      </c>
      <c r="H961" t="s">
        <v>18</v>
      </c>
      <c r="I961" s="4">
        <v>4600</v>
      </c>
      <c r="J961" s="8">
        <v>2</v>
      </c>
      <c r="K961" s="4">
        <f t="shared" si="22"/>
        <v>9200</v>
      </c>
      <c r="L961" s="4">
        <f t="shared" si="23"/>
        <v>2300</v>
      </c>
      <c r="M961" s="3">
        <v>0.25</v>
      </c>
    </row>
    <row r="962" spans="2:13" x14ac:dyDescent="0.3">
      <c r="B962" t="s">
        <v>62</v>
      </c>
      <c r="C962" s="1" t="s">
        <v>63</v>
      </c>
      <c r="D962" s="2">
        <v>44773</v>
      </c>
      <c r="E962" s="8" t="s">
        <v>27</v>
      </c>
      <c r="F962" s="8" t="s">
        <v>73</v>
      </c>
      <c r="G962" s="8" t="s">
        <v>98</v>
      </c>
      <c r="H962" t="s">
        <v>8</v>
      </c>
      <c r="I962" s="4">
        <v>1200</v>
      </c>
      <c r="J962" s="8">
        <v>9</v>
      </c>
      <c r="K962" s="4">
        <f t="shared" si="22"/>
        <v>10800</v>
      </c>
      <c r="L962" s="4">
        <f t="shared" si="23"/>
        <v>3240</v>
      </c>
      <c r="M962" s="3">
        <v>0.3</v>
      </c>
    </row>
    <row r="963" spans="2:13" x14ac:dyDescent="0.3">
      <c r="B963" t="s">
        <v>60</v>
      </c>
      <c r="C963" s="1" t="s">
        <v>64</v>
      </c>
      <c r="D963" s="2">
        <v>44780</v>
      </c>
      <c r="E963" s="8" t="s">
        <v>27</v>
      </c>
      <c r="F963" s="8" t="s">
        <v>73</v>
      </c>
      <c r="G963" s="8" t="s">
        <v>98</v>
      </c>
      <c r="H963" t="s">
        <v>19</v>
      </c>
      <c r="I963" s="4">
        <v>5340</v>
      </c>
      <c r="J963" s="8">
        <v>12</v>
      </c>
      <c r="K963" s="4">
        <f t="shared" si="22"/>
        <v>64080</v>
      </c>
      <c r="L963" s="4">
        <f t="shared" si="23"/>
        <v>19224</v>
      </c>
      <c r="M963" s="3">
        <v>0.3</v>
      </c>
    </row>
    <row r="964" spans="2:13" x14ac:dyDescent="0.3">
      <c r="B964" t="s">
        <v>60</v>
      </c>
      <c r="C964" s="1" t="s">
        <v>64</v>
      </c>
      <c r="D964" s="2">
        <v>44787</v>
      </c>
      <c r="E964" s="8" t="s">
        <v>27</v>
      </c>
      <c r="F964" s="8" t="s">
        <v>73</v>
      </c>
      <c r="G964" s="8" t="s">
        <v>98</v>
      </c>
      <c r="H964" t="s">
        <v>19</v>
      </c>
      <c r="I964" s="4">
        <v>5340</v>
      </c>
      <c r="J964" s="8">
        <v>12</v>
      </c>
      <c r="K964" s="4">
        <f t="shared" si="22"/>
        <v>64080</v>
      </c>
      <c r="L964" s="4">
        <f t="shared" si="23"/>
        <v>19224</v>
      </c>
      <c r="M964" s="3">
        <v>0.3</v>
      </c>
    </row>
    <row r="965" spans="2:13" x14ac:dyDescent="0.3">
      <c r="B965" t="s">
        <v>61</v>
      </c>
      <c r="C965" s="1" t="s">
        <v>64</v>
      </c>
      <c r="D965" s="2">
        <v>44862</v>
      </c>
      <c r="E965" s="8" t="s">
        <v>27</v>
      </c>
      <c r="F965" s="8" t="s">
        <v>53</v>
      </c>
      <c r="G965" s="8" t="s">
        <v>59</v>
      </c>
      <c r="H965" t="s">
        <v>18</v>
      </c>
      <c r="I965" s="4">
        <v>4600</v>
      </c>
      <c r="J965" s="8">
        <v>3</v>
      </c>
      <c r="K965" s="4">
        <f t="shared" si="22"/>
        <v>13800</v>
      </c>
      <c r="L965" s="4">
        <f t="shared" si="23"/>
        <v>3450</v>
      </c>
      <c r="M965" s="3">
        <v>0.25</v>
      </c>
    </row>
    <row r="966" spans="2:13" x14ac:dyDescent="0.3">
      <c r="B966" t="s">
        <v>65</v>
      </c>
      <c r="C966" s="1" t="s">
        <v>63</v>
      </c>
      <c r="D966" s="2">
        <v>44794</v>
      </c>
      <c r="E966" s="8" t="s">
        <v>27</v>
      </c>
      <c r="F966" s="8" t="s">
        <v>73</v>
      </c>
      <c r="G966" s="8" t="s">
        <v>98</v>
      </c>
      <c r="H966" t="s">
        <v>17</v>
      </c>
      <c r="I966" s="4">
        <v>5130</v>
      </c>
      <c r="J966" s="8">
        <v>12</v>
      </c>
      <c r="K966" s="4">
        <f t="shared" si="22"/>
        <v>61560</v>
      </c>
      <c r="L966" s="4">
        <f t="shared" si="23"/>
        <v>24624</v>
      </c>
      <c r="M966" s="3">
        <v>0.4</v>
      </c>
    </row>
    <row r="967" spans="2:13" x14ac:dyDescent="0.3">
      <c r="B967" t="s">
        <v>61</v>
      </c>
      <c r="C967" s="1" t="s">
        <v>64</v>
      </c>
      <c r="D967" s="2">
        <v>44801</v>
      </c>
      <c r="E967" s="8" t="s">
        <v>27</v>
      </c>
      <c r="F967" s="8" t="s">
        <v>73</v>
      </c>
      <c r="G967" s="8" t="s">
        <v>98</v>
      </c>
      <c r="H967" t="s">
        <v>18</v>
      </c>
      <c r="I967" s="4">
        <v>4600</v>
      </c>
      <c r="J967" s="8">
        <v>2</v>
      </c>
      <c r="K967" s="4">
        <f t="shared" si="22"/>
        <v>9200</v>
      </c>
      <c r="L967" s="4">
        <f t="shared" si="23"/>
        <v>2300</v>
      </c>
      <c r="M967" s="3">
        <v>0.25</v>
      </c>
    </row>
    <row r="968" spans="2:13" x14ac:dyDescent="0.3">
      <c r="B968" t="s">
        <v>65</v>
      </c>
      <c r="C968" s="1" t="s">
        <v>63</v>
      </c>
      <c r="D968" s="2">
        <v>44808</v>
      </c>
      <c r="E968" s="8" t="s">
        <v>27</v>
      </c>
      <c r="F968" s="8" t="s">
        <v>73</v>
      </c>
      <c r="G968" s="8" t="s">
        <v>98</v>
      </c>
      <c r="H968" t="s">
        <v>18</v>
      </c>
      <c r="I968" s="4">
        <v>4600</v>
      </c>
      <c r="J968" s="8">
        <v>11</v>
      </c>
      <c r="K968" s="4">
        <f t="shared" si="22"/>
        <v>50600</v>
      </c>
      <c r="L968" s="4">
        <f t="shared" si="23"/>
        <v>12650</v>
      </c>
      <c r="M968" s="3">
        <v>0.25</v>
      </c>
    </row>
    <row r="969" spans="2:13" x14ac:dyDescent="0.3">
      <c r="B969" t="s">
        <v>65</v>
      </c>
      <c r="C969" s="1" t="s">
        <v>64</v>
      </c>
      <c r="D969" s="2">
        <v>44815</v>
      </c>
      <c r="E969" s="8" t="s">
        <v>27</v>
      </c>
      <c r="F969" s="8" t="s">
        <v>73</v>
      </c>
      <c r="G969" s="8" t="s">
        <v>98</v>
      </c>
      <c r="H969" t="s">
        <v>9</v>
      </c>
      <c r="I969" s="4">
        <v>1500</v>
      </c>
      <c r="J969" s="8">
        <v>3</v>
      </c>
      <c r="K969" s="4">
        <f t="shared" si="22"/>
        <v>4500</v>
      </c>
      <c r="L969" s="4">
        <f t="shared" si="23"/>
        <v>1800</v>
      </c>
      <c r="M969" s="3">
        <v>0.4</v>
      </c>
    </row>
    <row r="970" spans="2:13" x14ac:dyDescent="0.3">
      <c r="B970" t="s">
        <v>62</v>
      </c>
      <c r="C970" s="1" t="s">
        <v>63</v>
      </c>
      <c r="D970" s="2">
        <v>44822</v>
      </c>
      <c r="E970" s="8" t="s">
        <v>27</v>
      </c>
      <c r="F970" s="8" t="s">
        <v>73</v>
      </c>
      <c r="G970" s="8" t="s">
        <v>98</v>
      </c>
      <c r="H970" t="s">
        <v>8</v>
      </c>
      <c r="I970" s="4">
        <v>1200</v>
      </c>
      <c r="J970" s="8">
        <v>5</v>
      </c>
      <c r="K970" s="4">
        <f t="shared" si="22"/>
        <v>6000</v>
      </c>
      <c r="L970" s="4">
        <f t="shared" si="23"/>
        <v>1800</v>
      </c>
      <c r="M970" s="3">
        <v>0.3</v>
      </c>
    </row>
    <row r="971" spans="2:13" x14ac:dyDescent="0.3">
      <c r="B971" t="s">
        <v>60</v>
      </c>
      <c r="C971" s="1" t="s">
        <v>63</v>
      </c>
      <c r="D971" s="2">
        <v>44829</v>
      </c>
      <c r="E971" s="8" t="s">
        <v>27</v>
      </c>
      <c r="F971" s="8" t="s">
        <v>73</v>
      </c>
      <c r="G971" s="8" t="s">
        <v>98</v>
      </c>
      <c r="H971" t="s">
        <v>15</v>
      </c>
      <c r="I971" s="4">
        <v>5300</v>
      </c>
      <c r="J971" s="8">
        <v>8</v>
      </c>
      <c r="K971" s="4">
        <f t="shared" si="22"/>
        <v>42400</v>
      </c>
      <c r="L971" s="4">
        <f t="shared" si="23"/>
        <v>12720</v>
      </c>
      <c r="M971" s="3">
        <v>0.3</v>
      </c>
    </row>
    <row r="972" spans="2:13" x14ac:dyDescent="0.3">
      <c r="B972" t="s">
        <v>62</v>
      </c>
      <c r="C972" s="1" t="s">
        <v>63</v>
      </c>
      <c r="D972" s="2">
        <v>44836</v>
      </c>
      <c r="E972" s="8" t="s">
        <v>27</v>
      </c>
      <c r="F972" s="8" t="s">
        <v>73</v>
      </c>
      <c r="G972" s="8" t="s">
        <v>98</v>
      </c>
      <c r="H972" t="s">
        <v>11</v>
      </c>
      <c r="I972" s="4">
        <v>300</v>
      </c>
      <c r="J972" s="8">
        <v>7</v>
      </c>
      <c r="K972" s="4">
        <f t="shared" si="22"/>
        <v>2100</v>
      </c>
      <c r="L972" s="4">
        <f t="shared" si="23"/>
        <v>315</v>
      </c>
      <c r="M972" s="3">
        <v>0.15</v>
      </c>
    </row>
    <row r="973" spans="2:13" x14ac:dyDescent="0.3">
      <c r="B973" t="s">
        <v>60</v>
      </c>
      <c r="C973" s="1" t="s">
        <v>63</v>
      </c>
      <c r="D973" s="2">
        <v>44843</v>
      </c>
      <c r="E973" s="8" t="s">
        <v>27</v>
      </c>
      <c r="F973" s="8" t="s">
        <v>73</v>
      </c>
      <c r="G973" s="8" t="s">
        <v>98</v>
      </c>
      <c r="H973" t="s">
        <v>12</v>
      </c>
      <c r="I973" s="4">
        <v>500</v>
      </c>
      <c r="J973" s="8">
        <v>11</v>
      </c>
      <c r="K973" s="4">
        <f t="shared" si="22"/>
        <v>5500</v>
      </c>
      <c r="L973" s="4">
        <f t="shared" si="23"/>
        <v>1375</v>
      </c>
      <c r="M973" s="3">
        <v>0.25</v>
      </c>
    </row>
    <row r="974" spans="2:13" x14ac:dyDescent="0.3">
      <c r="B974" t="s">
        <v>65</v>
      </c>
      <c r="C974" s="1" t="s">
        <v>63</v>
      </c>
      <c r="D974" s="2">
        <v>44850</v>
      </c>
      <c r="E974" s="8" t="s">
        <v>27</v>
      </c>
      <c r="F974" s="8" t="s">
        <v>73</v>
      </c>
      <c r="G974" s="8" t="s">
        <v>98</v>
      </c>
      <c r="H974" t="s">
        <v>15</v>
      </c>
      <c r="I974" s="4">
        <v>5300</v>
      </c>
      <c r="J974" s="8">
        <v>12</v>
      </c>
      <c r="K974" s="4">
        <f t="shared" si="22"/>
        <v>63600</v>
      </c>
      <c r="L974" s="4">
        <f t="shared" si="23"/>
        <v>19080</v>
      </c>
      <c r="M974" s="3">
        <v>0.3</v>
      </c>
    </row>
    <row r="975" spans="2:13" x14ac:dyDescent="0.3">
      <c r="B975" t="s">
        <v>65</v>
      </c>
      <c r="C975" s="1" t="s">
        <v>64</v>
      </c>
      <c r="D975" s="2">
        <v>44857</v>
      </c>
      <c r="E975" s="8" t="s">
        <v>27</v>
      </c>
      <c r="F975" s="8" t="s">
        <v>73</v>
      </c>
      <c r="G975" s="8" t="s">
        <v>98</v>
      </c>
      <c r="H975" t="s">
        <v>17</v>
      </c>
      <c r="I975" s="4">
        <v>5130</v>
      </c>
      <c r="J975" s="8">
        <v>3</v>
      </c>
      <c r="K975" s="4">
        <f t="shared" si="22"/>
        <v>15390</v>
      </c>
      <c r="L975" s="4">
        <f t="shared" si="23"/>
        <v>6156</v>
      </c>
      <c r="M975" s="3">
        <v>0.4</v>
      </c>
    </row>
    <row r="976" spans="2:13" x14ac:dyDescent="0.3">
      <c r="B976" t="s">
        <v>65</v>
      </c>
      <c r="C976" s="1" t="s">
        <v>63</v>
      </c>
      <c r="D976" s="2">
        <v>44864</v>
      </c>
      <c r="E976" s="8" t="s">
        <v>27</v>
      </c>
      <c r="F976" s="8" t="s">
        <v>73</v>
      </c>
      <c r="G976" s="8" t="s">
        <v>98</v>
      </c>
      <c r="H976" t="s">
        <v>11</v>
      </c>
      <c r="I976" s="4">
        <v>300</v>
      </c>
      <c r="J976" s="8">
        <v>2</v>
      </c>
      <c r="K976" s="4">
        <f t="shared" si="22"/>
        <v>600</v>
      </c>
      <c r="L976" s="4">
        <f t="shared" si="23"/>
        <v>90</v>
      </c>
      <c r="M976" s="3">
        <v>0.15</v>
      </c>
    </row>
    <row r="977" spans="2:13" x14ac:dyDescent="0.3">
      <c r="B977" t="s">
        <v>65</v>
      </c>
      <c r="C977" s="1" t="s">
        <v>64</v>
      </c>
      <c r="D977" s="2">
        <v>44871</v>
      </c>
      <c r="E977" s="8" t="s">
        <v>27</v>
      </c>
      <c r="F977" s="8" t="s">
        <v>73</v>
      </c>
      <c r="G977" s="8" t="s">
        <v>98</v>
      </c>
      <c r="H977" t="s">
        <v>14</v>
      </c>
      <c r="I977" s="4">
        <v>4500</v>
      </c>
      <c r="J977" s="8">
        <v>15</v>
      </c>
      <c r="K977" s="4">
        <f t="shared" si="22"/>
        <v>67500</v>
      </c>
      <c r="L977" s="4">
        <f t="shared" si="23"/>
        <v>16875</v>
      </c>
      <c r="M977" s="3">
        <v>0.25</v>
      </c>
    </row>
    <row r="978" spans="2:13" x14ac:dyDescent="0.3">
      <c r="B978" t="s">
        <v>65</v>
      </c>
      <c r="C978" s="1" t="s">
        <v>63</v>
      </c>
      <c r="D978" s="2">
        <v>44878</v>
      </c>
      <c r="E978" s="8" t="s">
        <v>27</v>
      </c>
      <c r="F978" s="8" t="s">
        <v>73</v>
      </c>
      <c r="G978" s="8" t="s">
        <v>98</v>
      </c>
      <c r="H978" t="s">
        <v>11</v>
      </c>
      <c r="I978" s="4">
        <v>300</v>
      </c>
      <c r="J978" s="8">
        <v>5</v>
      </c>
      <c r="K978" s="4">
        <f t="shared" si="22"/>
        <v>1500</v>
      </c>
      <c r="L978" s="4">
        <f t="shared" si="23"/>
        <v>225</v>
      </c>
      <c r="M978" s="3">
        <v>0.15</v>
      </c>
    </row>
    <row r="979" spans="2:13" x14ac:dyDescent="0.3">
      <c r="B979" t="s">
        <v>65</v>
      </c>
      <c r="C979" s="1" t="s">
        <v>63</v>
      </c>
      <c r="D979" s="2">
        <v>44885</v>
      </c>
      <c r="E979" s="8" t="s">
        <v>27</v>
      </c>
      <c r="F979" s="8" t="s">
        <v>73</v>
      </c>
      <c r="G979" s="8" t="s">
        <v>98</v>
      </c>
      <c r="H979" t="s">
        <v>12</v>
      </c>
      <c r="I979" s="4">
        <v>500</v>
      </c>
      <c r="J979" s="8">
        <v>5</v>
      </c>
      <c r="K979" s="4">
        <f t="shared" si="22"/>
        <v>2500</v>
      </c>
      <c r="L979" s="4">
        <f t="shared" si="23"/>
        <v>625</v>
      </c>
      <c r="M979" s="3">
        <v>0.25</v>
      </c>
    </row>
    <row r="980" spans="2:13" x14ac:dyDescent="0.3">
      <c r="B980" t="s">
        <v>60</v>
      </c>
      <c r="C980" s="1" t="s">
        <v>63</v>
      </c>
      <c r="D980" s="2">
        <v>44892</v>
      </c>
      <c r="E980" s="8" t="s">
        <v>27</v>
      </c>
      <c r="F980" s="8" t="s">
        <v>53</v>
      </c>
      <c r="G980" s="8" t="s">
        <v>59</v>
      </c>
      <c r="H980" t="s">
        <v>14</v>
      </c>
      <c r="I980" s="4">
        <v>4500</v>
      </c>
      <c r="J980" s="8">
        <v>4</v>
      </c>
      <c r="K980" s="4">
        <f t="shared" si="22"/>
        <v>18000</v>
      </c>
      <c r="L980" s="4">
        <f t="shared" si="23"/>
        <v>4500</v>
      </c>
      <c r="M980" s="3">
        <v>0.25</v>
      </c>
    </row>
    <row r="981" spans="2:13" x14ac:dyDescent="0.3">
      <c r="B981" t="s">
        <v>65</v>
      </c>
      <c r="C981" s="1" t="s">
        <v>63</v>
      </c>
      <c r="D981" s="2">
        <v>44892</v>
      </c>
      <c r="E981" s="8" t="s">
        <v>27</v>
      </c>
      <c r="F981" s="8" t="s">
        <v>73</v>
      </c>
      <c r="G981" s="8" t="s">
        <v>98</v>
      </c>
      <c r="H981" t="s">
        <v>18</v>
      </c>
      <c r="I981" s="4">
        <v>4600</v>
      </c>
      <c r="J981" s="8">
        <v>7</v>
      </c>
      <c r="K981" s="4">
        <f t="shared" si="22"/>
        <v>32200</v>
      </c>
      <c r="L981" s="4">
        <f t="shared" si="23"/>
        <v>8050</v>
      </c>
      <c r="M981" s="3">
        <v>0.25</v>
      </c>
    </row>
    <row r="982" spans="2:13" x14ac:dyDescent="0.3">
      <c r="B982" t="s">
        <v>61</v>
      </c>
      <c r="C982" s="1" t="s">
        <v>63</v>
      </c>
      <c r="D982" s="2">
        <v>44922</v>
      </c>
      <c r="E982" s="8" t="s">
        <v>27</v>
      </c>
      <c r="F982" s="8" t="s">
        <v>53</v>
      </c>
      <c r="G982" s="8" t="s">
        <v>59</v>
      </c>
      <c r="H982" t="s">
        <v>18</v>
      </c>
      <c r="I982" s="4">
        <v>4600</v>
      </c>
      <c r="J982" s="8">
        <v>3</v>
      </c>
      <c r="K982" s="4">
        <f t="shared" si="22"/>
        <v>13800</v>
      </c>
      <c r="L982" s="4">
        <f t="shared" si="23"/>
        <v>3450</v>
      </c>
      <c r="M982" s="3">
        <v>0.25</v>
      </c>
    </row>
    <row r="983" spans="2:13" x14ac:dyDescent="0.3">
      <c r="B983" t="s">
        <v>60</v>
      </c>
      <c r="C983" s="1" t="s">
        <v>63</v>
      </c>
      <c r="D983" s="2">
        <v>44952</v>
      </c>
      <c r="E983" s="8" t="s">
        <v>27</v>
      </c>
      <c r="F983" s="8" t="s">
        <v>53</v>
      </c>
      <c r="G983" s="8" t="s">
        <v>59</v>
      </c>
      <c r="H983" t="s">
        <v>13</v>
      </c>
      <c r="I983" s="4">
        <v>3200</v>
      </c>
      <c r="J983" s="8">
        <v>4</v>
      </c>
      <c r="K983" s="4">
        <f t="shared" si="22"/>
        <v>12800</v>
      </c>
      <c r="L983" s="4">
        <f t="shared" si="23"/>
        <v>2560</v>
      </c>
      <c r="M983" s="3">
        <v>0.2</v>
      </c>
    </row>
    <row r="984" spans="2:13" x14ac:dyDescent="0.3">
      <c r="B984" t="s">
        <v>61</v>
      </c>
      <c r="C984" s="1" t="s">
        <v>63</v>
      </c>
      <c r="D984" s="2">
        <v>44982</v>
      </c>
      <c r="E984" s="8" t="s">
        <v>27</v>
      </c>
      <c r="F984" s="8" t="s">
        <v>53</v>
      </c>
      <c r="G984" s="8" t="s">
        <v>59</v>
      </c>
      <c r="H984" t="s">
        <v>15</v>
      </c>
      <c r="I984" s="4">
        <v>5300</v>
      </c>
      <c r="J984" s="8">
        <v>5</v>
      </c>
      <c r="K984" s="4">
        <f t="shared" si="22"/>
        <v>26500</v>
      </c>
      <c r="L984" s="4">
        <f t="shared" si="23"/>
        <v>7950</v>
      </c>
      <c r="M984" s="3">
        <v>0.3</v>
      </c>
    </row>
    <row r="985" spans="2:13" x14ac:dyDescent="0.3">
      <c r="B985" t="s">
        <v>60</v>
      </c>
      <c r="C985" s="1" t="s">
        <v>64</v>
      </c>
      <c r="D985" s="2">
        <v>45012</v>
      </c>
      <c r="E985" s="8" t="s">
        <v>27</v>
      </c>
      <c r="F985" s="8" t="s">
        <v>53</v>
      </c>
      <c r="G985" s="8" t="s">
        <v>59</v>
      </c>
      <c r="H985" t="s">
        <v>8</v>
      </c>
      <c r="I985" s="4">
        <v>1200</v>
      </c>
      <c r="J985" s="8">
        <v>7</v>
      </c>
      <c r="K985" s="4">
        <f t="shared" si="22"/>
        <v>8400</v>
      </c>
      <c r="L985" s="4">
        <f t="shared" si="23"/>
        <v>2520</v>
      </c>
      <c r="M985" s="3">
        <v>0.3</v>
      </c>
    </row>
    <row r="986" spans="2:13" x14ac:dyDescent="0.3">
      <c r="B986" t="s">
        <v>65</v>
      </c>
      <c r="C986" s="1" t="s">
        <v>64</v>
      </c>
      <c r="D986" s="2">
        <v>45042</v>
      </c>
      <c r="E986" s="8" t="s">
        <v>27</v>
      </c>
      <c r="F986" s="8" t="s">
        <v>53</v>
      </c>
      <c r="G986" s="8" t="s">
        <v>59</v>
      </c>
      <c r="H986" t="s">
        <v>19</v>
      </c>
      <c r="I986" s="4">
        <v>5340</v>
      </c>
      <c r="J986" s="8">
        <v>10</v>
      </c>
      <c r="K986" s="4">
        <f t="shared" ref="K986:K989" si="24">I986*J986</f>
        <v>53400</v>
      </c>
      <c r="L986" s="4">
        <f t="shared" ref="L986:L989" si="25">K986*M986</f>
        <v>16020</v>
      </c>
      <c r="M986" s="3">
        <v>0.3</v>
      </c>
    </row>
    <row r="987" spans="2:13" x14ac:dyDescent="0.3">
      <c r="B987" t="s">
        <v>66</v>
      </c>
      <c r="C987" s="1" t="s">
        <v>64</v>
      </c>
      <c r="D987" s="2">
        <v>45072</v>
      </c>
      <c r="E987" s="8" t="s">
        <v>27</v>
      </c>
      <c r="F987" s="8" t="s">
        <v>53</v>
      </c>
      <c r="G987" s="8" t="s">
        <v>59</v>
      </c>
      <c r="H987" t="s">
        <v>17</v>
      </c>
      <c r="I987" s="4">
        <v>5130</v>
      </c>
      <c r="J987" s="8">
        <v>8</v>
      </c>
      <c r="K987" s="4">
        <f t="shared" si="24"/>
        <v>41040</v>
      </c>
      <c r="L987" s="4">
        <f t="shared" si="25"/>
        <v>16416</v>
      </c>
      <c r="M987" s="3">
        <v>0.4</v>
      </c>
    </row>
    <row r="988" spans="2:13" x14ac:dyDescent="0.3">
      <c r="B988" t="s">
        <v>65</v>
      </c>
      <c r="C988" s="1" t="s">
        <v>63</v>
      </c>
      <c r="D988" s="2">
        <v>45102</v>
      </c>
      <c r="E988" s="8" t="s">
        <v>27</v>
      </c>
      <c r="F988" s="8" t="s">
        <v>53</v>
      </c>
      <c r="G988" s="8" t="s">
        <v>59</v>
      </c>
      <c r="H988" t="s">
        <v>18</v>
      </c>
      <c r="I988" s="4">
        <v>4600</v>
      </c>
      <c r="J988" s="8">
        <v>5</v>
      </c>
      <c r="K988" s="4">
        <f t="shared" si="24"/>
        <v>23000</v>
      </c>
      <c r="L988" s="4">
        <f t="shared" si="25"/>
        <v>5750</v>
      </c>
      <c r="M988" s="3">
        <v>0.25</v>
      </c>
    </row>
    <row r="989" spans="2:13" x14ac:dyDescent="0.3">
      <c r="B989" t="s">
        <v>61</v>
      </c>
      <c r="C989" s="1" t="s">
        <v>63</v>
      </c>
      <c r="D989" s="2">
        <v>45132</v>
      </c>
      <c r="E989" s="8" t="s">
        <v>27</v>
      </c>
      <c r="F989" s="8" t="s">
        <v>53</v>
      </c>
      <c r="G989" s="8" t="s">
        <v>59</v>
      </c>
      <c r="H989" t="s">
        <v>13</v>
      </c>
      <c r="I989" s="4">
        <v>3200</v>
      </c>
      <c r="J989" s="8">
        <v>3</v>
      </c>
      <c r="K989" s="4">
        <f t="shared" si="24"/>
        <v>9600</v>
      </c>
      <c r="L989" s="4">
        <f t="shared" si="25"/>
        <v>1920</v>
      </c>
      <c r="M989" s="3">
        <v>0.2</v>
      </c>
    </row>
    <row r="990" spans="2:13" x14ac:dyDescent="0.3">
      <c r="B990" t="s">
        <v>65</v>
      </c>
      <c r="C990" s="1" t="s">
        <v>63</v>
      </c>
      <c r="D990" s="2">
        <v>44562</v>
      </c>
      <c r="E990" s="8" t="s">
        <v>27</v>
      </c>
      <c r="F990" s="8" t="s">
        <v>80</v>
      </c>
      <c r="G990" s="8" t="s">
        <v>81</v>
      </c>
      <c r="H990" t="s">
        <v>17</v>
      </c>
      <c r="I990" s="4">
        <v>5130</v>
      </c>
      <c r="J990" s="8">
        <v>10</v>
      </c>
      <c r="K990" s="4">
        <v>30780</v>
      </c>
      <c r="L990" s="4">
        <v>12312</v>
      </c>
      <c r="M990" s="3">
        <v>0.4</v>
      </c>
    </row>
    <row r="991" spans="2:13" x14ac:dyDescent="0.3">
      <c r="B991" t="s">
        <v>65</v>
      </c>
      <c r="C991" s="1" t="s">
        <v>64</v>
      </c>
      <c r="D991" s="2">
        <v>44592</v>
      </c>
      <c r="E991" s="8" t="s">
        <v>27</v>
      </c>
      <c r="F991" s="8" t="s">
        <v>80</v>
      </c>
      <c r="G991" s="8" t="s">
        <v>81</v>
      </c>
      <c r="H991" t="s">
        <v>9</v>
      </c>
      <c r="I991" s="4">
        <v>1500</v>
      </c>
      <c r="J991" s="8">
        <v>16</v>
      </c>
      <c r="K991" s="4">
        <v>9000</v>
      </c>
      <c r="L991" s="4">
        <v>3600</v>
      </c>
      <c r="M991" s="3">
        <v>0.4</v>
      </c>
    </row>
    <row r="992" spans="2:13" x14ac:dyDescent="0.3">
      <c r="B992" t="s">
        <v>65</v>
      </c>
      <c r="C992" s="1" t="s">
        <v>64</v>
      </c>
      <c r="D992" s="2">
        <v>44622</v>
      </c>
      <c r="E992" s="8" t="s">
        <v>27</v>
      </c>
      <c r="F992" s="8" t="s">
        <v>80</v>
      </c>
      <c r="G992" s="8" t="s">
        <v>81</v>
      </c>
      <c r="H992" t="s">
        <v>16</v>
      </c>
      <c r="I992" s="4">
        <v>3400</v>
      </c>
      <c r="J992" s="8">
        <v>18</v>
      </c>
      <c r="K992" s="4">
        <v>27200</v>
      </c>
      <c r="L992" s="4">
        <v>9520</v>
      </c>
      <c r="M992" s="3">
        <v>0.35</v>
      </c>
    </row>
    <row r="993" spans="2:13" x14ac:dyDescent="0.3">
      <c r="B993" t="s">
        <v>62</v>
      </c>
      <c r="C993" s="1" t="s">
        <v>63</v>
      </c>
      <c r="D993" s="2">
        <v>44652</v>
      </c>
      <c r="E993" s="8" t="s">
        <v>27</v>
      </c>
      <c r="F993" s="8" t="s">
        <v>80</v>
      </c>
      <c r="G993" s="8" t="s">
        <v>81</v>
      </c>
      <c r="H993" t="s">
        <v>11</v>
      </c>
      <c r="I993" s="4">
        <v>300</v>
      </c>
      <c r="J993" s="8">
        <v>13</v>
      </c>
      <c r="K993" s="4">
        <v>900</v>
      </c>
      <c r="L993" s="4">
        <v>135</v>
      </c>
      <c r="M993" s="3">
        <v>0.15</v>
      </c>
    </row>
    <row r="994" spans="2:13" x14ac:dyDescent="0.3">
      <c r="B994" t="s">
        <v>66</v>
      </c>
      <c r="C994" s="1" t="s">
        <v>63</v>
      </c>
      <c r="D994" s="2">
        <v>44682</v>
      </c>
      <c r="E994" s="8" t="s">
        <v>27</v>
      </c>
      <c r="F994" s="8" t="s">
        <v>80</v>
      </c>
      <c r="G994" s="8" t="s">
        <v>81</v>
      </c>
      <c r="H994" t="s">
        <v>10</v>
      </c>
      <c r="I994" s="4">
        <v>1700</v>
      </c>
      <c r="J994" s="8">
        <v>20</v>
      </c>
      <c r="K994" s="4">
        <v>20400</v>
      </c>
      <c r="L994" s="4">
        <v>10200</v>
      </c>
      <c r="M994" s="3">
        <v>0.5</v>
      </c>
    </row>
    <row r="995" spans="2:13" x14ac:dyDescent="0.3">
      <c r="B995" t="s">
        <v>66</v>
      </c>
      <c r="C995" s="1" t="s">
        <v>63</v>
      </c>
      <c r="D995" s="2">
        <v>44712</v>
      </c>
      <c r="E995" s="8" t="s">
        <v>27</v>
      </c>
      <c r="F995" s="8" t="s">
        <v>80</v>
      </c>
      <c r="G995" s="8" t="s">
        <v>81</v>
      </c>
      <c r="H995" t="s">
        <v>10</v>
      </c>
      <c r="I995" s="4">
        <v>1700</v>
      </c>
      <c r="J995" s="8">
        <v>21</v>
      </c>
      <c r="K995" s="4">
        <v>18700</v>
      </c>
      <c r="L995" s="4">
        <v>9350</v>
      </c>
      <c r="M995" s="3">
        <v>0.5</v>
      </c>
    </row>
    <row r="996" spans="2:13" x14ac:dyDescent="0.3">
      <c r="B996" t="s">
        <v>65</v>
      </c>
      <c r="C996" s="1" t="s">
        <v>64</v>
      </c>
      <c r="D996" s="2">
        <v>44742</v>
      </c>
      <c r="E996" s="8" t="s">
        <v>27</v>
      </c>
      <c r="F996" s="8" t="s">
        <v>80</v>
      </c>
      <c r="G996" s="8" t="s">
        <v>81</v>
      </c>
      <c r="H996" t="s">
        <v>15</v>
      </c>
      <c r="I996" s="4">
        <v>5300</v>
      </c>
      <c r="J996" s="8">
        <v>19</v>
      </c>
      <c r="K996" s="4">
        <v>47700</v>
      </c>
      <c r="L996" s="4">
        <v>14310</v>
      </c>
      <c r="M996" s="3">
        <v>0.3</v>
      </c>
    </row>
    <row r="997" spans="2:13" x14ac:dyDescent="0.3">
      <c r="B997" t="s">
        <v>66</v>
      </c>
      <c r="C997" s="1" t="s">
        <v>63</v>
      </c>
      <c r="D997" s="2">
        <v>44772</v>
      </c>
      <c r="E997" s="8" t="s">
        <v>27</v>
      </c>
      <c r="F997" s="8" t="s">
        <v>80</v>
      </c>
      <c r="G997" s="8" t="s">
        <v>81</v>
      </c>
      <c r="H997" t="s">
        <v>9</v>
      </c>
      <c r="I997" s="4">
        <v>1500</v>
      </c>
      <c r="J997" s="8">
        <v>14</v>
      </c>
      <c r="K997" s="4">
        <v>7500</v>
      </c>
      <c r="L997" s="4">
        <v>3000</v>
      </c>
      <c r="M997" s="3">
        <v>0.4</v>
      </c>
    </row>
    <row r="998" spans="2:13" x14ac:dyDescent="0.3">
      <c r="B998" t="s">
        <v>65</v>
      </c>
      <c r="C998" s="1" t="s">
        <v>63</v>
      </c>
      <c r="D998" s="2">
        <v>44802</v>
      </c>
      <c r="E998" s="8" t="s">
        <v>27</v>
      </c>
      <c r="F998" s="8" t="s">
        <v>80</v>
      </c>
      <c r="G998" s="8" t="s">
        <v>81</v>
      </c>
      <c r="H998" t="s">
        <v>10</v>
      </c>
      <c r="I998" s="4">
        <v>1700</v>
      </c>
      <c r="J998" s="8">
        <v>5</v>
      </c>
      <c r="K998" s="4">
        <v>8500</v>
      </c>
      <c r="L998" s="4">
        <v>4250</v>
      </c>
      <c r="M998" s="3">
        <v>0.5</v>
      </c>
    </row>
    <row r="999" spans="2:13" x14ac:dyDescent="0.3">
      <c r="B999" t="s">
        <v>65</v>
      </c>
      <c r="C999" s="1" t="s">
        <v>63</v>
      </c>
      <c r="D999" s="2">
        <v>44832</v>
      </c>
      <c r="E999" s="8" t="s">
        <v>27</v>
      </c>
      <c r="F999" s="8" t="s">
        <v>80</v>
      </c>
      <c r="G999" s="8" t="s">
        <v>81</v>
      </c>
      <c r="H999" t="s">
        <v>18</v>
      </c>
      <c r="I999" s="4">
        <v>4600</v>
      </c>
      <c r="J999" s="8">
        <v>6</v>
      </c>
      <c r="K999" s="4">
        <v>27600</v>
      </c>
      <c r="L999" s="4">
        <v>6900</v>
      </c>
      <c r="M999" s="3">
        <v>0.25</v>
      </c>
    </row>
    <row r="1000" spans="2:13" x14ac:dyDescent="0.3">
      <c r="B1000" t="s">
        <v>61</v>
      </c>
      <c r="C1000" s="1" t="s">
        <v>64</v>
      </c>
      <c r="D1000" s="2">
        <v>44862</v>
      </c>
      <c r="E1000" s="8" t="s">
        <v>27</v>
      </c>
      <c r="F1000" s="8" t="s">
        <v>80</v>
      </c>
      <c r="G1000" s="8" t="s">
        <v>81</v>
      </c>
      <c r="H1000" t="s">
        <v>18</v>
      </c>
      <c r="I1000" s="4">
        <v>4600</v>
      </c>
      <c r="J1000" s="8">
        <v>3</v>
      </c>
      <c r="K1000" s="4">
        <v>13800</v>
      </c>
      <c r="L1000" s="4">
        <v>3450</v>
      </c>
      <c r="M1000" s="3">
        <v>0.25</v>
      </c>
    </row>
    <row r="1001" spans="2:13" x14ac:dyDescent="0.3">
      <c r="B1001" t="s">
        <v>60</v>
      </c>
      <c r="C1001" s="1" t="s">
        <v>63</v>
      </c>
      <c r="D1001" s="2">
        <v>44892</v>
      </c>
      <c r="E1001" s="8" t="s">
        <v>27</v>
      </c>
      <c r="F1001" s="8" t="s">
        <v>80</v>
      </c>
      <c r="G1001" s="8" t="s">
        <v>81</v>
      </c>
      <c r="H1001" t="s">
        <v>14</v>
      </c>
      <c r="I1001" s="4">
        <v>4500</v>
      </c>
      <c r="J1001" s="8">
        <v>4</v>
      </c>
      <c r="K1001" s="4">
        <v>18000</v>
      </c>
      <c r="L1001" s="4">
        <v>4500</v>
      </c>
      <c r="M1001" s="3">
        <v>0.25</v>
      </c>
    </row>
    <row r="1002" spans="2:13" x14ac:dyDescent="0.3">
      <c r="B1002" t="s">
        <v>61</v>
      </c>
      <c r="C1002" s="1" t="s">
        <v>63</v>
      </c>
      <c r="D1002" s="2">
        <v>44922</v>
      </c>
      <c r="E1002" s="8" t="s">
        <v>27</v>
      </c>
      <c r="F1002" s="8" t="s">
        <v>80</v>
      </c>
      <c r="G1002" s="8" t="s">
        <v>81</v>
      </c>
      <c r="H1002" t="s">
        <v>18</v>
      </c>
      <c r="I1002" s="4">
        <v>4600</v>
      </c>
      <c r="J1002" s="8">
        <v>3</v>
      </c>
      <c r="K1002" s="4">
        <v>13800</v>
      </c>
      <c r="L1002" s="4">
        <v>3450</v>
      </c>
      <c r="M1002" s="3">
        <v>0.25</v>
      </c>
    </row>
    <row r="1003" spans="2:13" x14ac:dyDescent="0.3">
      <c r="B1003" t="s">
        <v>60</v>
      </c>
      <c r="C1003" s="1" t="s">
        <v>63</v>
      </c>
      <c r="D1003" s="2">
        <v>44952</v>
      </c>
      <c r="E1003" s="8" t="s">
        <v>27</v>
      </c>
      <c r="F1003" s="8" t="s">
        <v>80</v>
      </c>
      <c r="G1003" s="8" t="s">
        <v>81</v>
      </c>
      <c r="H1003" t="s">
        <v>13</v>
      </c>
      <c r="I1003" s="4">
        <v>3200</v>
      </c>
      <c r="J1003" s="8">
        <v>4</v>
      </c>
      <c r="K1003" s="4">
        <v>12800</v>
      </c>
      <c r="L1003" s="4">
        <v>2560</v>
      </c>
      <c r="M1003" s="3">
        <v>0.2</v>
      </c>
    </row>
    <row r="1004" spans="2:13" x14ac:dyDescent="0.3">
      <c r="B1004" t="s">
        <v>61</v>
      </c>
      <c r="C1004" s="1" t="s">
        <v>63</v>
      </c>
      <c r="D1004" s="2">
        <v>44982</v>
      </c>
      <c r="E1004" s="8" t="s">
        <v>27</v>
      </c>
      <c r="F1004" s="8" t="s">
        <v>80</v>
      </c>
      <c r="G1004" s="8" t="s">
        <v>81</v>
      </c>
      <c r="H1004" t="s">
        <v>15</v>
      </c>
      <c r="I1004" s="4">
        <v>5300</v>
      </c>
      <c r="J1004" s="8">
        <v>15</v>
      </c>
      <c r="K1004" s="4">
        <v>26500</v>
      </c>
      <c r="L1004" s="4">
        <v>7950</v>
      </c>
      <c r="M1004" s="3">
        <v>0.3</v>
      </c>
    </row>
    <row r="1005" spans="2:13" x14ac:dyDescent="0.3">
      <c r="B1005" t="s">
        <v>60</v>
      </c>
      <c r="C1005" s="1" t="s">
        <v>64</v>
      </c>
      <c r="D1005" s="2">
        <v>45012</v>
      </c>
      <c r="E1005" s="8" t="s">
        <v>27</v>
      </c>
      <c r="F1005" s="8" t="s">
        <v>80</v>
      </c>
      <c r="G1005" s="8" t="s">
        <v>81</v>
      </c>
      <c r="H1005" t="s">
        <v>8</v>
      </c>
      <c r="I1005" s="4">
        <v>1200</v>
      </c>
      <c r="J1005" s="8">
        <v>20</v>
      </c>
      <c r="K1005" s="4">
        <v>8400</v>
      </c>
      <c r="L1005" s="4">
        <v>2520</v>
      </c>
      <c r="M1005" s="3">
        <v>0.3</v>
      </c>
    </row>
    <row r="1006" spans="2:13" x14ac:dyDescent="0.3">
      <c r="B1006" t="s">
        <v>65</v>
      </c>
      <c r="C1006" s="1" t="s">
        <v>64</v>
      </c>
      <c r="D1006" s="2">
        <v>45042</v>
      </c>
      <c r="E1006" s="8" t="s">
        <v>27</v>
      </c>
      <c r="F1006" s="8" t="s">
        <v>80</v>
      </c>
      <c r="G1006" s="8" t="s">
        <v>81</v>
      </c>
      <c r="H1006" t="s">
        <v>19</v>
      </c>
      <c r="I1006" s="4">
        <v>5340</v>
      </c>
      <c r="J1006" s="8">
        <v>10</v>
      </c>
      <c r="K1006" s="4">
        <v>53400</v>
      </c>
      <c r="L1006" s="4">
        <v>16020</v>
      </c>
      <c r="M1006" s="3">
        <v>0.3</v>
      </c>
    </row>
    <row r="1007" spans="2:13" x14ac:dyDescent="0.3">
      <c r="B1007" t="s">
        <v>66</v>
      </c>
      <c r="C1007" s="1" t="s">
        <v>64</v>
      </c>
      <c r="D1007" s="2">
        <v>45072</v>
      </c>
      <c r="E1007" s="8" t="s">
        <v>27</v>
      </c>
      <c r="F1007" s="8" t="s">
        <v>82</v>
      </c>
      <c r="G1007" s="8" t="s">
        <v>83</v>
      </c>
      <c r="H1007" t="s">
        <v>17</v>
      </c>
      <c r="I1007" s="4">
        <v>5130</v>
      </c>
      <c r="J1007" s="8">
        <v>8</v>
      </c>
      <c r="K1007" s="4">
        <v>41040</v>
      </c>
      <c r="L1007" s="4">
        <v>16416</v>
      </c>
      <c r="M1007" s="3">
        <v>0.4</v>
      </c>
    </row>
    <row r="1008" spans="2:13" x14ac:dyDescent="0.3">
      <c r="B1008" t="s">
        <v>65</v>
      </c>
      <c r="C1008" s="1" t="s">
        <v>63</v>
      </c>
      <c r="D1008" s="2">
        <v>45102</v>
      </c>
      <c r="E1008" s="8" t="s">
        <v>27</v>
      </c>
      <c r="F1008" s="8" t="s">
        <v>82</v>
      </c>
      <c r="G1008" s="8" t="s">
        <v>83</v>
      </c>
      <c r="H1008" t="s">
        <v>18</v>
      </c>
      <c r="I1008" s="4">
        <v>4600</v>
      </c>
      <c r="J1008" s="8">
        <v>15</v>
      </c>
      <c r="K1008" s="4">
        <v>23000</v>
      </c>
      <c r="L1008" s="4">
        <v>5750</v>
      </c>
      <c r="M1008" s="3">
        <v>0.25</v>
      </c>
    </row>
    <row r="1009" spans="2:13" x14ac:dyDescent="0.3">
      <c r="B1009" t="s">
        <v>61</v>
      </c>
      <c r="C1009" s="1" t="s">
        <v>63</v>
      </c>
      <c r="D1009" s="2">
        <v>45132</v>
      </c>
      <c r="E1009" s="8" t="s">
        <v>27</v>
      </c>
      <c r="F1009" s="8" t="s">
        <v>82</v>
      </c>
      <c r="G1009" s="8" t="s">
        <v>83</v>
      </c>
      <c r="H1009" t="s">
        <v>13</v>
      </c>
      <c r="I1009" s="4">
        <v>3200</v>
      </c>
      <c r="J1009" s="8">
        <v>3</v>
      </c>
      <c r="K1009" s="4">
        <v>9600</v>
      </c>
      <c r="L1009" s="4">
        <v>1920</v>
      </c>
      <c r="M1009" s="3">
        <v>0.2</v>
      </c>
    </row>
    <row r="1010" spans="2:13" x14ac:dyDescent="0.3">
      <c r="B1010" t="s">
        <v>65</v>
      </c>
      <c r="C1010" s="1" t="s">
        <v>63</v>
      </c>
      <c r="D1010" s="2">
        <v>44562</v>
      </c>
      <c r="E1010" s="8" t="s">
        <v>27</v>
      </c>
      <c r="F1010" s="8" t="s">
        <v>82</v>
      </c>
      <c r="G1010" s="8" t="s">
        <v>83</v>
      </c>
      <c r="H1010" t="s">
        <v>17</v>
      </c>
      <c r="I1010" s="4">
        <v>5130</v>
      </c>
      <c r="J1010" s="8">
        <v>6</v>
      </c>
      <c r="K1010" s="4">
        <v>30780</v>
      </c>
      <c r="L1010" s="4">
        <v>12312</v>
      </c>
      <c r="M1010" s="3">
        <v>0.4</v>
      </c>
    </row>
    <row r="1011" spans="2:13" x14ac:dyDescent="0.3">
      <c r="B1011" t="s">
        <v>65</v>
      </c>
      <c r="C1011" s="1" t="s">
        <v>64</v>
      </c>
      <c r="D1011" s="2">
        <v>44592</v>
      </c>
      <c r="E1011" s="8" t="s">
        <v>27</v>
      </c>
      <c r="F1011" s="8" t="s">
        <v>82</v>
      </c>
      <c r="G1011" s="8" t="s">
        <v>83</v>
      </c>
      <c r="H1011" t="s">
        <v>9</v>
      </c>
      <c r="I1011" s="4">
        <v>1500</v>
      </c>
      <c r="J1011" s="8">
        <v>6</v>
      </c>
      <c r="K1011" s="4">
        <v>9000</v>
      </c>
      <c r="L1011" s="4">
        <v>3600</v>
      </c>
      <c r="M1011" s="3">
        <v>0.4</v>
      </c>
    </row>
    <row r="1012" spans="2:13" x14ac:dyDescent="0.3">
      <c r="B1012" t="s">
        <v>65</v>
      </c>
      <c r="C1012" s="1" t="s">
        <v>64</v>
      </c>
      <c r="D1012" s="2">
        <v>44622</v>
      </c>
      <c r="E1012" s="8" t="s">
        <v>27</v>
      </c>
      <c r="F1012" s="8" t="s">
        <v>82</v>
      </c>
      <c r="G1012" s="8" t="s">
        <v>83</v>
      </c>
      <c r="H1012" t="s">
        <v>16</v>
      </c>
      <c r="I1012" s="4">
        <v>3400</v>
      </c>
      <c r="J1012" s="8">
        <v>8</v>
      </c>
      <c r="K1012" s="4">
        <v>27200</v>
      </c>
      <c r="L1012" s="4">
        <v>9520</v>
      </c>
      <c r="M1012" s="3">
        <v>0.35</v>
      </c>
    </row>
    <row r="1013" spans="2:13" x14ac:dyDescent="0.3">
      <c r="B1013" t="s">
        <v>62</v>
      </c>
      <c r="C1013" s="1" t="s">
        <v>63</v>
      </c>
      <c r="D1013" s="2">
        <v>44652</v>
      </c>
      <c r="E1013" s="8" t="s">
        <v>27</v>
      </c>
      <c r="F1013" s="8" t="s">
        <v>82</v>
      </c>
      <c r="G1013" s="8" t="s">
        <v>83</v>
      </c>
      <c r="H1013" t="s">
        <v>11</v>
      </c>
      <c r="I1013" s="4">
        <v>300</v>
      </c>
      <c r="J1013" s="8">
        <v>3</v>
      </c>
      <c r="K1013" s="4">
        <v>900</v>
      </c>
      <c r="L1013" s="4">
        <v>135</v>
      </c>
      <c r="M1013" s="3">
        <v>0.15</v>
      </c>
    </row>
    <row r="1014" spans="2:13" x14ac:dyDescent="0.3">
      <c r="B1014" t="s">
        <v>66</v>
      </c>
      <c r="C1014" s="1" t="s">
        <v>63</v>
      </c>
      <c r="D1014" s="2">
        <v>44682</v>
      </c>
      <c r="E1014" s="8" t="s">
        <v>27</v>
      </c>
      <c r="F1014" s="8" t="s">
        <v>82</v>
      </c>
      <c r="G1014" s="8" t="s">
        <v>83</v>
      </c>
      <c r="H1014" t="s">
        <v>10</v>
      </c>
      <c r="I1014" s="4">
        <v>1700</v>
      </c>
      <c r="J1014" s="8">
        <v>12</v>
      </c>
      <c r="K1014" s="4">
        <v>20400</v>
      </c>
      <c r="L1014" s="4">
        <v>10200</v>
      </c>
      <c r="M1014" s="3">
        <v>0.5</v>
      </c>
    </row>
    <row r="1015" spans="2:13" x14ac:dyDescent="0.3">
      <c r="B1015" t="s">
        <v>66</v>
      </c>
      <c r="C1015" s="1" t="s">
        <v>63</v>
      </c>
      <c r="D1015" s="2">
        <v>44712</v>
      </c>
      <c r="E1015" s="8" t="s">
        <v>27</v>
      </c>
      <c r="F1015" s="8" t="s">
        <v>82</v>
      </c>
      <c r="G1015" s="8" t="s">
        <v>83</v>
      </c>
      <c r="H1015" t="s">
        <v>10</v>
      </c>
      <c r="I1015" s="4">
        <v>1700</v>
      </c>
      <c r="J1015" s="8">
        <v>11</v>
      </c>
      <c r="K1015" s="4">
        <v>18700</v>
      </c>
      <c r="L1015" s="4">
        <v>9350</v>
      </c>
      <c r="M1015" s="3">
        <v>0.5</v>
      </c>
    </row>
    <row r="1016" spans="2:13" x14ac:dyDescent="0.3">
      <c r="B1016" t="s">
        <v>65</v>
      </c>
      <c r="C1016" s="1" t="s">
        <v>64</v>
      </c>
      <c r="D1016" s="2">
        <v>44742</v>
      </c>
      <c r="E1016" s="8" t="s">
        <v>27</v>
      </c>
      <c r="F1016" s="8" t="s">
        <v>82</v>
      </c>
      <c r="G1016" s="8" t="s">
        <v>83</v>
      </c>
      <c r="H1016" t="s">
        <v>15</v>
      </c>
      <c r="I1016" s="4">
        <v>5300</v>
      </c>
      <c r="J1016" s="8">
        <v>9</v>
      </c>
      <c r="K1016" s="4">
        <v>47700</v>
      </c>
      <c r="L1016" s="4">
        <v>14310</v>
      </c>
      <c r="M1016" s="3">
        <v>0.3</v>
      </c>
    </row>
    <row r="1017" spans="2:13" x14ac:dyDescent="0.3">
      <c r="B1017" t="s">
        <v>66</v>
      </c>
      <c r="C1017" s="1" t="s">
        <v>63</v>
      </c>
      <c r="D1017" s="2">
        <v>44772</v>
      </c>
      <c r="E1017" s="8" t="s">
        <v>27</v>
      </c>
      <c r="F1017" s="8" t="s">
        <v>82</v>
      </c>
      <c r="G1017" s="8" t="s">
        <v>83</v>
      </c>
      <c r="H1017" t="s">
        <v>9</v>
      </c>
      <c r="I1017" s="4">
        <v>1500</v>
      </c>
      <c r="J1017" s="8">
        <v>5</v>
      </c>
      <c r="K1017" s="4">
        <v>7500</v>
      </c>
      <c r="L1017" s="4">
        <v>3000</v>
      </c>
      <c r="M1017" s="3">
        <v>0.4</v>
      </c>
    </row>
    <row r="1018" spans="2:13" x14ac:dyDescent="0.3">
      <c r="B1018" t="s">
        <v>65</v>
      </c>
      <c r="C1018" s="1" t="s">
        <v>63</v>
      </c>
      <c r="D1018" s="2">
        <v>44802</v>
      </c>
      <c r="E1018" s="8" t="s">
        <v>27</v>
      </c>
      <c r="F1018" s="8" t="s">
        <v>82</v>
      </c>
      <c r="G1018" s="8" t="s">
        <v>83</v>
      </c>
      <c r="H1018" t="s">
        <v>10</v>
      </c>
      <c r="I1018" s="4">
        <v>1700</v>
      </c>
      <c r="J1018" s="8">
        <v>5</v>
      </c>
      <c r="K1018" s="4">
        <v>8500</v>
      </c>
      <c r="L1018" s="4">
        <v>4250</v>
      </c>
      <c r="M1018" s="3">
        <v>0.5</v>
      </c>
    </row>
    <row r="1019" spans="2:13" x14ac:dyDescent="0.3">
      <c r="B1019" t="s">
        <v>65</v>
      </c>
      <c r="C1019" s="1" t="s">
        <v>63</v>
      </c>
      <c r="D1019" s="2">
        <v>44832</v>
      </c>
      <c r="E1019" s="8" t="s">
        <v>27</v>
      </c>
      <c r="F1019" s="8" t="s">
        <v>82</v>
      </c>
      <c r="G1019" s="8" t="s">
        <v>83</v>
      </c>
      <c r="H1019" t="s">
        <v>18</v>
      </c>
      <c r="I1019" s="4">
        <v>4600</v>
      </c>
      <c r="J1019" s="8">
        <v>6</v>
      </c>
      <c r="K1019" s="4">
        <v>27600</v>
      </c>
      <c r="L1019" s="4">
        <v>6900</v>
      </c>
      <c r="M1019" s="3">
        <v>0.25</v>
      </c>
    </row>
    <row r="1020" spans="2:13" x14ac:dyDescent="0.3">
      <c r="B1020" t="s">
        <v>61</v>
      </c>
      <c r="C1020" s="1" t="s">
        <v>64</v>
      </c>
      <c r="D1020" s="2">
        <v>44862</v>
      </c>
      <c r="E1020" s="8" t="s">
        <v>27</v>
      </c>
      <c r="F1020" s="8" t="s">
        <v>82</v>
      </c>
      <c r="G1020" s="8" t="s">
        <v>83</v>
      </c>
      <c r="H1020" t="s">
        <v>18</v>
      </c>
      <c r="I1020" s="4">
        <v>4600</v>
      </c>
      <c r="J1020" s="8">
        <v>3</v>
      </c>
      <c r="K1020" s="4">
        <v>13800</v>
      </c>
      <c r="L1020" s="4">
        <v>3450</v>
      </c>
      <c r="M1020" s="3">
        <v>0.25</v>
      </c>
    </row>
    <row r="1021" spans="2:13" x14ac:dyDescent="0.3">
      <c r="B1021" t="s">
        <v>60</v>
      </c>
      <c r="C1021" s="1" t="s">
        <v>63</v>
      </c>
      <c r="D1021" s="2">
        <v>44892</v>
      </c>
      <c r="E1021" s="8" t="s">
        <v>27</v>
      </c>
      <c r="F1021" s="8" t="s">
        <v>82</v>
      </c>
      <c r="G1021" s="8" t="s">
        <v>83</v>
      </c>
      <c r="H1021" t="s">
        <v>14</v>
      </c>
      <c r="I1021" s="4">
        <v>4500</v>
      </c>
      <c r="J1021" s="8">
        <v>4</v>
      </c>
      <c r="K1021" s="4">
        <v>18000</v>
      </c>
      <c r="L1021" s="4">
        <v>4500</v>
      </c>
      <c r="M1021" s="3">
        <v>0.25</v>
      </c>
    </row>
    <row r="1022" spans="2:13" x14ac:dyDescent="0.3">
      <c r="B1022" t="s">
        <v>61</v>
      </c>
      <c r="C1022" s="1" t="s">
        <v>63</v>
      </c>
      <c r="D1022" s="2">
        <v>44922</v>
      </c>
      <c r="E1022" s="8" t="s">
        <v>27</v>
      </c>
      <c r="F1022" s="8" t="s">
        <v>82</v>
      </c>
      <c r="G1022" s="8" t="s">
        <v>83</v>
      </c>
      <c r="H1022" t="s">
        <v>18</v>
      </c>
      <c r="I1022" s="4">
        <v>4600</v>
      </c>
      <c r="J1022" s="8">
        <v>3</v>
      </c>
      <c r="K1022" s="4">
        <v>13800</v>
      </c>
      <c r="L1022" s="4">
        <v>3450</v>
      </c>
      <c r="M1022" s="3">
        <v>0.25</v>
      </c>
    </row>
    <row r="1023" spans="2:13" x14ac:dyDescent="0.3">
      <c r="B1023" t="s">
        <v>60</v>
      </c>
      <c r="C1023" s="1" t="s">
        <v>63</v>
      </c>
      <c r="D1023" s="2">
        <v>44952</v>
      </c>
      <c r="E1023" s="8" t="s">
        <v>27</v>
      </c>
      <c r="F1023" s="8" t="s">
        <v>82</v>
      </c>
      <c r="G1023" s="8" t="s">
        <v>83</v>
      </c>
      <c r="H1023" t="s">
        <v>13</v>
      </c>
      <c r="I1023" s="4">
        <v>3200</v>
      </c>
      <c r="J1023" s="8">
        <v>4</v>
      </c>
      <c r="K1023" s="4">
        <v>12800</v>
      </c>
      <c r="L1023" s="4">
        <v>2560</v>
      </c>
      <c r="M1023" s="3">
        <v>0.2</v>
      </c>
    </row>
    <row r="1024" spans="2:13" x14ac:dyDescent="0.3">
      <c r="B1024" t="s">
        <v>61</v>
      </c>
      <c r="C1024" s="1" t="s">
        <v>63</v>
      </c>
      <c r="D1024" s="2">
        <v>44982</v>
      </c>
      <c r="E1024" s="8" t="s">
        <v>27</v>
      </c>
      <c r="F1024" s="8" t="s">
        <v>82</v>
      </c>
      <c r="G1024" s="8" t="s">
        <v>83</v>
      </c>
      <c r="H1024" t="s">
        <v>15</v>
      </c>
      <c r="I1024" s="4">
        <v>5300</v>
      </c>
      <c r="J1024" s="8">
        <v>5</v>
      </c>
      <c r="K1024" s="4">
        <v>26500</v>
      </c>
      <c r="L1024" s="4">
        <v>7950</v>
      </c>
      <c r="M1024" s="3">
        <v>0.3</v>
      </c>
    </row>
    <row r="1025" spans="2:13" x14ac:dyDescent="0.3">
      <c r="B1025" t="s">
        <v>60</v>
      </c>
      <c r="C1025" s="1" t="s">
        <v>64</v>
      </c>
      <c r="D1025" s="2">
        <v>45012</v>
      </c>
      <c r="E1025" s="8" t="s">
        <v>27</v>
      </c>
      <c r="F1025" s="8" t="s">
        <v>84</v>
      </c>
      <c r="G1025" s="8" t="s">
        <v>85</v>
      </c>
      <c r="H1025" t="s">
        <v>8</v>
      </c>
      <c r="I1025" s="4">
        <v>1200</v>
      </c>
      <c r="J1025" s="8">
        <v>7</v>
      </c>
      <c r="K1025" s="4">
        <v>8400</v>
      </c>
      <c r="L1025" s="4">
        <v>2520</v>
      </c>
      <c r="M1025" s="3">
        <v>0.3</v>
      </c>
    </row>
    <row r="1026" spans="2:13" x14ac:dyDescent="0.3">
      <c r="B1026" t="s">
        <v>65</v>
      </c>
      <c r="C1026" s="1" t="s">
        <v>64</v>
      </c>
      <c r="D1026" s="2">
        <v>45042</v>
      </c>
      <c r="E1026" s="8" t="s">
        <v>27</v>
      </c>
      <c r="F1026" s="8" t="s">
        <v>84</v>
      </c>
      <c r="G1026" s="8" t="s">
        <v>85</v>
      </c>
      <c r="H1026" t="s">
        <v>19</v>
      </c>
      <c r="I1026" s="4">
        <v>5340</v>
      </c>
      <c r="J1026" s="8">
        <v>10</v>
      </c>
      <c r="K1026" s="4">
        <v>53400</v>
      </c>
      <c r="L1026" s="4">
        <v>16020</v>
      </c>
      <c r="M1026" s="3">
        <v>0.3</v>
      </c>
    </row>
    <row r="1027" spans="2:13" x14ac:dyDescent="0.3">
      <c r="B1027" t="s">
        <v>66</v>
      </c>
      <c r="C1027" s="1" t="s">
        <v>64</v>
      </c>
      <c r="D1027" s="2">
        <v>45072</v>
      </c>
      <c r="E1027" s="8" t="s">
        <v>27</v>
      </c>
      <c r="F1027" s="8" t="s">
        <v>84</v>
      </c>
      <c r="G1027" s="8" t="s">
        <v>85</v>
      </c>
      <c r="H1027" t="s">
        <v>17</v>
      </c>
      <c r="I1027" s="4">
        <v>5130</v>
      </c>
      <c r="J1027" s="8">
        <v>8</v>
      </c>
      <c r="K1027" s="4">
        <v>41040</v>
      </c>
      <c r="L1027" s="4">
        <v>16416</v>
      </c>
      <c r="M1027" s="3">
        <v>0.4</v>
      </c>
    </row>
    <row r="1028" spans="2:13" x14ac:dyDescent="0.3">
      <c r="B1028" t="s">
        <v>65</v>
      </c>
      <c r="C1028" s="1" t="s">
        <v>63</v>
      </c>
      <c r="D1028" s="2">
        <v>45102</v>
      </c>
      <c r="E1028" s="8" t="s">
        <v>27</v>
      </c>
      <c r="F1028" s="8" t="s">
        <v>84</v>
      </c>
      <c r="G1028" s="8" t="s">
        <v>85</v>
      </c>
      <c r="H1028" t="s">
        <v>18</v>
      </c>
      <c r="I1028" s="4">
        <v>4600</v>
      </c>
      <c r="J1028" s="8">
        <v>5</v>
      </c>
      <c r="K1028" s="4">
        <v>23000</v>
      </c>
      <c r="L1028" s="4">
        <v>5750</v>
      </c>
      <c r="M1028" s="3">
        <v>0.25</v>
      </c>
    </row>
    <row r="1029" spans="2:13" x14ac:dyDescent="0.3">
      <c r="B1029" t="s">
        <v>61</v>
      </c>
      <c r="C1029" s="1" t="s">
        <v>63</v>
      </c>
      <c r="D1029" s="2">
        <v>45132</v>
      </c>
      <c r="E1029" s="8" t="s">
        <v>27</v>
      </c>
      <c r="F1029" s="8" t="s">
        <v>84</v>
      </c>
      <c r="G1029" s="8" t="s">
        <v>85</v>
      </c>
      <c r="H1029" t="s">
        <v>13</v>
      </c>
      <c r="I1029" s="4">
        <v>3200</v>
      </c>
      <c r="J1029" s="8">
        <v>3</v>
      </c>
      <c r="K1029" s="4">
        <v>9600</v>
      </c>
      <c r="L1029" s="4">
        <v>1920</v>
      </c>
      <c r="M1029" s="3">
        <v>0.2</v>
      </c>
    </row>
    <row r="1030" spans="2:13" x14ac:dyDescent="0.3">
      <c r="B1030" t="s">
        <v>65</v>
      </c>
      <c r="C1030" s="1" t="s">
        <v>63</v>
      </c>
      <c r="D1030" s="2">
        <v>44562</v>
      </c>
      <c r="E1030" s="8" t="s">
        <v>27</v>
      </c>
      <c r="F1030" s="8" t="s">
        <v>84</v>
      </c>
      <c r="G1030" s="8" t="s">
        <v>85</v>
      </c>
      <c r="H1030" t="s">
        <v>17</v>
      </c>
      <c r="I1030" s="4">
        <v>5130</v>
      </c>
      <c r="J1030" s="8">
        <v>10</v>
      </c>
      <c r="K1030" s="4">
        <v>30780</v>
      </c>
      <c r="L1030" s="4">
        <v>12312</v>
      </c>
      <c r="M1030" s="3">
        <v>0.4</v>
      </c>
    </row>
    <row r="1031" spans="2:13" x14ac:dyDescent="0.3">
      <c r="B1031" t="s">
        <v>65</v>
      </c>
      <c r="C1031" s="1" t="s">
        <v>64</v>
      </c>
      <c r="D1031" s="2">
        <v>44592</v>
      </c>
      <c r="E1031" s="8" t="s">
        <v>27</v>
      </c>
      <c r="F1031" s="8" t="s">
        <v>84</v>
      </c>
      <c r="G1031" s="8" t="s">
        <v>85</v>
      </c>
      <c r="H1031" t="s">
        <v>9</v>
      </c>
      <c r="I1031" s="4">
        <v>1500</v>
      </c>
      <c r="J1031" s="8">
        <v>16</v>
      </c>
      <c r="K1031" s="4">
        <v>9000</v>
      </c>
      <c r="L1031" s="4">
        <v>3600</v>
      </c>
      <c r="M1031" s="3">
        <v>0.4</v>
      </c>
    </row>
    <row r="1032" spans="2:13" x14ac:dyDescent="0.3">
      <c r="B1032" t="s">
        <v>65</v>
      </c>
      <c r="C1032" s="1" t="s">
        <v>64</v>
      </c>
      <c r="D1032" s="2">
        <v>44622</v>
      </c>
      <c r="E1032" s="8" t="s">
        <v>27</v>
      </c>
      <c r="F1032" s="8" t="s">
        <v>84</v>
      </c>
      <c r="G1032" s="8" t="s">
        <v>85</v>
      </c>
      <c r="H1032" t="s">
        <v>16</v>
      </c>
      <c r="I1032" s="4">
        <v>3400</v>
      </c>
      <c r="J1032" s="8">
        <v>18</v>
      </c>
      <c r="K1032" s="4">
        <v>27200</v>
      </c>
      <c r="L1032" s="4">
        <v>9520</v>
      </c>
      <c r="M1032" s="3">
        <v>0.35</v>
      </c>
    </row>
    <row r="1033" spans="2:13" x14ac:dyDescent="0.3">
      <c r="B1033" t="s">
        <v>62</v>
      </c>
      <c r="C1033" s="1" t="s">
        <v>63</v>
      </c>
      <c r="D1033" s="2">
        <v>44652</v>
      </c>
      <c r="E1033" s="8" t="s">
        <v>27</v>
      </c>
      <c r="F1033" s="8" t="s">
        <v>84</v>
      </c>
      <c r="G1033" s="8" t="s">
        <v>85</v>
      </c>
      <c r="H1033" t="s">
        <v>11</v>
      </c>
      <c r="I1033" s="4">
        <v>300</v>
      </c>
      <c r="J1033" s="8">
        <v>13</v>
      </c>
      <c r="K1033" s="4">
        <v>900</v>
      </c>
      <c r="L1033" s="4">
        <v>135</v>
      </c>
      <c r="M1033" s="3">
        <v>0.15</v>
      </c>
    </row>
    <row r="1034" spans="2:13" x14ac:dyDescent="0.3">
      <c r="B1034" t="s">
        <v>66</v>
      </c>
      <c r="C1034" s="1" t="s">
        <v>63</v>
      </c>
      <c r="D1034" s="2">
        <v>44682</v>
      </c>
      <c r="E1034" s="8" t="s">
        <v>27</v>
      </c>
      <c r="F1034" s="8" t="s">
        <v>103</v>
      </c>
      <c r="G1034" s="8" t="s">
        <v>104</v>
      </c>
      <c r="H1034" t="s">
        <v>10</v>
      </c>
      <c r="I1034" s="4">
        <v>1700</v>
      </c>
      <c r="J1034" s="8">
        <v>20</v>
      </c>
      <c r="K1034" s="4">
        <v>20400</v>
      </c>
      <c r="L1034" s="4">
        <v>10200</v>
      </c>
      <c r="M1034" s="3">
        <v>0.5</v>
      </c>
    </row>
    <row r="1035" spans="2:13" x14ac:dyDescent="0.3">
      <c r="B1035" t="s">
        <v>66</v>
      </c>
      <c r="C1035" s="1" t="s">
        <v>63</v>
      </c>
      <c r="D1035" s="2">
        <v>44712</v>
      </c>
      <c r="E1035" s="8" t="s">
        <v>27</v>
      </c>
      <c r="F1035" s="8" t="s">
        <v>103</v>
      </c>
      <c r="G1035" s="8" t="s">
        <v>104</v>
      </c>
      <c r="H1035" t="s">
        <v>10</v>
      </c>
      <c r="I1035" s="4">
        <v>1700</v>
      </c>
      <c r="J1035" s="8">
        <v>21</v>
      </c>
      <c r="K1035" s="4">
        <v>18700</v>
      </c>
      <c r="L1035" s="4">
        <v>9350</v>
      </c>
      <c r="M1035" s="3">
        <v>0.5</v>
      </c>
    </row>
    <row r="1036" spans="2:13" x14ac:dyDescent="0.3">
      <c r="B1036" t="s">
        <v>65</v>
      </c>
      <c r="C1036" s="1" t="s">
        <v>64</v>
      </c>
      <c r="D1036" s="2">
        <v>44742</v>
      </c>
      <c r="E1036" s="8" t="s">
        <v>27</v>
      </c>
      <c r="F1036" s="8" t="s">
        <v>103</v>
      </c>
      <c r="G1036" s="8" t="s">
        <v>104</v>
      </c>
      <c r="H1036" t="s">
        <v>15</v>
      </c>
      <c r="I1036" s="4">
        <v>5300</v>
      </c>
      <c r="J1036" s="8">
        <v>19</v>
      </c>
      <c r="K1036" s="4">
        <v>47700</v>
      </c>
      <c r="L1036" s="4">
        <v>14310</v>
      </c>
      <c r="M1036" s="3">
        <v>0.3</v>
      </c>
    </row>
    <row r="1037" spans="2:13" x14ac:dyDescent="0.3">
      <c r="B1037" t="s">
        <v>66</v>
      </c>
      <c r="C1037" s="1" t="s">
        <v>63</v>
      </c>
      <c r="D1037" s="2">
        <v>44772</v>
      </c>
      <c r="E1037" s="8" t="s">
        <v>27</v>
      </c>
      <c r="F1037" s="8" t="s">
        <v>103</v>
      </c>
      <c r="G1037" s="8" t="s">
        <v>104</v>
      </c>
      <c r="H1037" t="s">
        <v>9</v>
      </c>
      <c r="I1037" s="4">
        <v>1500</v>
      </c>
      <c r="J1037" s="8">
        <v>14</v>
      </c>
      <c r="K1037" s="4">
        <v>7500</v>
      </c>
      <c r="L1037" s="4">
        <v>3000</v>
      </c>
      <c r="M1037" s="3">
        <v>0.4</v>
      </c>
    </row>
    <row r="1038" spans="2:13" x14ac:dyDescent="0.3">
      <c r="B1038" t="s">
        <v>65</v>
      </c>
      <c r="C1038" s="1" t="s">
        <v>63</v>
      </c>
      <c r="D1038" s="2">
        <v>44802</v>
      </c>
      <c r="E1038" s="8" t="s">
        <v>27</v>
      </c>
      <c r="F1038" s="8" t="s">
        <v>103</v>
      </c>
      <c r="G1038" s="8" t="s">
        <v>104</v>
      </c>
      <c r="H1038" t="s">
        <v>10</v>
      </c>
      <c r="I1038" s="4">
        <v>1700</v>
      </c>
      <c r="J1038" s="8">
        <v>5</v>
      </c>
      <c r="K1038" s="4">
        <v>8500</v>
      </c>
      <c r="L1038" s="4">
        <v>4250</v>
      </c>
      <c r="M1038" s="3">
        <v>0.5</v>
      </c>
    </row>
    <row r="1039" spans="2:13" x14ac:dyDescent="0.3">
      <c r="B1039" t="s">
        <v>65</v>
      </c>
      <c r="C1039" s="1" t="s">
        <v>63</v>
      </c>
      <c r="D1039" s="2">
        <v>44832</v>
      </c>
      <c r="E1039" s="8" t="s">
        <v>27</v>
      </c>
      <c r="F1039" s="8" t="s">
        <v>103</v>
      </c>
      <c r="G1039" s="8" t="s">
        <v>104</v>
      </c>
      <c r="H1039" t="s">
        <v>18</v>
      </c>
      <c r="I1039" s="4">
        <v>4600</v>
      </c>
      <c r="J1039" s="8">
        <v>6</v>
      </c>
      <c r="K1039" s="4">
        <v>27600</v>
      </c>
      <c r="L1039" s="4">
        <v>6900</v>
      </c>
      <c r="M1039" s="3">
        <v>0.25</v>
      </c>
    </row>
    <row r="1040" spans="2:13" x14ac:dyDescent="0.3">
      <c r="B1040" t="s">
        <v>61</v>
      </c>
      <c r="C1040" s="1" t="s">
        <v>64</v>
      </c>
      <c r="D1040" s="2">
        <v>44862</v>
      </c>
      <c r="E1040" s="8" t="s">
        <v>27</v>
      </c>
      <c r="F1040" s="8" t="s">
        <v>103</v>
      </c>
      <c r="G1040" s="8" t="s">
        <v>104</v>
      </c>
      <c r="H1040" t="s">
        <v>18</v>
      </c>
      <c r="I1040" s="4">
        <v>4600</v>
      </c>
      <c r="J1040" s="8">
        <v>3</v>
      </c>
      <c r="K1040" s="4">
        <v>13800</v>
      </c>
      <c r="L1040" s="4">
        <v>3450</v>
      </c>
      <c r="M1040" s="3">
        <v>0.25</v>
      </c>
    </row>
    <row r="1041" spans="2:13" x14ac:dyDescent="0.3">
      <c r="B1041" t="s">
        <v>60</v>
      </c>
      <c r="C1041" s="1" t="s">
        <v>63</v>
      </c>
      <c r="D1041" s="2">
        <v>44892</v>
      </c>
      <c r="E1041" s="8" t="s">
        <v>27</v>
      </c>
      <c r="F1041" s="8" t="s">
        <v>103</v>
      </c>
      <c r="G1041" s="8" t="s">
        <v>104</v>
      </c>
      <c r="H1041" t="s">
        <v>14</v>
      </c>
      <c r="I1041" s="4">
        <v>4500</v>
      </c>
      <c r="J1041" s="8">
        <v>4</v>
      </c>
      <c r="K1041" s="4">
        <v>18000</v>
      </c>
      <c r="L1041" s="4">
        <v>4500</v>
      </c>
      <c r="M1041" s="3">
        <v>0.25</v>
      </c>
    </row>
    <row r="1042" spans="2:13" x14ac:dyDescent="0.3">
      <c r="B1042" t="s">
        <v>61</v>
      </c>
      <c r="C1042" s="1" t="s">
        <v>63</v>
      </c>
      <c r="D1042" s="2">
        <v>44922</v>
      </c>
      <c r="E1042" s="8" t="s">
        <v>27</v>
      </c>
      <c r="F1042" s="8" t="s">
        <v>103</v>
      </c>
      <c r="G1042" s="8" t="s">
        <v>104</v>
      </c>
      <c r="H1042" t="s">
        <v>18</v>
      </c>
      <c r="I1042" s="4">
        <v>4600</v>
      </c>
      <c r="J1042" s="8">
        <v>3</v>
      </c>
      <c r="K1042" s="4">
        <v>13800</v>
      </c>
      <c r="L1042" s="4">
        <v>3450</v>
      </c>
      <c r="M1042" s="3">
        <v>0.25</v>
      </c>
    </row>
    <row r="1043" spans="2:13" x14ac:dyDescent="0.3">
      <c r="B1043" t="s">
        <v>60</v>
      </c>
      <c r="C1043" s="1" t="s">
        <v>63</v>
      </c>
      <c r="D1043" s="2">
        <v>44952</v>
      </c>
      <c r="E1043" s="8" t="s">
        <v>27</v>
      </c>
      <c r="F1043" s="8" t="s">
        <v>99</v>
      </c>
      <c r="G1043" s="8" t="s">
        <v>102</v>
      </c>
      <c r="H1043" t="s">
        <v>13</v>
      </c>
      <c r="I1043" s="4">
        <v>3200</v>
      </c>
      <c r="J1043" s="8">
        <v>4</v>
      </c>
      <c r="K1043" s="4">
        <v>12800</v>
      </c>
      <c r="L1043" s="4">
        <v>2560</v>
      </c>
      <c r="M1043" s="3">
        <v>0.2</v>
      </c>
    </row>
    <row r="1044" spans="2:13" x14ac:dyDescent="0.3">
      <c r="B1044" t="s">
        <v>61</v>
      </c>
      <c r="C1044" s="1" t="s">
        <v>63</v>
      </c>
      <c r="D1044" s="2">
        <v>44982</v>
      </c>
      <c r="E1044" s="8" t="s">
        <v>27</v>
      </c>
      <c r="F1044" s="8" t="s">
        <v>99</v>
      </c>
      <c r="G1044" s="8" t="s">
        <v>102</v>
      </c>
      <c r="H1044" t="s">
        <v>15</v>
      </c>
      <c r="I1044" s="4">
        <v>5300</v>
      </c>
      <c r="J1044" s="8">
        <v>15</v>
      </c>
      <c r="K1044" s="4">
        <v>26500</v>
      </c>
      <c r="L1044" s="4">
        <v>7950</v>
      </c>
      <c r="M1044" s="3">
        <v>0.3</v>
      </c>
    </row>
    <row r="1045" spans="2:13" x14ac:dyDescent="0.3">
      <c r="B1045" t="s">
        <v>60</v>
      </c>
      <c r="C1045" s="1" t="s">
        <v>64</v>
      </c>
      <c r="D1045" s="2">
        <v>45012</v>
      </c>
      <c r="E1045" s="8" t="s">
        <v>27</v>
      </c>
      <c r="F1045" s="8" t="s">
        <v>99</v>
      </c>
      <c r="G1045" s="8" t="s">
        <v>102</v>
      </c>
      <c r="H1045" t="s">
        <v>8</v>
      </c>
      <c r="I1045" s="4">
        <v>1200</v>
      </c>
      <c r="J1045" s="8">
        <v>20</v>
      </c>
      <c r="K1045" s="4">
        <v>8400</v>
      </c>
      <c r="L1045" s="4">
        <v>2520</v>
      </c>
      <c r="M1045" s="3">
        <v>0.3</v>
      </c>
    </row>
    <row r="1046" spans="2:13" x14ac:dyDescent="0.3">
      <c r="B1046" t="s">
        <v>65</v>
      </c>
      <c r="C1046" s="1" t="s">
        <v>64</v>
      </c>
      <c r="D1046" s="2">
        <v>45042</v>
      </c>
      <c r="E1046" s="8" t="s">
        <v>27</v>
      </c>
      <c r="F1046" s="8" t="s">
        <v>99</v>
      </c>
      <c r="G1046" s="8" t="s">
        <v>102</v>
      </c>
      <c r="H1046" t="s">
        <v>19</v>
      </c>
      <c r="I1046" s="4">
        <v>5340</v>
      </c>
      <c r="J1046" s="8">
        <v>10</v>
      </c>
      <c r="K1046" s="4">
        <v>53400</v>
      </c>
      <c r="L1046" s="4">
        <v>16020</v>
      </c>
      <c r="M1046" s="3">
        <v>0.3</v>
      </c>
    </row>
    <row r="1047" spans="2:13" x14ac:dyDescent="0.3">
      <c r="B1047" t="s">
        <v>66</v>
      </c>
      <c r="C1047" s="1" t="s">
        <v>64</v>
      </c>
      <c r="D1047" s="2">
        <v>45072</v>
      </c>
      <c r="E1047" s="8" t="s">
        <v>27</v>
      </c>
      <c r="F1047" s="8" t="s">
        <v>99</v>
      </c>
      <c r="G1047" s="8" t="s">
        <v>102</v>
      </c>
      <c r="H1047" t="s">
        <v>17</v>
      </c>
      <c r="I1047" s="4">
        <v>5130</v>
      </c>
      <c r="J1047" s="8">
        <v>8</v>
      </c>
      <c r="K1047" s="4">
        <v>41040</v>
      </c>
      <c r="L1047" s="4">
        <v>16416</v>
      </c>
      <c r="M1047" s="3">
        <v>0.4</v>
      </c>
    </row>
    <row r="1048" spans="2:13" x14ac:dyDescent="0.3">
      <c r="B1048" t="s">
        <v>65</v>
      </c>
      <c r="C1048" s="1" t="s">
        <v>63</v>
      </c>
      <c r="D1048" s="2">
        <v>45102</v>
      </c>
      <c r="E1048" s="8" t="s">
        <v>27</v>
      </c>
      <c r="F1048" s="8" t="s">
        <v>99</v>
      </c>
      <c r="G1048" s="8" t="s">
        <v>102</v>
      </c>
      <c r="H1048" t="s">
        <v>18</v>
      </c>
      <c r="I1048" s="4">
        <v>4600</v>
      </c>
      <c r="J1048" s="8">
        <v>15</v>
      </c>
      <c r="K1048" s="4">
        <v>23000</v>
      </c>
      <c r="L1048" s="4">
        <v>5750</v>
      </c>
      <c r="M1048" s="3">
        <v>0.25</v>
      </c>
    </row>
    <row r="1049" spans="2:13" x14ac:dyDescent="0.3">
      <c r="B1049" t="s">
        <v>61</v>
      </c>
      <c r="C1049" s="1" t="s">
        <v>63</v>
      </c>
      <c r="D1049" s="2">
        <v>45132</v>
      </c>
      <c r="E1049" s="8" t="s">
        <v>27</v>
      </c>
      <c r="F1049" s="8" t="s">
        <v>99</v>
      </c>
      <c r="G1049" s="8" t="s">
        <v>102</v>
      </c>
      <c r="H1049" t="s">
        <v>13</v>
      </c>
      <c r="I1049" s="4">
        <v>3200</v>
      </c>
      <c r="J1049" s="8">
        <v>3</v>
      </c>
      <c r="K1049" s="4">
        <v>9600</v>
      </c>
      <c r="L1049" s="4">
        <v>1920</v>
      </c>
      <c r="M1049" s="3">
        <v>0.2</v>
      </c>
    </row>
    <row r="1050" spans="2:13" x14ac:dyDescent="0.3">
      <c r="B1050" t="s">
        <v>62</v>
      </c>
      <c r="C1050" s="1" t="s">
        <v>64</v>
      </c>
      <c r="D1050" s="2">
        <v>44562</v>
      </c>
      <c r="E1050" s="8" t="s">
        <v>6</v>
      </c>
      <c r="F1050" s="8" t="s">
        <v>56</v>
      </c>
      <c r="G1050" s="8" t="s">
        <v>31</v>
      </c>
      <c r="H1050" t="s">
        <v>11</v>
      </c>
      <c r="I1050" s="4">
        <v>300</v>
      </c>
      <c r="J1050" s="8">
        <v>7</v>
      </c>
      <c r="K1050" s="4">
        <f t="shared" ref="K1050:K1113" si="26">I1050*J1050</f>
        <v>2100</v>
      </c>
      <c r="L1050" s="4">
        <f t="shared" ref="L1050:L1113" si="27">K1050*M1050</f>
        <v>315</v>
      </c>
      <c r="M1050" s="3">
        <v>0.15</v>
      </c>
    </row>
    <row r="1051" spans="2:13" x14ac:dyDescent="0.3">
      <c r="B1051" t="s">
        <v>62</v>
      </c>
      <c r="C1051" s="1" t="s">
        <v>64</v>
      </c>
      <c r="D1051" s="2">
        <v>44577</v>
      </c>
      <c r="E1051" s="8" t="s">
        <v>6</v>
      </c>
      <c r="F1051" s="8" t="s">
        <v>56</v>
      </c>
      <c r="G1051" s="8" t="s">
        <v>31</v>
      </c>
      <c r="H1051" t="s">
        <v>9</v>
      </c>
      <c r="I1051" s="4">
        <v>1500</v>
      </c>
      <c r="J1051" s="8">
        <v>10</v>
      </c>
      <c r="K1051" s="4">
        <f t="shared" si="26"/>
        <v>15000</v>
      </c>
      <c r="L1051" s="4">
        <f t="shared" si="27"/>
        <v>6000</v>
      </c>
      <c r="M1051" s="3">
        <v>0.4</v>
      </c>
    </row>
    <row r="1052" spans="2:13" x14ac:dyDescent="0.3">
      <c r="B1052" t="s">
        <v>61</v>
      </c>
      <c r="C1052" s="1" t="s">
        <v>64</v>
      </c>
      <c r="D1052" s="2">
        <v>44584</v>
      </c>
      <c r="E1052" s="8" t="s">
        <v>6</v>
      </c>
      <c r="F1052" s="8" t="s">
        <v>76</v>
      </c>
      <c r="G1052" s="8" t="s">
        <v>77</v>
      </c>
      <c r="H1052" t="s">
        <v>11</v>
      </c>
      <c r="I1052" s="4">
        <v>300</v>
      </c>
      <c r="J1052" s="8">
        <v>11</v>
      </c>
      <c r="K1052" s="4">
        <f t="shared" si="26"/>
        <v>3300</v>
      </c>
      <c r="L1052" s="4">
        <f t="shared" si="27"/>
        <v>495</v>
      </c>
      <c r="M1052" s="3">
        <v>0.15</v>
      </c>
    </row>
    <row r="1053" spans="2:13" x14ac:dyDescent="0.3">
      <c r="B1053" t="s">
        <v>65</v>
      </c>
      <c r="C1053" s="1" t="s">
        <v>63</v>
      </c>
      <c r="D1053" s="2">
        <v>44591</v>
      </c>
      <c r="E1053" s="8" t="s">
        <v>6</v>
      </c>
      <c r="F1053" s="8" t="s">
        <v>56</v>
      </c>
      <c r="G1053" s="8" t="s">
        <v>31</v>
      </c>
      <c r="H1053" t="s">
        <v>17</v>
      </c>
      <c r="I1053" s="4">
        <v>5130</v>
      </c>
      <c r="J1053" s="8">
        <v>9</v>
      </c>
      <c r="K1053" s="4">
        <f t="shared" si="26"/>
        <v>46170</v>
      </c>
      <c r="L1053" s="4">
        <f t="shared" si="27"/>
        <v>18468</v>
      </c>
      <c r="M1053" s="3">
        <v>0.4</v>
      </c>
    </row>
    <row r="1054" spans="2:13" x14ac:dyDescent="0.3">
      <c r="B1054" t="s">
        <v>60</v>
      </c>
      <c r="C1054" s="1" t="s">
        <v>63</v>
      </c>
      <c r="D1054" s="2">
        <v>44598</v>
      </c>
      <c r="E1054" s="8" t="s">
        <v>6</v>
      </c>
      <c r="F1054" s="8" t="s">
        <v>56</v>
      </c>
      <c r="G1054" s="8" t="s">
        <v>31</v>
      </c>
      <c r="H1054" t="s">
        <v>17</v>
      </c>
      <c r="I1054" s="4">
        <v>5130</v>
      </c>
      <c r="J1054" s="8">
        <v>4</v>
      </c>
      <c r="K1054" s="4">
        <f t="shared" si="26"/>
        <v>20520</v>
      </c>
      <c r="L1054" s="4">
        <f t="shared" si="27"/>
        <v>8208</v>
      </c>
      <c r="M1054" s="3">
        <v>0.4</v>
      </c>
    </row>
    <row r="1055" spans="2:13" x14ac:dyDescent="0.3">
      <c r="B1055" t="s">
        <v>60</v>
      </c>
      <c r="C1055" s="1" t="s">
        <v>64</v>
      </c>
      <c r="D1055" s="2">
        <v>44605</v>
      </c>
      <c r="E1055" s="8" t="s">
        <v>6</v>
      </c>
      <c r="F1055" s="8" t="s">
        <v>56</v>
      </c>
      <c r="G1055" s="8" t="s">
        <v>31</v>
      </c>
      <c r="H1055" t="s">
        <v>10</v>
      </c>
      <c r="I1055" s="4">
        <v>1700</v>
      </c>
      <c r="J1055" s="8">
        <v>8</v>
      </c>
      <c r="K1055" s="4">
        <f t="shared" si="26"/>
        <v>13600</v>
      </c>
      <c r="L1055" s="4">
        <f t="shared" si="27"/>
        <v>6800</v>
      </c>
      <c r="M1055" s="3">
        <v>0.5</v>
      </c>
    </row>
    <row r="1056" spans="2:13" x14ac:dyDescent="0.3">
      <c r="B1056" t="s">
        <v>60</v>
      </c>
      <c r="C1056" s="1" t="s">
        <v>63</v>
      </c>
      <c r="D1056" s="2">
        <v>44612</v>
      </c>
      <c r="E1056" s="8" t="s">
        <v>6</v>
      </c>
      <c r="F1056" s="8" t="s">
        <v>56</v>
      </c>
      <c r="G1056" s="8" t="s">
        <v>31</v>
      </c>
      <c r="H1056" t="s">
        <v>14</v>
      </c>
      <c r="I1056" s="4">
        <v>4500</v>
      </c>
      <c r="J1056" s="8">
        <v>9</v>
      </c>
      <c r="K1056" s="4">
        <f t="shared" si="26"/>
        <v>40500</v>
      </c>
      <c r="L1056" s="4">
        <f t="shared" si="27"/>
        <v>10125</v>
      </c>
      <c r="M1056" s="3">
        <v>0.25</v>
      </c>
    </row>
    <row r="1057" spans="2:13" x14ac:dyDescent="0.3">
      <c r="B1057" t="s">
        <v>65</v>
      </c>
      <c r="C1057" s="1" t="s">
        <v>64</v>
      </c>
      <c r="D1057" s="2">
        <v>44619</v>
      </c>
      <c r="E1057" s="8" t="s">
        <v>6</v>
      </c>
      <c r="F1057" s="8" t="s">
        <v>56</v>
      </c>
      <c r="G1057" s="8" t="s">
        <v>31</v>
      </c>
      <c r="H1057" t="s">
        <v>13</v>
      </c>
      <c r="I1057" s="4">
        <v>3200</v>
      </c>
      <c r="J1057" s="8">
        <v>9</v>
      </c>
      <c r="K1057" s="4">
        <f t="shared" si="26"/>
        <v>28800</v>
      </c>
      <c r="L1057" s="4">
        <f t="shared" si="27"/>
        <v>5760</v>
      </c>
      <c r="M1057" s="3">
        <v>0.2</v>
      </c>
    </row>
    <row r="1058" spans="2:13" x14ac:dyDescent="0.3">
      <c r="B1058" t="s">
        <v>65</v>
      </c>
      <c r="C1058" s="1" t="s">
        <v>64</v>
      </c>
      <c r="D1058" s="2">
        <v>44626</v>
      </c>
      <c r="E1058" s="8" t="s">
        <v>6</v>
      </c>
      <c r="F1058" s="8" t="s">
        <v>56</v>
      </c>
      <c r="G1058" s="8" t="s">
        <v>31</v>
      </c>
      <c r="H1058" t="s">
        <v>13</v>
      </c>
      <c r="I1058" s="4">
        <v>3200</v>
      </c>
      <c r="J1058" s="8">
        <v>2</v>
      </c>
      <c r="K1058" s="4">
        <f t="shared" si="26"/>
        <v>6400</v>
      </c>
      <c r="L1058" s="4">
        <f t="shared" si="27"/>
        <v>1280</v>
      </c>
      <c r="M1058" s="3">
        <v>0.2</v>
      </c>
    </row>
    <row r="1059" spans="2:13" x14ac:dyDescent="0.3">
      <c r="B1059" t="s">
        <v>65</v>
      </c>
      <c r="C1059" s="1" t="s">
        <v>64</v>
      </c>
      <c r="D1059" s="2">
        <v>44633</v>
      </c>
      <c r="E1059" s="8" t="s">
        <v>6</v>
      </c>
      <c r="F1059" s="8" t="s">
        <v>56</v>
      </c>
      <c r="G1059" s="8" t="s">
        <v>31</v>
      </c>
      <c r="H1059" t="s">
        <v>20</v>
      </c>
      <c r="I1059" s="4">
        <v>8902</v>
      </c>
      <c r="J1059" s="8">
        <v>6</v>
      </c>
      <c r="K1059" s="4">
        <f t="shared" si="26"/>
        <v>53412</v>
      </c>
      <c r="L1059" s="4">
        <f t="shared" si="27"/>
        <v>18694.199999999997</v>
      </c>
      <c r="M1059" s="3">
        <v>0.35</v>
      </c>
    </row>
    <row r="1060" spans="2:13" x14ac:dyDescent="0.3">
      <c r="B1060" t="s">
        <v>65</v>
      </c>
      <c r="C1060" s="1" t="s">
        <v>63</v>
      </c>
      <c r="D1060" s="2">
        <v>44640</v>
      </c>
      <c r="E1060" s="8" t="s">
        <v>6</v>
      </c>
      <c r="F1060" s="8" t="s">
        <v>56</v>
      </c>
      <c r="G1060" s="8" t="s">
        <v>31</v>
      </c>
      <c r="H1060" t="s">
        <v>16</v>
      </c>
      <c r="I1060" s="4">
        <v>3400</v>
      </c>
      <c r="J1060" s="8">
        <v>11</v>
      </c>
      <c r="K1060" s="4">
        <f t="shared" si="26"/>
        <v>37400</v>
      </c>
      <c r="L1060" s="4">
        <f t="shared" si="27"/>
        <v>13090</v>
      </c>
      <c r="M1060" s="3">
        <v>0.35</v>
      </c>
    </row>
    <row r="1061" spans="2:13" x14ac:dyDescent="0.3">
      <c r="B1061" t="s">
        <v>65</v>
      </c>
      <c r="C1061" s="1" t="s">
        <v>63</v>
      </c>
      <c r="D1061" s="2">
        <v>44647</v>
      </c>
      <c r="E1061" s="8" t="s">
        <v>6</v>
      </c>
      <c r="F1061" s="8" t="s">
        <v>56</v>
      </c>
      <c r="G1061" s="8" t="s">
        <v>31</v>
      </c>
      <c r="H1061" t="s">
        <v>20</v>
      </c>
      <c r="I1061" s="4">
        <v>8902</v>
      </c>
      <c r="J1061" s="8">
        <v>6</v>
      </c>
      <c r="K1061" s="4">
        <f t="shared" si="26"/>
        <v>53412</v>
      </c>
      <c r="L1061" s="4">
        <f t="shared" si="27"/>
        <v>18694.199999999997</v>
      </c>
      <c r="M1061" s="3">
        <v>0.35</v>
      </c>
    </row>
    <row r="1062" spans="2:13" x14ac:dyDescent="0.3">
      <c r="B1062" t="s">
        <v>65</v>
      </c>
      <c r="C1062" s="1" t="s">
        <v>64</v>
      </c>
      <c r="D1062" s="2">
        <v>44654</v>
      </c>
      <c r="E1062" s="8" t="s">
        <v>6</v>
      </c>
      <c r="F1062" s="8" t="s">
        <v>56</v>
      </c>
      <c r="G1062" s="8" t="s">
        <v>31</v>
      </c>
      <c r="H1062" t="s">
        <v>13</v>
      </c>
      <c r="I1062" s="4">
        <v>3200</v>
      </c>
      <c r="J1062" s="8">
        <v>9</v>
      </c>
      <c r="K1062" s="4">
        <f t="shared" si="26"/>
        <v>28800</v>
      </c>
      <c r="L1062" s="4">
        <f t="shared" si="27"/>
        <v>5760</v>
      </c>
      <c r="M1062" s="3">
        <v>0.2</v>
      </c>
    </row>
    <row r="1063" spans="2:13" x14ac:dyDescent="0.3">
      <c r="B1063" t="s">
        <v>66</v>
      </c>
      <c r="C1063" s="1" t="s">
        <v>63</v>
      </c>
      <c r="D1063" s="2">
        <v>44661</v>
      </c>
      <c r="E1063" s="8" t="s">
        <v>6</v>
      </c>
      <c r="F1063" s="8" t="s">
        <v>56</v>
      </c>
      <c r="G1063" s="8" t="s">
        <v>31</v>
      </c>
      <c r="H1063" t="s">
        <v>13</v>
      </c>
      <c r="I1063" s="4">
        <v>3200</v>
      </c>
      <c r="J1063" s="8">
        <v>12</v>
      </c>
      <c r="K1063" s="4">
        <f t="shared" si="26"/>
        <v>38400</v>
      </c>
      <c r="L1063" s="4">
        <f t="shared" si="27"/>
        <v>7680</v>
      </c>
      <c r="M1063" s="3">
        <v>0.2</v>
      </c>
    </row>
    <row r="1064" spans="2:13" x14ac:dyDescent="0.3">
      <c r="B1064" t="s">
        <v>60</v>
      </c>
      <c r="C1064" s="1" t="s">
        <v>64</v>
      </c>
      <c r="D1064" s="2">
        <v>44668</v>
      </c>
      <c r="E1064" s="8" t="s">
        <v>6</v>
      </c>
      <c r="F1064" s="8" t="s">
        <v>56</v>
      </c>
      <c r="G1064" s="8" t="s">
        <v>31</v>
      </c>
      <c r="H1064" t="s">
        <v>14</v>
      </c>
      <c r="I1064" s="4">
        <v>4500</v>
      </c>
      <c r="J1064" s="8">
        <v>1</v>
      </c>
      <c r="K1064" s="4">
        <f t="shared" si="26"/>
        <v>4500</v>
      </c>
      <c r="L1064" s="4">
        <f t="shared" si="27"/>
        <v>1125</v>
      </c>
      <c r="M1064" s="3">
        <v>0.25</v>
      </c>
    </row>
    <row r="1065" spans="2:13" x14ac:dyDescent="0.3">
      <c r="B1065" t="s">
        <v>65</v>
      </c>
      <c r="C1065" s="1" t="s">
        <v>63</v>
      </c>
      <c r="D1065" s="2">
        <v>44675</v>
      </c>
      <c r="E1065" s="8" t="s">
        <v>6</v>
      </c>
      <c r="F1065" s="8" t="s">
        <v>56</v>
      </c>
      <c r="G1065" s="8" t="s">
        <v>31</v>
      </c>
      <c r="H1065" t="s">
        <v>8</v>
      </c>
      <c r="I1065" s="4">
        <v>1200</v>
      </c>
      <c r="J1065" s="8">
        <v>10</v>
      </c>
      <c r="K1065" s="4">
        <f t="shared" si="26"/>
        <v>12000</v>
      </c>
      <c r="L1065" s="4">
        <f t="shared" si="27"/>
        <v>3600</v>
      </c>
      <c r="M1065" s="3">
        <v>0.3</v>
      </c>
    </row>
    <row r="1066" spans="2:13" x14ac:dyDescent="0.3">
      <c r="B1066" t="s">
        <v>60</v>
      </c>
      <c r="C1066" s="1" t="s">
        <v>64</v>
      </c>
      <c r="D1066" s="2">
        <v>44682</v>
      </c>
      <c r="E1066" s="8" t="s">
        <v>6</v>
      </c>
      <c r="F1066" s="8" t="s">
        <v>56</v>
      </c>
      <c r="G1066" s="8" t="s">
        <v>31</v>
      </c>
      <c r="H1066" t="s">
        <v>17</v>
      </c>
      <c r="I1066" s="4">
        <v>5130</v>
      </c>
      <c r="J1066" s="8">
        <v>5</v>
      </c>
      <c r="K1066" s="4">
        <f t="shared" si="26"/>
        <v>25650</v>
      </c>
      <c r="L1066" s="4">
        <f t="shared" si="27"/>
        <v>10260</v>
      </c>
      <c r="M1066" s="3">
        <v>0.4</v>
      </c>
    </row>
    <row r="1067" spans="2:13" x14ac:dyDescent="0.3">
      <c r="B1067" t="s">
        <v>65</v>
      </c>
      <c r="C1067" s="1" t="s">
        <v>63</v>
      </c>
      <c r="D1067" s="2">
        <v>44689</v>
      </c>
      <c r="E1067" s="8" t="s">
        <v>6</v>
      </c>
      <c r="F1067" s="8" t="s">
        <v>56</v>
      </c>
      <c r="G1067" s="8" t="s">
        <v>31</v>
      </c>
      <c r="H1067" t="s">
        <v>11</v>
      </c>
      <c r="I1067" s="4">
        <v>300</v>
      </c>
      <c r="J1067" s="8">
        <v>4</v>
      </c>
      <c r="K1067" s="4">
        <f t="shared" si="26"/>
        <v>1200</v>
      </c>
      <c r="L1067" s="4">
        <f t="shared" si="27"/>
        <v>180</v>
      </c>
      <c r="M1067" s="3">
        <v>0.15</v>
      </c>
    </row>
    <row r="1068" spans="2:13" x14ac:dyDescent="0.3">
      <c r="B1068" t="s">
        <v>65</v>
      </c>
      <c r="C1068" s="1" t="s">
        <v>63</v>
      </c>
      <c r="D1068" s="2">
        <v>44696</v>
      </c>
      <c r="E1068" s="8" t="s">
        <v>6</v>
      </c>
      <c r="F1068" s="8" t="s">
        <v>56</v>
      </c>
      <c r="G1068" s="8" t="s">
        <v>31</v>
      </c>
      <c r="H1068" t="s">
        <v>19</v>
      </c>
      <c r="I1068" s="4">
        <v>5340</v>
      </c>
      <c r="J1068" s="8">
        <v>9</v>
      </c>
      <c r="K1068" s="4">
        <f t="shared" si="26"/>
        <v>48060</v>
      </c>
      <c r="L1068" s="4">
        <f t="shared" si="27"/>
        <v>14418</v>
      </c>
      <c r="M1068" s="3">
        <v>0.3</v>
      </c>
    </row>
    <row r="1069" spans="2:13" x14ac:dyDescent="0.3">
      <c r="B1069" t="s">
        <v>60</v>
      </c>
      <c r="C1069" s="1" t="s">
        <v>64</v>
      </c>
      <c r="D1069" s="2">
        <v>44703</v>
      </c>
      <c r="E1069" s="8" t="s">
        <v>6</v>
      </c>
      <c r="F1069" s="8" t="s">
        <v>56</v>
      </c>
      <c r="G1069" s="8" t="s">
        <v>31</v>
      </c>
      <c r="H1069" t="s">
        <v>14</v>
      </c>
      <c r="I1069" s="4">
        <v>4500</v>
      </c>
      <c r="J1069" s="8">
        <v>2</v>
      </c>
      <c r="K1069" s="4">
        <f t="shared" si="26"/>
        <v>9000</v>
      </c>
      <c r="L1069" s="4">
        <f t="shared" si="27"/>
        <v>2250</v>
      </c>
      <c r="M1069" s="3">
        <v>0.25</v>
      </c>
    </row>
    <row r="1070" spans="2:13" x14ac:dyDescent="0.3">
      <c r="B1070" t="s">
        <v>62</v>
      </c>
      <c r="C1070" s="1" t="s">
        <v>63</v>
      </c>
      <c r="D1070" s="2">
        <v>44710</v>
      </c>
      <c r="E1070" s="8" t="s">
        <v>6</v>
      </c>
      <c r="F1070" s="8" t="s">
        <v>56</v>
      </c>
      <c r="G1070" s="8" t="s">
        <v>31</v>
      </c>
      <c r="H1070" t="s">
        <v>11</v>
      </c>
      <c r="I1070" s="4">
        <v>300</v>
      </c>
      <c r="J1070" s="8">
        <v>11</v>
      </c>
      <c r="K1070" s="4">
        <f t="shared" si="26"/>
        <v>3300</v>
      </c>
      <c r="L1070" s="4">
        <f t="shared" si="27"/>
        <v>495</v>
      </c>
      <c r="M1070" s="3">
        <v>0.15</v>
      </c>
    </row>
    <row r="1071" spans="2:13" x14ac:dyDescent="0.3">
      <c r="B1071" t="s">
        <v>66</v>
      </c>
      <c r="C1071" s="1" t="s">
        <v>64</v>
      </c>
      <c r="D1071" s="2">
        <v>44717</v>
      </c>
      <c r="E1071" s="8" t="s">
        <v>6</v>
      </c>
      <c r="F1071" s="8" t="s">
        <v>56</v>
      </c>
      <c r="G1071" s="8" t="s">
        <v>31</v>
      </c>
      <c r="H1071" t="s">
        <v>8</v>
      </c>
      <c r="I1071" s="4">
        <v>1200</v>
      </c>
      <c r="J1071" s="8">
        <v>9</v>
      </c>
      <c r="K1071" s="4">
        <f t="shared" si="26"/>
        <v>10800</v>
      </c>
      <c r="L1071" s="4">
        <f t="shared" si="27"/>
        <v>3240</v>
      </c>
      <c r="M1071" s="3">
        <v>0.3</v>
      </c>
    </row>
    <row r="1072" spans="2:13" x14ac:dyDescent="0.3">
      <c r="B1072" t="s">
        <v>61</v>
      </c>
      <c r="C1072" s="1" t="s">
        <v>63</v>
      </c>
      <c r="D1072" s="2">
        <v>44724</v>
      </c>
      <c r="E1072" s="8" t="s">
        <v>6</v>
      </c>
      <c r="F1072" s="8" t="s">
        <v>56</v>
      </c>
      <c r="G1072" s="8" t="s">
        <v>31</v>
      </c>
      <c r="H1072" t="s">
        <v>11</v>
      </c>
      <c r="I1072" s="4">
        <v>300</v>
      </c>
      <c r="J1072" s="8">
        <v>9</v>
      </c>
      <c r="K1072" s="4">
        <f t="shared" si="26"/>
        <v>2700</v>
      </c>
      <c r="L1072" s="4">
        <f t="shared" si="27"/>
        <v>405</v>
      </c>
      <c r="M1072" s="3">
        <v>0.15</v>
      </c>
    </row>
    <row r="1073" spans="2:13" x14ac:dyDescent="0.3">
      <c r="B1073" t="s">
        <v>65</v>
      </c>
      <c r="C1073" s="1" t="s">
        <v>63</v>
      </c>
      <c r="D1073" s="2">
        <v>44731</v>
      </c>
      <c r="E1073" s="8" t="s">
        <v>6</v>
      </c>
      <c r="F1073" s="8" t="s">
        <v>56</v>
      </c>
      <c r="G1073" s="8" t="s">
        <v>31</v>
      </c>
      <c r="H1073" t="s">
        <v>20</v>
      </c>
      <c r="I1073" s="4">
        <v>8902</v>
      </c>
      <c r="J1073" s="8">
        <v>10</v>
      </c>
      <c r="K1073" s="4">
        <f t="shared" si="26"/>
        <v>89020</v>
      </c>
      <c r="L1073" s="4">
        <f t="shared" si="27"/>
        <v>31156.999999999996</v>
      </c>
      <c r="M1073" s="3">
        <v>0.35</v>
      </c>
    </row>
    <row r="1074" spans="2:13" x14ac:dyDescent="0.3">
      <c r="B1074" t="s">
        <v>65</v>
      </c>
      <c r="C1074" s="1" t="s">
        <v>63</v>
      </c>
      <c r="D1074" s="2">
        <v>44738</v>
      </c>
      <c r="E1074" s="8" t="s">
        <v>6</v>
      </c>
      <c r="F1074" s="8" t="s">
        <v>56</v>
      </c>
      <c r="G1074" s="8" t="s">
        <v>31</v>
      </c>
      <c r="H1074" t="s">
        <v>11</v>
      </c>
      <c r="I1074" s="4">
        <v>300</v>
      </c>
      <c r="J1074" s="8">
        <v>12</v>
      </c>
      <c r="K1074" s="4">
        <f t="shared" si="26"/>
        <v>3600</v>
      </c>
      <c r="L1074" s="4">
        <f t="shared" si="27"/>
        <v>540</v>
      </c>
      <c r="M1074" s="3">
        <v>0.15</v>
      </c>
    </row>
    <row r="1075" spans="2:13" x14ac:dyDescent="0.3">
      <c r="B1075" t="s">
        <v>65</v>
      </c>
      <c r="C1075" s="1" t="s">
        <v>63</v>
      </c>
      <c r="D1075" s="2">
        <v>44745</v>
      </c>
      <c r="E1075" s="8" t="s">
        <v>6</v>
      </c>
      <c r="F1075" s="8" t="s">
        <v>56</v>
      </c>
      <c r="G1075" s="8" t="s">
        <v>31</v>
      </c>
      <c r="H1075" t="s">
        <v>14</v>
      </c>
      <c r="I1075" s="4">
        <v>4500</v>
      </c>
      <c r="J1075" s="8">
        <v>1</v>
      </c>
      <c r="K1075" s="4">
        <f t="shared" si="26"/>
        <v>4500</v>
      </c>
      <c r="L1075" s="4">
        <f t="shared" si="27"/>
        <v>1125</v>
      </c>
      <c r="M1075" s="3">
        <v>0.25</v>
      </c>
    </row>
    <row r="1076" spans="2:13" x14ac:dyDescent="0.3">
      <c r="B1076" t="s">
        <v>65</v>
      </c>
      <c r="C1076" s="1" t="s">
        <v>63</v>
      </c>
      <c r="D1076" s="2">
        <v>44752</v>
      </c>
      <c r="E1076" s="8" t="s">
        <v>6</v>
      </c>
      <c r="F1076" s="8" t="s">
        <v>56</v>
      </c>
      <c r="G1076" s="8" t="s">
        <v>31</v>
      </c>
      <c r="H1076" t="s">
        <v>12</v>
      </c>
      <c r="I1076" s="4">
        <v>500</v>
      </c>
      <c r="J1076" s="8">
        <v>4</v>
      </c>
      <c r="K1076" s="4">
        <f t="shared" si="26"/>
        <v>2000</v>
      </c>
      <c r="L1076" s="4">
        <f t="shared" si="27"/>
        <v>500</v>
      </c>
      <c r="M1076" s="3">
        <v>0.25</v>
      </c>
    </row>
    <row r="1077" spans="2:13" x14ac:dyDescent="0.3">
      <c r="B1077" t="s">
        <v>62</v>
      </c>
      <c r="C1077" s="1" t="s">
        <v>64</v>
      </c>
      <c r="D1077" s="2">
        <v>44759</v>
      </c>
      <c r="E1077" s="8" t="s">
        <v>6</v>
      </c>
      <c r="F1077" s="8" t="s">
        <v>56</v>
      </c>
      <c r="G1077" s="8" t="s">
        <v>31</v>
      </c>
      <c r="H1077" t="s">
        <v>16</v>
      </c>
      <c r="I1077" s="4">
        <v>3400</v>
      </c>
      <c r="J1077" s="8">
        <v>5</v>
      </c>
      <c r="K1077" s="4">
        <f t="shared" si="26"/>
        <v>17000</v>
      </c>
      <c r="L1077" s="4">
        <f t="shared" si="27"/>
        <v>5950</v>
      </c>
      <c r="M1077" s="3">
        <v>0.35</v>
      </c>
    </row>
    <row r="1078" spans="2:13" x14ac:dyDescent="0.3">
      <c r="B1078" t="s">
        <v>60</v>
      </c>
      <c r="C1078" s="1" t="s">
        <v>63</v>
      </c>
      <c r="D1078" s="2">
        <v>44766</v>
      </c>
      <c r="E1078" s="8" t="s">
        <v>6</v>
      </c>
      <c r="F1078" s="8" t="s">
        <v>56</v>
      </c>
      <c r="G1078" s="8" t="s">
        <v>31</v>
      </c>
      <c r="H1078" t="s">
        <v>10</v>
      </c>
      <c r="I1078" s="4">
        <v>1700</v>
      </c>
      <c r="J1078" s="8">
        <v>7</v>
      </c>
      <c r="K1078" s="4">
        <f t="shared" si="26"/>
        <v>11900</v>
      </c>
      <c r="L1078" s="4">
        <f t="shared" si="27"/>
        <v>5950</v>
      </c>
      <c r="M1078" s="3">
        <v>0.5</v>
      </c>
    </row>
    <row r="1079" spans="2:13" x14ac:dyDescent="0.3">
      <c r="B1079" t="s">
        <v>60</v>
      </c>
      <c r="C1079" s="1" t="s">
        <v>64</v>
      </c>
      <c r="D1079" s="2">
        <v>44766</v>
      </c>
      <c r="E1079" s="8" t="s">
        <v>6</v>
      </c>
      <c r="F1079" s="8" t="s">
        <v>76</v>
      </c>
      <c r="G1079" s="8" t="s">
        <v>77</v>
      </c>
      <c r="H1079" t="s">
        <v>8</v>
      </c>
      <c r="I1079" s="4">
        <v>1200</v>
      </c>
      <c r="J1079" s="8">
        <v>11</v>
      </c>
      <c r="K1079" s="4">
        <f t="shared" si="26"/>
        <v>13200</v>
      </c>
      <c r="L1079" s="4">
        <f t="shared" si="27"/>
        <v>3960</v>
      </c>
      <c r="M1079" s="3">
        <v>0.3</v>
      </c>
    </row>
    <row r="1080" spans="2:13" x14ac:dyDescent="0.3">
      <c r="B1080" t="s">
        <v>66</v>
      </c>
      <c r="C1080" s="1" t="s">
        <v>64</v>
      </c>
      <c r="D1080" s="2">
        <v>44773</v>
      </c>
      <c r="E1080" s="8" t="s">
        <v>6</v>
      </c>
      <c r="F1080" s="8" t="s">
        <v>56</v>
      </c>
      <c r="G1080" s="8" t="s">
        <v>31</v>
      </c>
      <c r="H1080" t="s">
        <v>12</v>
      </c>
      <c r="I1080" s="4">
        <v>500</v>
      </c>
      <c r="J1080" s="8">
        <v>12</v>
      </c>
      <c r="K1080" s="4">
        <f t="shared" si="26"/>
        <v>6000</v>
      </c>
      <c r="L1080" s="4">
        <f t="shared" si="27"/>
        <v>1500</v>
      </c>
      <c r="M1080" s="3">
        <v>0.25</v>
      </c>
    </row>
    <row r="1081" spans="2:13" x14ac:dyDescent="0.3">
      <c r="B1081" t="s">
        <v>65</v>
      </c>
      <c r="C1081" s="1" t="s">
        <v>64</v>
      </c>
      <c r="D1081" s="2">
        <v>44780</v>
      </c>
      <c r="E1081" s="8" t="s">
        <v>6</v>
      </c>
      <c r="F1081" s="8" t="s">
        <v>76</v>
      </c>
      <c r="G1081" s="8" t="s">
        <v>77</v>
      </c>
      <c r="H1081" t="s">
        <v>20</v>
      </c>
      <c r="I1081" s="4">
        <v>8902</v>
      </c>
      <c r="J1081" s="8">
        <v>10</v>
      </c>
      <c r="K1081" s="4">
        <f t="shared" si="26"/>
        <v>89020</v>
      </c>
      <c r="L1081" s="4">
        <f t="shared" si="27"/>
        <v>31156.999999999996</v>
      </c>
      <c r="M1081" s="3">
        <v>0.35</v>
      </c>
    </row>
    <row r="1082" spans="2:13" x14ac:dyDescent="0.3">
      <c r="B1082" t="s">
        <v>65</v>
      </c>
      <c r="C1082" s="1" t="s">
        <v>63</v>
      </c>
      <c r="D1082" s="2">
        <v>44787</v>
      </c>
      <c r="E1082" s="8" t="s">
        <v>6</v>
      </c>
      <c r="F1082" s="8" t="s">
        <v>76</v>
      </c>
      <c r="G1082" s="8" t="s">
        <v>77</v>
      </c>
      <c r="H1082" t="s">
        <v>20</v>
      </c>
      <c r="I1082" s="4">
        <v>8902</v>
      </c>
      <c r="J1082" s="8">
        <v>6</v>
      </c>
      <c r="K1082" s="4">
        <f t="shared" si="26"/>
        <v>53412</v>
      </c>
      <c r="L1082" s="4">
        <f t="shared" si="27"/>
        <v>18694.199999999997</v>
      </c>
      <c r="M1082" s="3">
        <v>0.35</v>
      </c>
    </row>
    <row r="1083" spans="2:13" x14ac:dyDescent="0.3">
      <c r="B1083" t="s">
        <v>60</v>
      </c>
      <c r="C1083" s="1" t="s">
        <v>63</v>
      </c>
      <c r="D1083" s="2">
        <v>44794</v>
      </c>
      <c r="E1083" s="8" t="s">
        <v>6</v>
      </c>
      <c r="F1083" s="8" t="s">
        <v>56</v>
      </c>
      <c r="G1083" s="8" t="s">
        <v>31</v>
      </c>
      <c r="H1083" t="s">
        <v>16</v>
      </c>
      <c r="I1083" s="4">
        <v>3400</v>
      </c>
      <c r="J1083" s="8">
        <v>10</v>
      </c>
      <c r="K1083" s="4">
        <f t="shared" si="26"/>
        <v>34000</v>
      </c>
      <c r="L1083" s="4">
        <f t="shared" si="27"/>
        <v>11900</v>
      </c>
      <c r="M1083" s="3">
        <v>0.35</v>
      </c>
    </row>
    <row r="1084" spans="2:13" x14ac:dyDescent="0.3">
      <c r="B1084" t="s">
        <v>60</v>
      </c>
      <c r="C1084" s="1" t="s">
        <v>63</v>
      </c>
      <c r="D1084" s="2">
        <v>44801</v>
      </c>
      <c r="E1084" s="8" t="s">
        <v>6</v>
      </c>
      <c r="F1084" s="8" t="s">
        <v>56</v>
      </c>
      <c r="G1084" s="8" t="s">
        <v>31</v>
      </c>
      <c r="H1084" t="s">
        <v>8</v>
      </c>
      <c r="I1084" s="4">
        <v>1200</v>
      </c>
      <c r="J1084" s="8">
        <v>8</v>
      </c>
      <c r="K1084" s="4">
        <f t="shared" si="26"/>
        <v>9600</v>
      </c>
      <c r="L1084" s="4">
        <f t="shared" si="27"/>
        <v>2880</v>
      </c>
      <c r="M1084" s="3">
        <v>0.3</v>
      </c>
    </row>
    <row r="1085" spans="2:13" x14ac:dyDescent="0.3">
      <c r="B1085" t="s">
        <v>65</v>
      </c>
      <c r="C1085" s="1" t="s">
        <v>63</v>
      </c>
      <c r="D1085" s="2">
        <v>44808</v>
      </c>
      <c r="E1085" s="8" t="s">
        <v>6</v>
      </c>
      <c r="F1085" s="8" t="s">
        <v>56</v>
      </c>
      <c r="G1085" s="8" t="s">
        <v>31</v>
      </c>
      <c r="H1085" t="s">
        <v>18</v>
      </c>
      <c r="I1085" s="4">
        <v>4600</v>
      </c>
      <c r="J1085" s="8">
        <v>1</v>
      </c>
      <c r="K1085" s="4">
        <f t="shared" si="26"/>
        <v>4600</v>
      </c>
      <c r="L1085" s="4">
        <f t="shared" si="27"/>
        <v>1150</v>
      </c>
      <c r="M1085" s="3">
        <v>0.25</v>
      </c>
    </row>
    <row r="1086" spans="2:13" x14ac:dyDescent="0.3">
      <c r="B1086" t="s">
        <v>65</v>
      </c>
      <c r="C1086" s="1" t="s">
        <v>63</v>
      </c>
      <c r="D1086" s="2">
        <v>44815</v>
      </c>
      <c r="E1086" s="8" t="s">
        <v>6</v>
      </c>
      <c r="F1086" s="8" t="s">
        <v>56</v>
      </c>
      <c r="G1086" s="8" t="s">
        <v>31</v>
      </c>
      <c r="H1086" t="s">
        <v>18</v>
      </c>
      <c r="I1086" s="4">
        <v>4600</v>
      </c>
      <c r="J1086" s="8">
        <v>4</v>
      </c>
      <c r="K1086" s="4">
        <f t="shared" si="26"/>
        <v>18400</v>
      </c>
      <c r="L1086" s="4">
        <f t="shared" si="27"/>
        <v>4600</v>
      </c>
      <c r="M1086" s="3">
        <v>0.25</v>
      </c>
    </row>
    <row r="1087" spans="2:13" x14ac:dyDescent="0.3">
      <c r="B1087" t="s">
        <v>60</v>
      </c>
      <c r="C1087" s="1" t="s">
        <v>63</v>
      </c>
      <c r="D1087" s="2">
        <v>44822</v>
      </c>
      <c r="E1087" s="8" t="s">
        <v>6</v>
      </c>
      <c r="F1087" s="8" t="s">
        <v>56</v>
      </c>
      <c r="G1087" s="8" t="s">
        <v>31</v>
      </c>
      <c r="H1087" t="s">
        <v>17</v>
      </c>
      <c r="I1087" s="4">
        <v>5130</v>
      </c>
      <c r="J1087" s="8">
        <v>4</v>
      </c>
      <c r="K1087" s="4">
        <f t="shared" si="26"/>
        <v>20520</v>
      </c>
      <c r="L1087" s="4">
        <f t="shared" si="27"/>
        <v>8208</v>
      </c>
      <c r="M1087" s="3">
        <v>0.4</v>
      </c>
    </row>
    <row r="1088" spans="2:13" x14ac:dyDescent="0.3">
      <c r="B1088" t="s">
        <v>60</v>
      </c>
      <c r="C1088" s="1" t="s">
        <v>64</v>
      </c>
      <c r="D1088" s="2">
        <v>44829</v>
      </c>
      <c r="E1088" s="8" t="s">
        <v>6</v>
      </c>
      <c r="F1088" s="8" t="s">
        <v>56</v>
      </c>
      <c r="G1088" s="8" t="s">
        <v>31</v>
      </c>
      <c r="H1088" t="s">
        <v>11</v>
      </c>
      <c r="I1088" s="4">
        <v>300</v>
      </c>
      <c r="J1088" s="8">
        <v>1</v>
      </c>
      <c r="K1088" s="4">
        <f t="shared" si="26"/>
        <v>300</v>
      </c>
      <c r="L1088" s="4">
        <f t="shared" si="27"/>
        <v>45</v>
      </c>
      <c r="M1088" s="3">
        <v>0.15</v>
      </c>
    </row>
    <row r="1089" spans="2:13" x14ac:dyDescent="0.3">
      <c r="B1089" t="s">
        <v>65</v>
      </c>
      <c r="C1089" s="1" t="s">
        <v>64</v>
      </c>
      <c r="D1089" s="2">
        <v>44836</v>
      </c>
      <c r="E1089" s="8" t="s">
        <v>6</v>
      </c>
      <c r="F1089" s="8" t="s">
        <v>56</v>
      </c>
      <c r="G1089" s="8" t="s">
        <v>31</v>
      </c>
      <c r="H1089" t="s">
        <v>18</v>
      </c>
      <c r="I1089" s="4">
        <v>4600</v>
      </c>
      <c r="J1089" s="8">
        <v>5</v>
      </c>
      <c r="K1089" s="4">
        <f t="shared" si="26"/>
        <v>23000</v>
      </c>
      <c r="L1089" s="4">
        <f t="shared" si="27"/>
        <v>5750</v>
      </c>
      <c r="M1089" s="3">
        <v>0.25</v>
      </c>
    </row>
    <row r="1090" spans="2:13" x14ac:dyDescent="0.3">
      <c r="B1090" t="s">
        <v>66</v>
      </c>
      <c r="C1090" s="1" t="s">
        <v>63</v>
      </c>
      <c r="D1090" s="2">
        <v>44843</v>
      </c>
      <c r="E1090" s="8" t="s">
        <v>6</v>
      </c>
      <c r="F1090" s="8" t="s">
        <v>56</v>
      </c>
      <c r="G1090" s="8" t="s">
        <v>31</v>
      </c>
      <c r="H1090" t="s">
        <v>12</v>
      </c>
      <c r="I1090" s="4">
        <v>500</v>
      </c>
      <c r="J1090" s="8">
        <v>8</v>
      </c>
      <c r="K1090" s="4">
        <f t="shared" si="26"/>
        <v>4000</v>
      </c>
      <c r="L1090" s="4">
        <f t="shared" si="27"/>
        <v>1000</v>
      </c>
      <c r="M1090" s="3">
        <v>0.25</v>
      </c>
    </row>
    <row r="1091" spans="2:13" x14ac:dyDescent="0.3">
      <c r="B1091" t="s">
        <v>65</v>
      </c>
      <c r="C1091" s="1" t="s">
        <v>63</v>
      </c>
      <c r="D1091" s="2">
        <v>44850</v>
      </c>
      <c r="E1091" s="8" t="s">
        <v>6</v>
      </c>
      <c r="F1091" s="8" t="s">
        <v>56</v>
      </c>
      <c r="G1091" s="8" t="s">
        <v>31</v>
      </c>
      <c r="H1091" t="s">
        <v>9</v>
      </c>
      <c r="I1091" s="4">
        <v>1500</v>
      </c>
      <c r="J1091" s="8">
        <v>3</v>
      </c>
      <c r="K1091" s="4">
        <f t="shared" si="26"/>
        <v>4500</v>
      </c>
      <c r="L1091" s="4">
        <f t="shared" si="27"/>
        <v>1800</v>
      </c>
      <c r="M1091" s="3">
        <v>0.4</v>
      </c>
    </row>
    <row r="1092" spans="2:13" x14ac:dyDescent="0.3">
      <c r="B1092" t="s">
        <v>65</v>
      </c>
      <c r="C1092" s="1" t="s">
        <v>63</v>
      </c>
      <c r="D1092" s="2">
        <v>44857</v>
      </c>
      <c r="E1092" s="8" t="s">
        <v>6</v>
      </c>
      <c r="F1092" s="8" t="s">
        <v>56</v>
      </c>
      <c r="G1092" s="8" t="s">
        <v>31</v>
      </c>
      <c r="H1092" t="s">
        <v>9</v>
      </c>
      <c r="I1092" s="4">
        <v>1500</v>
      </c>
      <c r="J1092" s="8">
        <v>1</v>
      </c>
      <c r="K1092" s="4">
        <f t="shared" si="26"/>
        <v>1500</v>
      </c>
      <c r="L1092" s="4">
        <f t="shared" si="27"/>
        <v>600</v>
      </c>
      <c r="M1092" s="3">
        <v>0.4</v>
      </c>
    </row>
    <row r="1093" spans="2:13" x14ac:dyDescent="0.3">
      <c r="B1093" t="s">
        <v>65</v>
      </c>
      <c r="C1093" s="1" t="s">
        <v>63</v>
      </c>
      <c r="D1093" s="2">
        <v>44864</v>
      </c>
      <c r="E1093" s="8" t="s">
        <v>6</v>
      </c>
      <c r="F1093" s="8" t="s">
        <v>56</v>
      </c>
      <c r="G1093" s="8" t="s">
        <v>31</v>
      </c>
      <c r="H1093" t="s">
        <v>12</v>
      </c>
      <c r="I1093" s="4">
        <v>500</v>
      </c>
      <c r="J1093" s="8">
        <v>11</v>
      </c>
      <c r="K1093" s="4">
        <f t="shared" si="26"/>
        <v>5500</v>
      </c>
      <c r="L1093" s="4">
        <f t="shared" si="27"/>
        <v>1375</v>
      </c>
      <c r="M1093" s="3">
        <v>0.25</v>
      </c>
    </row>
    <row r="1094" spans="2:13" x14ac:dyDescent="0.3">
      <c r="B1094" t="s">
        <v>65</v>
      </c>
      <c r="C1094" s="1" t="s">
        <v>63</v>
      </c>
      <c r="D1094" s="2">
        <v>44871</v>
      </c>
      <c r="E1094" s="8" t="s">
        <v>6</v>
      </c>
      <c r="F1094" s="8" t="s">
        <v>56</v>
      </c>
      <c r="G1094" s="8" t="s">
        <v>31</v>
      </c>
      <c r="H1094" t="s">
        <v>10</v>
      </c>
      <c r="I1094" s="4">
        <v>1700</v>
      </c>
      <c r="J1094" s="8">
        <v>12</v>
      </c>
      <c r="K1094" s="4">
        <f t="shared" si="26"/>
        <v>20400</v>
      </c>
      <c r="L1094" s="4">
        <f t="shared" si="27"/>
        <v>10200</v>
      </c>
      <c r="M1094" s="3">
        <v>0.5</v>
      </c>
    </row>
    <row r="1095" spans="2:13" x14ac:dyDescent="0.3">
      <c r="B1095" t="s">
        <v>66</v>
      </c>
      <c r="C1095" s="1" t="s">
        <v>64</v>
      </c>
      <c r="D1095" s="2">
        <v>44878</v>
      </c>
      <c r="E1095" s="8" t="s">
        <v>6</v>
      </c>
      <c r="F1095" s="8" t="s">
        <v>56</v>
      </c>
      <c r="G1095" s="8" t="s">
        <v>31</v>
      </c>
      <c r="H1095" t="s">
        <v>8</v>
      </c>
      <c r="I1095" s="4">
        <v>1200</v>
      </c>
      <c r="J1095" s="8">
        <v>4</v>
      </c>
      <c r="K1095" s="4">
        <f t="shared" si="26"/>
        <v>4800</v>
      </c>
      <c r="L1095" s="4">
        <f t="shared" si="27"/>
        <v>1440</v>
      </c>
      <c r="M1095" s="3">
        <v>0.3</v>
      </c>
    </row>
    <row r="1096" spans="2:13" x14ac:dyDescent="0.3">
      <c r="B1096" t="s">
        <v>65</v>
      </c>
      <c r="C1096" s="1" t="s">
        <v>63</v>
      </c>
      <c r="D1096" s="2">
        <v>44885</v>
      </c>
      <c r="E1096" s="8" t="s">
        <v>6</v>
      </c>
      <c r="F1096" s="8" t="s">
        <v>56</v>
      </c>
      <c r="G1096" s="8" t="s">
        <v>31</v>
      </c>
      <c r="H1096" t="s">
        <v>16</v>
      </c>
      <c r="I1096" s="4">
        <v>3400</v>
      </c>
      <c r="J1096" s="8">
        <v>1</v>
      </c>
      <c r="K1096" s="4">
        <f t="shared" si="26"/>
        <v>3400</v>
      </c>
      <c r="L1096" s="4">
        <f t="shared" si="27"/>
        <v>1190</v>
      </c>
      <c r="M1096" s="3">
        <v>0.35</v>
      </c>
    </row>
    <row r="1097" spans="2:13" x14ac:dyDescent="0.3">
      <c r="B1097" t="s">
        <v>62</v>
      </c>
      <c r="C1097" s="1" t="s">
        <v>63</v>
      </c>
      <c r="D1097" s="2">
        <v>44892</v>
      </c>
      <c r="E1097" s="8" t="s">
        <v>6</v>
      </c>
      <c r="F1097" s="8" t="s">
        <v>56</v>
      </c>
      <c r="G1097" s="8" t="s">
        <v>31</v>
      </c>
      <c r="H1097" t="s">
        <v>13</v>
      </c>
      <c r="I1097" s="4">
        <v>3200</v>
      </c>
      <c r="J1097" s="8">
        <v>10</v>
      </c>
      <c r="K1097" s="4">
        <f t="shared" si="26"/>
        <v>32000</v>
      </c>
      <c r="L1097" s="4">
        <f t="shared" si="27"/>
        <v>6400</v>
      </c>
      <c r="M1097" s="3">
        <v>0.2</v>
      </c>
    </row>
    <row r="1098" spans="2:13" x14ac:dyDescent="0.3">
      <c r="B1098" t="s">
        <v>60</v>
      </c>
      <c r="C1098" s="1" t="s">
        <v>63</v>
      </c>
      <c r="D1098" s="2">
        <v>44899</v>
      </c>
      <c r="E1098" s="8" t="s">
        <v>6</v>
      </c>
      <c r="F1098" s="8" t="s">
        <v>56</v>
      </c>
      <c r="G1098" s="8" t="s">
        <v>31</v>
      </c>
      <c r="H1098" t="s">
        <v>11</v>
      </c>
      <c r="I1098" s="4">
        <v>300</v>
      </c>
      <c r="J1098" s="8">
        <v>7</v>
      </c>
      <c r="K1098" s="4">
        <f t="shared" si="26"/>
        <v>2100</v>
      </c>
      <c r="L1098" s="4">
        <f t="shared" si="27"/>
        <v>315</v>
      </c>
      <c r="M1098" s="3">
        <v>0.15</v>
      </c>
    </row>
    <row r="1099" spans="2:13" x14ac:dyDescent="0.3">
      <c r="B1099" t="s">
        <v>60</v>
      </c>
      <c r="C1099" s="1" t="s">
        <v>63</v>
      </c>
      <c r="D1099" s="2">
        <v>44906</v>
      </c>
      <c r="E1099" s="8" t="s">
        <v>6</v>
      </c>
      <c r="F1099" s="8" t="s">
        <v>56</v>
      </c>
      <c r="G1099" s="8" t="s">
        <v>31</v>
      </c>
      <c r="H1099" t="s">
        <v>8</v>
      </c>
      <c r="I1099" s="4">
        <v>1200</v>
      </c>
      <c r="J1099" s="8">
        <v>5</v>
      </c>
      <c r="K1099" s="4">
        <f t="shared" si="26"/>
        <v>6000</v>
      </c>
      <c r="L1099" s="4">
        <f t="shared" si="27"/>
        <v>1800</v>
      </c>
      <c r="M1099" s="3">
        <v>0.3</v>
      </c>
    </row>
    <row r="1100" spans="2:13" x14ac:dyDescent="0.3">
      <c r="B1100" t="s">
        <v>61</v>
      </c>
      <c r="C1100" s="1" t="s">
        <v>63</v>
      </c>
      <c r="D1100" s="2">
        <v>44913</v>
      </c>
      <c r="E1100" s="8" t="s">
        <v>6</v>
      </c>
      <c r="F1100" s="8" t="s">
        <v>56</v>
      </c>
      <c r="G1100" s="8" t="s">
        <v>31</v>
      </c>
      <c r="H1100" t="s">
        <v>14</v>
      </c>
      <c r="I1100" s="4">
        <v>4500</v>
      </c>
      <c r="J1100" s="8">
        <v>3</v>
      </c>
      <c r="K1100" s="4">
        <f t="shared" si="26"/>
        <v>13500</v>
      </c>
      <c r="L1100" s="4">
        <f t="shared" si="27"/>
        <v>3375</v>
      </c>
      <c r="M1100" s="3">
        <v>0.25</v>
      </c>
    </row>
    <row r="1101" spans="2:13" x14ac:dyDescent="0.3">
      <c r="B1101" t="s">
        <v>62</v>
      </c>
      <c r="C1101" s="1" t="s">
        <v>64</v>
      </c>
      <c r="D1101" s="2">
        <v>44920</v>
      </c>
      <c r="E1101" s="8" t="s">
        <v>6</v>
      </c>
      <c r="F1101" s="8" t="s">
        <v>56</v>
      </c>
      <c r="G1101" s="8" t="s">
        <v>31</v>
      </c>
      <c r="H1101" t="s">
        <v>19</v>
      </c>
      <c r="I1101" s="4">
        <v>5340</v>
      </c>
      <c r="J1101" s="8">
        <v>5</v>
      </c>
      <c r="K1101" s="4">
        <f t="shared" si="26"/>
        <v>26700</v>
      </c>
      <c r="L1101" s="4">
        <f t="shared" si="27"/>
        <v>8010</v>
      </c>
      <c r="M1101" s="3">
        <v>0.3</v>
      </c>
    </row>
    <row r="1102" spans="2:13" x14ac:dyDescent="0.3">
      <c r="B1102" t="s">
        <v>66</v>
      </c>
      <c r="C1102" s="1" t="s">
        <v>64</v>
      </c>
      <c r="D1102" s="2">
        <v>44927</v>
      </c>
      <c r="E1102" s="8" t="s">
        <v>6</v>
      </c>
      <c r="F1102" s="8" t="s">
        <v>56</v>
      </c>
      <c r="G1102" s="8" t="s">
        <v>31</v>
      </c>
      <c r="H1102" t="s">
        <v>11</v>
      </c>
      <c r="I1102" s="4">
        <v>300</v>
      </c>
      <c r="J1102" s="8">
        <v>8</v>
      </c>
      <c r="K1102" s="4">
        <f t="shared" si="26"/>
        <v>2400</v>
      </c>
      <c r="L1102" s="4">
        <f t="shared" si="27"/>
        <v>360</v>
      </c>
      <c r="M1102" s="3">
        <v>0.15</v>
      </c>
    </row>
    <row r="1103" spans="2:13" x14ac:dyDescent="0.3">
      <c r="B1103" t="s">
        <v>60</v>
      </c>
      <c r="C1103" s="1" t="s">
        <v>63</v>
      </c>
      <c r="D1103" s="2">
        <v>44934</v>
      </c>
      <c r="E1103" s="8" t="s">
        <v>6</v>
      </c>
      <c r="F1103" s="8" t="s">
        <v>56</v>
      </c>
      <c r="G1103" s="8" t="s">
        <v>31</v>
      </c>
      <c r="H1103" t="s">
        <v>13</v>
      </c>
      <c r="I1103" s="4">
        <v>3200</v>
      </c>
      <c r="J1103" s="8">
        <v>6</v>
      </c>
      <c r="K1103" s="4">
        <f t="shared" si="26"/>
        <v>19200</v>
      </c>
      <c r="L1103" s="4">
        <f t="shared" si="27"/>
        <v>3840</v>
      </c>
      <c r="M1103" s="3">
        <v>0.2</v>
      </c>
    </row>
    <row r="1104" spans="2:13" x14ac:dyDescent="0.3">
      <c r="B1104" t="s">
        <v>60</v>
      </c>
      <c r="C1104" s="1" t="s">
        <v>64</v>
      </c>
      <c r="D1104" s="2">
        <v>44941</v>
      </c>
      <c r="E1104" s="8" t="s">
        <v>6</v>
      </c>
      <c r="F1104" s="8" t="s">
        <v>56</v>
      </c>
      <c r="G1104" s="8" t="s">
        <v>31</v>
      </c>
      <c r="H1104" t="s">
        <v>15</v>
      </c>
      <c r="I1104" s="4">
        <v>5300</v>
      </c>
      <c r="J1104" s="8">
        <v>8</v>
      </c>
      <c r="K1104" s="4">
        <f t="shared" si="26"/>
        <v>42400</v>
      </c>
      <c r="L1104" s="4">
        <f t="shared" si="27"/>
        <v>12720</v>
      </c>
      <c r="M1104" s="3">
        <v>0.3</v>
      </c>
    </row>
    <row r="1105" spans="2:13" x14ac:dyDescent="0.3">
      <c r="B1105" t="s">
        <v>65</v>
      </c>
      <c r="C1105" s="1" t="s">
        <v>63</v>
      </c>
      <c r="D1105" s="2">
        <v>44948</v>
      </c>
      <c r="E1105" s="8" t="s">
        <v>6</v>
      </c>
      <c r="F1105" s="8" t="s">
        <v>56</v>
      </c>
      <c r="G1105" s="8" t="s">
        <v>31</v>
      </c>
      <c r="H1105" t="s">
        <v>17</v>
      </c>
      <c r="I1105" s="4">
        <v>5130</v>
      </c>
      <c r="J1105" s="8">
        <v>4</v>
      </c>
      <c r="K1105" s="4">
        <f t="shared" si="26"/>
        <v>20520</v>
      </c>
      <c r="L1105" s="4">
        <f t="shared" si="27"/>
        <v>8208</v>
      </c>
      <c r="M1105" s="3">
        <v>0.4</v>
      </c>
    </row>
    <row r="1106" spans="2:13" x14ac:dyDescent="0.3">
      <c r="B1106" t="s">
        <v>62</v>
      </c>
      <c r="C1106" s="1" t="s">
        <v>63</v>
      </c>
      <c r="D1106" s="2">
        <v>44955</v>
      </c>
      <c r="E1106" s="8" t="s">
        <v>6</v>
      </c>
      <c r="F1106" s="8" t="s">
        <v>56</v>
      </c>
      <c r="G1106" s="8" t="s">
        <v>31</v>
      </c>
      <c r="H1106" t="s">
        <v>9</v>
      </c>
      <c r="I1106" s="4">
        <v>1500</v>
      </c>
      <c r="J1106" s="8">
        <v>7</v>
      </c>
      <c r="K1106" s="4">
        <f t="shared" si="26"/>
        <v>10500</v>
      </c>
      <c r="L1106" s="4">
        <f t="shared" si="27"/>
        <v>4200</v>
      </c>
      <c r="M1106" s="3">
        <v>0.4</v>
      </c>
    </row>
    <row r="1107" spans="2:13" x14ac:dyDescent="0.3">
      <c r="B1107" t="s">
        <v>65</v>
      </c>
      <c r="C1107" s="1" t="s">
        <v>63</v>
      </c>
      <c r="D1107" s="2">
        <v>44962</v>
      </c>
      <c r="E1107" s="8" t="s">
        <v>6</v>
      </c>
      <c r="F1107" s="8" t="s">
        <v>56</v>
      </c>
      <c r="G1107" s="8" t="s">
        <v>31</v>
      </c>
      <c r="H1107" t="s">
        <v>20</v>
      </c>
      <c r="I1107" s="4">
        <v>8902</v>
      </c>
      <c r="J1107" s="8">
        <v>2</v>
      </c>
      <c r="K1107" s="4">
        <f t="shared" si="26"/>
        <v>17804</v>
      </c>
      <c r="L1107" s="4">
        <f t="shared" si="27"/>
        <v>6231.4</v>
      </c>
      <c r="M1107" s="3">
        <v>0.35</v>
      </c>
    </row>
    <row r="1108" spans="2:13" x14ac:dyDescent="0.3">
      <c r="B1108" t="s">
        <v>62</v>
      </c>
      <c r="C1108" s="1" t="s">
        <v>63</v>
      </c>
      <c r="D1108" s="2">
        <v>44969</v>
      </c>
      <c r="E1108" s="8" t="s">
        <v>6</v>
      </c>
      <c r="F1108" s="8" t="s">
        <v>56</v>
      </c>
      <c r="G1108" s="8" t="s">
        <v>31</v>
      </c>
      <c r="H1108" t="s">
        <v>17</v>
      </c>
      <c r="I1108" s="4">
        <v>5130</v>
      </c>
      <c r="J1108" s="8">
        <v>9</v>
      </c>
      <c r="K1108" s="4">
        <f t="shared" si="26"/>
        <v>46170</v>
      </c>
      <c r="L1108" s="4">
        <f t="shared" si="27"/>
        <v>18468</v>
      </c>
      <c r="M1108" s="3">
        <v>0.4</v>
      </c>
    </row>
    <row r="1109" spans="2:13" x14ac:dyDescent="0.3">
      <c r="B1109" t="s">
        <v>62</v>
      </c>
      <c r="C1109" s="1" t="s">
        <v>64</v>
      </c>
      <c r="D1109" s="2">
        <v>44976</v>
      </c>
      <c r="E1109" s="8" t="s">
        <v>6</v>
      </c>
      <c r="F1109" s="8" t="s">
        <v>56</v>
      </c>
      <c r="G1109" s="8" t="s">
        <v>31</v>
      </c>
      <c r="H1109" t="s">
        <v>15</v>
      </c>
      <c r="I1109" s="4">
        <v>5300</v>
      </c>
      <c r="J1109" s="8">
        <v>1</v>
      </c>
      <c r="K1109" s="4">
        <f t="shared" si="26"/>
        <v>5300</v>
      </c>
      <c r="L1109" s="4">
        <f t="shared" si="27"/>
        <v>1590</v>
      </c>
      <c r="M1109" s="3">
        <v>0.3</v>
      </c>
    </row>
    <row r="1110" spans="2:13" x14ac:dyDescent="0.3">
      <c r="B1110" t="s">
        <v>65</v>
      </c>
      <c r="C1110" s="1" t="s">
        <v>63</v>
      </c>
      <c r="D1110" s="2">
        <v>44983</v>
      </c>
      <c r="E1110" s="8" t="s">
        <v>6</v>
      </c>
      <c r="F1110" s="8" t="s">
        <v>56</v>
      </c>
      <c r="G1110" s="8" t="s">
        <v>31</v>
      </c>
      <c r="H1110" t="s">
        <v>12</v>
      </c>
      <c r="I1110" s="4">
        <v>500</v>
      </c>
      <c r="J1110" s="8">
        <v>3</v>
      </c>
      <c r="K1110" s="4">
        <f t="shared" si="26"/>
        <v>1500</v>
      </c>
      <c r="L1110" s="4">
        <f t="shared" si="27"/>
        <v>375</v>
      </c>
      <c r="M1110" s="3">
        <v>0.25</v>
      </c>
    </row>
    <row r="1111" spans="2:13" x14ac:dyDescent="0.3">
      <c r="B1111" t="s">
        <v>65</v>
      </c>
      <c r="C1111" s="1" t="s">
        <v>64</v>
      </c>
      <c r="D1111" s="2">
        <v>44990</v>
      </c>
      <c r="E1111" s="8" t="s">
        <v>6</v>
      </c>
      <c r="F1111" s="8" t="s">
        <v>56</v>
      </c>
      <c r="G1111" s="8" t="s">
        <v>31</v>
      </c>
      <c r="H1111" t="s">
        <v>18</v>
      </c>
      <c r="I1111" s="4">
        <v>4600</v>
      </c>
      <c r="J1111" s="8">
        <v>11</v>
      </c>
      <c r="K1111" s="4">
        <f t="shared" si="26"/>
        <v>50600</v>
      </c>
      <c r="L1111" s="4">
        <f t="shared" si="27"/>
        <v>12650</v>
      </c>
      <c r="M1111" s="3">
        <v>0.25</v>
      </c>
    </row>
    <row r="1112" spans="2:13" x14ac:dyDescent="0.3">
      <c r="B1112" t="s">
        <v>65</v>
      </c>
      <c r="C1112" s="1" t="s">
        <v>63</v>
      </c>
      <c r="D1112" s="2">
        <v>44997</v>
      </c>
      <c r="E1112" s="8" t="s">
        <v>6</v>
      </c>
      <c r="F1112" s="8" t="s">
        <v>56</v>
      </c>
      <c r="G1112" s="8" t="s">
        <v>31</v>
      </c>
      <c r="H1112" t="s">
        <v>14</v>
      </c>
      <c r="I1112" s="4">
        <v>4500</v>
      </c>
      <c r="J1112" s="8">
        <v>10</v>
      </c>
      <c r="K1112" s="4">
        <f t="shared" si="26"/>
        <v>45000</v>
      </c>
      <c r="L1112" s="4">
        <f t="shared" si="27"/>
        <v>11250</v>
      </c>
      <c r="M1112" s="3">
        <v>0.25</v>
      </c>
    </row>
    <row r="1113" spans="2:13" x14ac:dyDescent="0.3">
      <c r="B1113" t="s">
        <v>65</v>
      </c>
      <c r="C1113" s="1" t="s">
        <v>63</v>
      </c>
      <c r="D1113" s="2">
        <v>45004</v>
      </c>
      <c r="E1113" s="8" t="s">
        <v>6</v>
      </c>
      <c r="F1113" s="8" t="s">
        <v>56</v>
      </c>
      <c r="G1113" s="8" t="s">
        <v>31</v>
      </c>
      <c r="H1113" t="s">
        <v>9</v>
      </c>
      <c r="I1113" s="4">
        <v>1500</v>
      </c>
      <c r="J1113" s="8">
        <v>2</v>
      </c>
      <c r="K1113" s="4">
        <f t="shared" si="26"/>
        <v>3000</v>
      </c>
      <c r="L1113" s="4">
        <f t="shared" si="27"/>
        <v>1200</v>
      </c>
      <c r="M1113" s="3">
        <v>0.4</v>
      </c>
    </row>
    <row r="1114" spans="2:13" x14ac:dyDescent="0.3">
      <c r="B1114" t="s">
        <v>62</v>
      </c>
      <c r="C1114" s="1" t="s">
        <v>63</v>
      </c>
      <c r="D1114" s="2">
        <v>45011</v>
      </c>
      <c r="E1114" s="8" t="s">
        <v>6</v>
      </c>
      <c r="F1114" s="8" t="s">
        <v>56</v>
      </c>
      <c r="G1114" s="8" t="s">
        <v>31</v>
      </c>
      <c r="H1114" t="s">
        <v>17</v>
      </c>
      <c r="I1114" s="4">
        <v>5130</v>
      </c>
      <c r="J1114" s="8">
        <v>7</v>
      </c>
      <c r="K1114" s="4">
        <f t="shared" ref="K1114:K1177" si="28">I1114*J1114</f>
        <v>35910</v>
      </c>
      <c r="L1114" s="4">
        <f t="shared" ref="L1114:L1177" si="29">K1114*M1114</f>
        <v>14364</v>
      </c>
      <c r="M1114" s="3">
        <v>0.4</v>
      </c>
    </row>
    <row r="1115" spans="2:13" x14ac:dyDescent="0.3">
      <c r="B1115" t="s">
        <v>60</v>
      </c>
      <c r="C1115" s="1" t="s">
        <v>64</v>
      </c>
      <c r="D1115" s="2">
        <v>45018</v>
      </c>
      <c r="E1115" s="8" t="s">
        <v>6</v>
      </c>
      <c r="F1115" s="8" t="s">
        <v>56</v>
      </c>
      <c r="G1115" s="8" t="s">
        <v>31</v>
      </c>
      <c r="H1115" t="s">
        <v>15</v>
      </c>
      <c r="I1115" s="4">
        <v>5300</v>
      </c>
      <c r="J1115" s="8">
        <v>9</v>
      </c>
      <c r="K1115" s="4">
        <f t="shared" si="28"/>
        <v>47700</v>
      </c>
      <c r="L1115" s="4">
        <f t="shared" si="29"/>
        <v>14310</v>
      </c>
      <c r="M1115" s="3">
        <v>0.3</v>
      </c>
    </row>
    <row r="1116" spans="2:13" x14ac:dyDescent="0.3">
      <c r="B1116" t="s">
        <v>65</v>
      </c>
      <c r="C1116" s="1" t="s">
        <v>63</v>
      </c>
      <c r="D1116" s="2">
        <v>45025</v>
      </c>
      <c r="E1116" s="8" t="s">
        <v>6</v>
      </c>
      <c r="F1116" s="8" t="s">
        <v>56</v>
      </c>
      <c r="G1116" s="8" t="s">
        <v>31</v>
      </c>
      <c r="H1116" t="s">
        <v>20</v>
      </c>
      <c r="I1116" s="4">
        <v>8902</v>
      </c>
      <c r="J1116" s="8">
        <v>3</v>
      </c>
      <c r="K1116" s="4">
        <f t="shared" si="28"/>
        <v>26706</v>
      </c>
      <c r="L1116" s="4">
        <f t="shared" si="29"/>
        <v>9347.0999999999985</v>
      </c>
      <c r="M1116" s="3">
        <v>0.35</v>
      </c>
    </row>
    <row r="1117" spans="2:13" x14ac:dyDescent="0.3">
      <c r="B1117" t="s">
        <v>65</v>
      </c>
      <c r="C1117" s="1" t="s">
        <v>63</v>
      </c>
      <c r="D1117" s="2">
        <v>45032</v>
      </c>
      <c r="E1117" s="8" t="s">
        <v>6</v>
      </c>
      <c r="F1117" s="8" t="s">
        <v>56</v>
      </c>
      <c r="G1117" s="8" t="s">
        <v>31</v>
      </c>
      <c r="H1117" t="s">
        <v>18</v>
      </c>
      <c r="I1117" s="4">
        <v>4600</v>
      </c>
      <c r="J1117" s="8">
        <v>1</v>
      </c>
      <c r="K1117" s="4">
        <f t="shared" si="28"/>
        <v>4600</v>
      </c>
      <c r="L1117" s="4">
        <f t="shared" si="29"/>
        <v>1150</v>
      </c>
      <c r="M1117" s="3">
        <v>0.25</v>
      </c>
    </row>
    <row r="1118" spans="2:13" x14ac:dyDescent="0.3">
      <c r="B1118" t="s">
        <v>65</v>
      </c>
      <c r="C1118" s="1" t="s">
        <v>63</v>
      </c>
      <c r="D1118" s="2">
        <v>45039</v>
      </c>
      <c r="E1118" s="8" t="s">
        <v>6</v>
      </c>
      <c r="F1118" s="8" t="s">
        <v>56</v>
      </c>
      <c r="G1118" s="8" t="s">
        <v>31</v>
      </c>
      <c r="H1118" t="s">
        <v>19</v>
      </c>
      <c r="I1118" s="4">
        <v>5340</v>
      </c>
      <c r="J1118" s="8">
        <v>6</v>
      </c>
      <c r="K1118" s="4">
        <f t="shared" si="28"/>
        <v>32040</v>
      </c>
      <c r="L1118" s="4">
        <f t="shared" si="29"/>
        <v>9612</v>
      </c>
      <c r="M1118" s="3">
        <v>0.3</v>
      </c>
    </row>
    <row r="1119" spans="2:13" x14ac:dyDescent="0.3">
      <c r="B1119" t="s">
        <v>65</v>
      </c>
      <c r="C1119" s="1" t="s">
        <v>64</v>
      </c>
      <c r="D1119" s="2">
        <v>45046</v>
      </c>
      <c r="E1119" s="8" t="s">
        <v>6</v>
      </c>
      <c r="F1119" s="8" t="s">
        <v>56</v>
      </c>
      <c r="G1119" s="8" t="s">
        <v>31</v>
      </c>
      <c r="H1119" t="s">
        <v>17</v>
      </c>
      <c r="I1119" s="4">
        <v>5130</v>
      </c>
      <c r="J1119" s="8">
        <v>4</v>
      </c>
      <c r="K1119" s="4">
        <f t="shared" si="28"/>
        <v>20520</v>
      </c>
      <c r="L1119" s="4">
        <f t="shared" si="29"/>
        <v>8208</v>
      </c>
      <c r="M1119" s="3">
        <v>0.4</v>
      </c>
    </row>
    <row r="1120" spans="2:13" x14ac:dyDescent="0.3">
      <c r="B1120" t="s">
        <v>65</v>
      </c>
      <c r="C1120" s="1" t="s">
        <v>63</v>
      </c>
      <c r="D1120" s="2">
        <v>45053</v>
      </c>
      <c r="E1120" s="8" t="s">
        <v>6</v>
      </c>
      <c r="F1120" s="8" t="s">
        <v>56</v>
      </c>
      <c r="G1120" s="8" t="s">
        <v>31</v>
      </c>
      <c r="H1120" t="s">
        <v>17</v>
      </c>
      <c r="I1120" s="4">
        <v>5130</v>
      </c>
      <c r="J1120" s="8">
        <v>12</v>
      </c>
      <c r="K1120" s="4">
        <f t="shared" si="28"/>
        <v>61560</v>
      </c>
      <c r="L1120" s="4">
        <f t="shared" si="29"/>
        <v>24624</v>
      </c>
      <c r="M1120" s="3">
        <v>0.4</v>
      </c>
    </row>
    <row r="1121" spans="2:13" x14ac:dyDescent="0.3">
      <c r="B1121" t="s">
        <v>66</v>
      </c>
      <c r="C1121" s="1" t="s">
        <v>63</v>
      </c>
      <c r="D1121" s="2">
        <v>45060</v>
      </c>
      <c r="E1121" s="8" t="s">
        <v>6</v>
      </c>
      <c r="F1121" s="8" t="s">
        <v>56</v>
      </c>
      <c r="G1121" s="8" t="s">
        <v>31</v>
      </c>
      <c r="H1121" t="s">
        <v>11</v>
      </c>
      <c r="I1121" s="4">
        <v>300</v>
      </c>
      <c r="J1121" s="8">
        <v>9</v>
      </c>
      <c r="K1121" s="4">
        <f t="shared" si="28"/>
        <v>2700</v>
      </c>
      <c r="L1121" s="4">
        <f t="shared" si="29"/>
        <v>405</v>
      </c>
      <c r="M1121" s="3">
        <v>0.15</v>
      </c>
    </row>
    <row r="1122" spans="2:13" x14ac:dyDescent="0.3">
      <c r="B1122" t="s">
        <v>62</v>
      </c>
      <c r="C1122" s="1" t="s">
        <v>63</v>
      </c>
      <c r="D1122" s="2">
        <v>45067</v>
      </c>
      <c r="E1122" s="8" t="s">
        <v>6</v>
      </c>
      <c r="F1122" s="8" t="s">
        <v>56</v>
      </c>
      <c r="G1122" s="8" t="s">
        <v>31</v>
      </c>
      <c r="H1122" t="s">
        <v>15</v>
      </c>
      <c r="I1122" s="4">
        <v>5300</v>
      </c>
      <c r="J1122" s="8">
        <v>11</v>
      </c>
      <c r="K1122" s="4">
        <f t="shared" si="28"/>
        <v>58300</v>
      </c>
      <c r="L1122" s="4">
        <f t="shared" si="29"/>
        <v>17490</v>
      </c>
      <c r="M1122" s="3">
        <v>0.3</v>
      </c>
    </row>
    <row r="1123" spans="2:13" x14ac:dyDescent="0.3">
      <c r="B1123" t="s">
        <v>65</v>
      </c>
      <c r="C1123" s="1" t="s">
        <v>64</v>
      </c>
      <c r="D1123" s="2">
        <v>45074</v>
      </c>
      <c r="E1123" s="8" t="s">
        <v>6</v>
      </c>
      <c r="F1123" s="8" t="s">
        <v>56</v>
      </c>
      <c r="G1123" s="8" t="s">
        <v>31</v>
      </c>
      <c r="H1123" t="s">
        <v>11</v>
      </c>
      <c r="I1123" s="4">
        <v>300</v>
      </c>
      <c r="J1123" s="8">
        <v>2</v>
      </c>
      <c r="K1123" s="4">
        <f t="shared" si="28"/>
        <v>600</v>
      </c>
      <c r="L1123" s="4">
        <f t="shared" si="29"/>
        <v>90</v>
      </c>
      <c r="M1123" s="3">
        <v>0.15</v>
      </c>
    </row>
    <row r="1124" spans="2:13" x14ac:dyDescent="0.3">
      <c r="B1124" t="s">
        <v>60</v>
      </c>
      <c r="C1124" s="1" t="s">
        <v>63</v>
      </c>
      <c r="D1124" s="2">
        <v>45081</v>
      </c>
      <c r="E1124" s="8" t="s">
        <v>6</v>
      </c>
      <c r="F1124" s="8" t="s">
        <v>56</v>
      </c>
      <c r="G1124" s="8" t="s">
        <v>31</v>
      </c>
      <c r="H1124" t="s">
        <v>13</v>
      </c>
      <c r="I1124" s="4">
        <v>3200</v>
      </c>
      <c r="J1124" s="8">
        <v>10</v>
      </c>
      <c r="K1124" s="4">
        <f t="shared" si="28"/>
        <v>32000</v>
      </c>
      <c r="L1124" s="4">
        <f t="shared" si="29"/>
        <v>6400</v>
      </c>
      <c r="M1124" s="3">
        <v>0.2</v>
      </c>
    </row>
    <row r="1125" spans="2:13" x14ac:dyDescent="0.3">
      <c r="B1125" t="s">
        <v>65</v>
      </c>
      <c r="C1125" s="1" t="s">
        <v>63</v>
      </c>
      <c r="D1125" s="2">
        <v>45088</v>
      </c>
      <c r="E1125" s="8" t="s">
        <v>6</v>
      </c>
      <c r="F1125" s="8" t="s">
        <v>56</v>
      </c>
      <c r="G1125" s="8" t="s">
        <v>31</v>
      </c>
      <c r="H1125" t="s">
        <v>19</v>
      </c>
      <c r="I1125" s="4">
        <v>5340</v>
      </c>
      <c r="J1125" s="8">
        <v>3</v>
      </c>
      <c r="K1125" s="4">
        <f t="shared" si="28"/>
        <v>16020</v>
      </c>
      <c r="L1125" s="4">
        <f t="shared" si="29"/>
        <v>4806</v>
      </c>
      <c r="M1125" s="3">
        <v>0.3</v>
      </c>
    </row>
    <row r="1126" spans="2:13" x14ac:dyDescent="0.3">
      <c r="B1126" t="s">
        <v>66</v>
      </c>
      <c r="C1126" s="1" t="s">
        <v>63</v>
      </c>
      <c r="D1126" s="2">
        <v>45095</v>
      </c>
      <c r="E1126" s="8" t="s">
        <v>6</v>
      </c>
      <c r="F1126" s="8" t="s">
        <v>56</v>
      </c>
      <c r="G1126" s="8" t="s">
        <v>31</v>
      </c>
      <c r="H1126" t="s">
        <v>13</v>
      </c>
      <c r="I1126" s="4">
        <v>3200</v>
      </c>
      <c r="J1126" s="8">
        <v>20</v>
      </c>
      <c r="K1126" s="4">
        <f t="shared" si="28"/>
        <v>64000</v>
      </c>
      <c r="L1126" s="4">
        <f t="shared" si="29"/>
        <v>12800</v>
      </c>
      <c r="M1126" s="3">
        <v>0.2</v>
      </c>
    </row>
    <row r="1127" spans="2:13" x14ac:dyDescent="0.3">
      <c r="B1127" t="s">
        <v>65</v>
      </c>
      <c r="C1127" s="1" t="s">
        <v>64</v>
      </c>
      <c r="D1127" s="2">
        <v>45102</v>
      </c>
      <c r="E1127" s="8" t="s">
        <v>6</v>
      </c>
      <c r="F1127" s="8" t="s">
        <v>56</v>
      </c>
      <c r="G1127" s="8" t="s">
        <v>31</v>
      </c>
      <c r="H1127" t="s">
        <v>18</v>
      </c>
      <c r="I1127" s="4">
        <v>4600</v>
      </c>
      <c r="J1127" s="8">
        <v>10</v>
      </c>
      <c r="K1127" s="4">
        <f t="shared" si="28"/>
        <v>46000</v>
      </c>
      <c r="L1127" s="4">
        <f t="shared" si="29"/>
        <v>11500</v>
      </c>
      <c r="M1127" s="3">
        <v>0.25</v>
      </c>
    </row>
    <row r="1128" spans="2:13" x14ac:dyDescent="0.3">
      <c r="B1128" t="s">
        <v>61</v>
      </c>
      <c r="C1128" s="1" t="s">
        <v>64</v>
      </c>
      <c r="D1128" s="2">
        <v>45109</v>
      </c>
      <c r="E1128" s="8" t="s">
        <v>6</v>
      </c>
      <c r="F1128" s="8" t="s">
        <v>56</v>
      </c>
      <c r="G1128" s="8" t="s">
        <v>31</v>
      </c>
      <c r="H1128" t="s">
        <v>15</v>
      </c>
      <c r="I1128" s="4">
        <v>5300</v>
      </c>
      <c r="J1128" s="8">
        <v>12</v>
      </c>
      <c r="K1128" s="4">
        <f t="shared" si="28"/>
        <v>63600</v>
      </c>
      <c r="L1128" s="4">
        <f t="shared" si="29"/>
        <v>19080</v>
      </c>
      <c r="M1128" s="3">
        <v>0.3</v>
      </c>
    </row>
    <row r="1129" spans="2:13" x14ac:dyDescent="0.3">
      <c r="B1129" t="s">
        <v>65</v>
      </c>
      <c r="C1129" s="1" t="s">
        <v>63</v>
      </c>
      <c r="D1129" s="2">
        <v>45116</v>
      </c>
      <c r="E1129" s="8" t="s">
        <v>6</v>
      </c>
      <c r="F1129" s="8" t="s">
        <v>56</v>
      </c>
      <c r="G1129" s="8" t="s">
        <v>31</v>
      </c>
      <c r="H1129" t="s">
        <v>8</v>
      </c>
      <c r="I1129" s="4">
        <v>1200</v>
      </c>
      <c r="J1129" s="8">
        <v>8</v>
      </c>
      <c r="K1129" s="4">
        <f t="shared" si="28"/>
        <v>9600</v>
      </c>
      <c r="L1129" s="4">
        <f t="shared" si="29"/>
        <v>2880</v>
      </c>
      <c r="M1129" s="3">
        <v>0.3</v>
      </c>
    </row>
    <row r="1130" spans="2:13" x14ac:dyDescent="0.3">
      <c r="B1130" t="s">
        <v>60</v>
      </c>
      <c r="C1130" s="1" t="s">
        <v>64</v>
      </c>
      <c r="D1130" s="2">
        <v>45123</v>
      </c>
      <c r="E1130" s="8" t="s">
        <v>6</v>
      </c>
      <c r="F1130" s="8" t="s">
        <v>56</v>
      </c>
      <c r="G1130" s="8" t="s">
        <v>31</v>
      </c>
      <c r="H1130" t="s">
        <v>15</v>
      </c>
      <c r="I1130" s="4">
        <v>5300</v>
      </c>
      <c r="J1130" s="8">
        <v>11</v>
      </c>
      <c r="K1130" s="4">
        <f t="shared" si="28"/>
        <v>58300</v>
      </c>
      <c r="L1130" s="4">
        <f t="shared" si="29"/>
        <v>17490</v>
      </c>
      <c r="M1130" s="3">
        <v>0.3</v>
      </c>
    </row>
    <row r="1131" spans="2:13" x14ac:dyDescent="0.3">
      <c r="B1131" t="s">
        <v>65</v>
      </c>
      <c r="C1131" s="1" t="s">
        <v>63</v>
      </c>
      <c r="D1131" s="2">
        <v>45130</v>
      </c>
      <c r="E1131" s="8" t="s">
        <v>6</v>
      </c>
      <c r="F1131" s="8" t="s">
        <v>56</v>
      </c>
      <c r="G1131" s="8" t="s">
        <v>31</v>
      </c>
      <c r="H1131" t="s">
        <v>15</v>
      </c>
      <c r="I1131" s="4">
        <v>5300</v>
      </c>
      <c r="J1131" s="8">
        <v>9</v>
      </c>
      <c r="K1131" s="4">
        <f t="shared" si="28"/>
        <v>47700</v>
      </c>
      <c r="L1131" s="4">
        <f t="shared" si="29"/>
        <v>14310</v>
      </c>
      <c r="M1131" s="3">
        <v>0.3</v>
      </c>
    </row>
    <row r="1132" spans="2:13" x14ac:dyDescent="0.3">
      <c r="B1132" t="s">
        <v>61</v>
      </c>
      <c r="C1132" s="1" t="s">
        <v>63</v>
      </c>
      <c r="D1132" s="2">
        <v>45137</v>
      </c>
      <c r="E1132" s="8" t="s">
        <v>6</v>
      </c>
      <c r="F1132" s="8" t="s">
        <v>56</v>
      </c>
      <c r="G1132" s="8" t="s">
        <v>31</v>
      </c>
      <c r="H1132" t="s">
        <v>11</v>
      </c>
      <c r="I1132" s="4">
        <v>300</v>
      </c>
      <c r="J1132" s="8">
        <v>5</v>
      </c>
      <c r="K1132" s="4">
        <f t="shared" si="28"/>
        <v>1500</v>
      </c>
      <c r="L1132" s="4">
        <f t="shared" si="29"/>
        <v>225</v>
      </c>
      <c r="M1132" s="3">
        <v>0.15</v>
      </c>
    </row>
    <row r="1133" spans="2:13" x14ac:dyDescent="0.3">
      <c r="B1133" t="s">
        <v>61</v>
      </c>
      <c r="C1133" s="1" t="s">
        <v>64</v>
      </c>
      <c r="D1133" s="2">
        <v>45144</v>
      </c>
      <c r="E1133" s="8" t="s">
        <v>6</v>
      </c>
      <c r="F1133" s="8" t="s">
        <v>56</v>
      </c>
      <c r="G1133" s="8" t="s">
        <v>31</v>
      </c>
      <c r="H1133" t="s">
        <v>20</v>
      </c>
      <c r="I1133" s="4">
        <v>8902</v>
      </c>
      <c r="J1133" s="8">
        <v>8</v>
      </c>
      <c r="K1133" s="4">
        <f t="shared" si="28"/>
        <v>71216</v>
      </c>
      <c r="L1133" s="4">
        <f t="shared" si="29"/>
        <v>24925.599999999999</v>
      </c>
      <c r="M1133" s="3">
        <v>0.35</v>
      </c>
    </row>
    <row r="1134" spans="2:13" x14ac:dyDescent="0.3">
      <c r="B1134" t="s">
        <v>62</v>
      </c>
      <c r="C1134" s="1" t="s">
        <v>63</v>
      </c>
      <c r="D1134" s="2">
        <v>45151</v>
      </c>
      <c r="E1134" s="8" t="s">
        <v>6</v>
      </c>
      <c r="F1134" s="8" t="s">
        <v>56</v>
      </c>
      <c r="G1134" s="8" t="s">
        <v>31</v>
      </c>
      <c r="H1134" t="s">
        <v>16</v>
      </c>
      <c r="I1134" s="4">
        <v>3400</v>
      </c>
      <c r="J1134" s="8">
        <v>6</v>
      </c>
      <c r="K1134" s="4">
        <f t="shared" si="28"/>
        <v>20400</v>
      </c>
      <c r="L1134" s="4">
        <f t="shared" si="29"/>
        <v>7140</v>
      </c>
      <c r="M1134" s="3">
        <v>0.35</v>
      </c>
    </row>
    <row r="1135" spans="2:13" x14ac:dyDescent="0.3">
      <c r="B1135" t="s">
        <v>66</v>
      </c>
      <c r="C1135" s="1" t="s">
        <v>63</v>
      </c>
      <c r="D1135" s="2">
        <v>45158</v>
      </c>
      <c r="E1135" s="8" t="s">
        <v>6</v>
      </c>
      <c r="F1135" s="8" t="s">
        <v>56</v>
      </c>
      <c r="G1135" s="8" t="s">
        <v>31</v>
      </c>
      <c r="H1135" t="s">
        <v>9</v>
      </c>
      <c r="I1135" s="4">
        <v>1500</v>
      </c>
      <c r="J1135" s="8">
        <v>11</v>
      </c>
      <c r="K1135" s="4">
        <f t="shared" si="28"/>
        <v>16500</v>
      </c>
      <c r="L1135" s="4">
        <f t="shared" si="29"/>
        <v>6600</v>
      </c>
      <c r="M1135" s="3">
        <v>0.4</v>
      </c>
    </row>
    <row r="1136" spans="2:13" x14ac:dyDescent="0.3">
      <c r="B1136" t="s">
        <v>65</v>
      </c>
      <c r="C1136" s="1" t="s">
        <v>63</v>
      </c>
      <c r="D1136" s="2">
        <v>45165</v>
      </c>
      <c r="E1136" s="8" t="s">
        <v>6</v>
      </c>
      <c r="F1136" s="8" t="s">
        <v>56</v>
      </c>
      <c r="G1136" s="8" t="s">
        <v>31</v>
      </c>
      <c r="H1136" t="s">
        <v>16</v>
      </c>
      <c r="I1136" s="4">
        <v>3400</v>
      </c>
      <c r="J1136" s="8">
        <v>7</v>
      </c>
      <c r="K1136" s="4">
        <f t="shared" si="28"/>
        <v>23800</v>
      </c>
      <c r="L1136" s="4">
        <f t="shared" si="29"/>
        <v>8330</v>
      </c>
      <c r="M1136" s="3">
        <v>0.35</v>
      </c>
    </row>
    <row r="1137" spans="2:13" x14ac:dyDescent="0.3">
      <c r="B1137" t="s">
        <v>65</v>
      </c>
      <c r="C1137" s="1" t="s">
        <v>63</v>
      </c>
      <c r="D1137" s="2">
        <v>44562</v>
      </c>
      <c r="E1137" s="8" t="s">
        <v>6</v>
      </c>
      <c r="F1137" s="8" t="s">
        <v>21</v>
      </c>
      <c r="G1137" s="8" t="s">
        <v>21</v>
      </c>
      <c r="H1137" t="s">
        <v>8</v>
      </c>
      <c r="I1137" s="4">
        <v>1200</v>
      </c>
      <c r="J1137" s="8">
        <v>2</v>
      </c>
      <c r="K1137" s="4">
        <f t="shared" si="28"/>
        <v>2400</v>
      </c>
      <c r="L1137" s="4">
        <f t="shared" si="29"/>
        <v>720</v>
      </c>
      <c r="M1137" s="3">
        <v>0.3</v>
      </c>
    </row>
    <row r="1138" spans="2:13" x14ac:dyDescent="0.3">
      <c r="B1138" t="s">
        <v>66</v>
      </c>
      <c r="C1138" s="1" t="s">
        <v>63</v>
      </c>
      <c r="D1138" s="2">
        <v>44562</v>
      </c>
      <c r="E1138" s="8" t="s">
        <v>6</v>
      </c>
      <c r="F1138" s="8" t="s">
        <v>21</v>
      </c>
      <c r="G1138" s="8" t="s">
        <v>21</v>
      </c>
      <c r="H1138" t="s">
        <v>13</v>
      </c>
      <c r="I1138" s="4">
        <v>3200</v>
      </c>
      <c r="J1138" s="8">
        <v>6</v>
      </c>
      <c r="K1138" s="4">
        <f t="shared" si="28"/>
        <v>19200</v>
      </c>
      <c r="L1138" s="4">
        <f t="shared" si="29"/>
        <v>3840</v>
      </c>
      <c r="M1138" s="3">
        <v>0.2</v>
      </c>
    </row>
    <row r="1139" spans="2:13" x14ac:dyDescent="0.3">
      <c r="B1139" t="s">
        <v>60</v>
      </c>
      <c r="C1139" s="1" t="s">
        <v>63</v>
      </c>
      <c r="D1139" s="2">
        <v>44562</v>
      </c>
      <c r="E1139" s="8" t="s">
        <v>6</v>
      </c>
      <c r="F1139" s="8" t="s">
        <v>21</v>
      </c>
      <c r="G1139" s="8" t="s">
        <v>21</v>
      </c>
      <c r="H1139" t="s">
        <v>16</v>
      </c>
      <c r="I1139" s="4">
        <v>3400</v>
      </c>
      <c r="J1139" s="8">
        <v>6</v>
      </c>
      <c r="K1139" s="4">
        <f t="shared" si="28"/>
        <v>20400</v>
      </c>
      <c r="L1139" s="4">
        <f t="shared" si="29"/>
        <v>7140</v>
      </c>
      <c r="M1139" s="3">
        <v>0.35</v>
      </c>
    </row>
    <row r="1140" spans="2:13" x14ac:dyDescent="0.3">
      <c r="B1140" t="s">
        <v>62</v>
      </c>
      <c r="C1140" s="1" t="s">
        <v>64</v>
      </c>
      <c r="D1140" s="2">
        <v>44577</v>
      </c>
      <c r="E1140" s="8" t="s">
        <v>6</v>
      </c>
      <c r="F1140" s="8" t="s">
        <v>21</v>
      </c>
      <c r="G1140" s="8" t="s">
        <v>21</v>
      </c>
      <c r="H1140" t="s">
        <v>17</v>
      </c>
      <c r="I1140" s="4">
        <v>5130</v>
      </c>
      <c r="J1140" s="8">
        <v>4</v>
      </c>
      <c r="K1140" s="4">
        <f t="shared" si="28"/>
        <v>20520</v>
      </c>
      <c r="L1140" s="4">
        <f t="shared" si="29"/>
        <v>8208</v>
      </c>
      <c r="M1140" s="3">
        <v>0.4</v>
      </c>
    </row>
    <row r="1141" spans="2:13" x14ac:dyDescent="0.3">
      <c r="B1141" t="s">
        <v>66</v>
      </c>
      <c r="C1141" s="1" t="s">
        <v>63</v>
      </c>
      <c r="D1141" s="2">
        <v>44577</v>
      </c>
      <c r="E1141" s="8" t="s">
        <v>6</v>
      </c>
      <c r="F1141" s="8" t="s">
        <v>21</v>
      </c>
      <c r="G1141" s="8" t="s">
        <v>21</v>
      </c>
      <c r="H1141" t="s">
        <v>16</v>
      </c>
      <c r="I1141" s="4">
        <v>3400</v>
      </c>
      <c r="J1141" s="8">
        <v>8</v>
      </c>
      <c r="K1141" s="4">
        <f t="shared" si="28"/>
        <v>27200</v>
      </c>
      <c r="L1141" s="4">
        <f t="shared" si="29"/>
        <v>9520</v>
      </c>
      <c r="M1141" s="3">
        <v>0.35</v>
      </c>
    </row>
    <row r="1142" spans="2:13" x14ac:dyDescent="0.3">
      <c r="B1142" t="s">
        <v>66</v>
      </c>
      <c r="C1142" s="1" t="s">
        <v>63</v>
      </c>
      <c r="D1142" s="2">
        <v>44577</v>
      </c>
      <c r="E1142" s="8" t="s">
        <v>6</v>
      </c>
      <c r="F1142" s="8" t="s">
        <v>21</v>
      </c>
      <c r="G1142" s="8" t="s">
        <v>21</v>
      </c>
      <c r="H1142" t="s">
        <v>16</v>
      </c>
      <c r="I1142" s="4">
        <v>3400</v>
      </c>
      <c r="J1142" s="8">
        <v>8</v>
      </c>
      <c r="K1142" s="4">
        <f t="shared" si="28"/>
        <v>27200</v>
      </c>
      <c r="L1142" s="4">
        <f t="shared" si="29"/>
        <v>9520</v>
      </c>
      <c r="M1142" s="3">
        <v>0.35</v>
      </c>
    </row>
    <row r="1143" spans="2:13" x14ac:dyDescent="0.3">
      <c r="B1143" t="s">
        <v>66</v>
      </c>
      <c r="C1143" s="1" t="s">
        <v>64</v>
      </c>
      <c r="D1143" s="2">
        <v>44584</v>
      </c>
      <c r="E1143" s="8" t="s">
        <v>6</v>
      </c>
      <c r="F1143" s="8" t="s">
        <v>21</v>
      </c>
      <c r="G1143" s="8" t="s">
        <v>21</v>
      </c>
      <c r="H1143" t="s">
        <v>8</v>
      </c>
      <c r="I1143" s="4">
        <v>1200</v>
      </c>
      <c r="J1143" s="8">
        <v>12</v>
      </c>
      <c r="K1143" s="4">
        <f t="shared" si="28"/>
        <v>14400</v>
      </c>
      <c r="L1143" s="4">
        <f t="shared" si="29"/>
        <v>4320</v>
      </c>
      <c r="M1143" s="3">
        <v>0.3</v>
      </c>
    </row>
    <row r="1144" spans="2:13" x14ac:dyDescent="0.3">
      <c r="B1144" t="s">
        <v>65</v>
      </c>
      <c r="C1144" s="1" t="s">
        <v>64</v>
      </c>
      <c r="D1144" s="2">
        <v>44584</v>
      </c>
      <c r="E1144" s="8" t="s">
        <v>6</v>
      </c>
      <c r="F1144" s="8" t="s">
        <v>21</v>
      </c>
      <c r="G1144" s="8" t="s">
        <v>21</v>
      </c>
      <c r="H1144" t="s">
        <v>15</v>
      </c>
      <c r="I1144" s="4">
        <v>5300</v>
      </c>
      <c r="J1144" s="8">
        <v>4</v>
      </c>
      <c r="K1144" s="4">
        <f t="shared" si="28"/>
        <v>21200</v>
      </c>
      <c r="L1144" s="4">
        <f t="shared" si="29"/>
        <v>6360</v>
      </c>
      <c r="M1144" s="3">
        <v>0.3</v>
      </c>
    </row>
    <row r="1145" spans="2:13" x14ac:dyDescent="0.3">
      <c r="B1145" t="s">
        <v>60</v>
      </c>
      <c r="C1145" s="1" t="s">
        <v>63</v>
      </c>
      <c r="D1145" s="2">
        <v>44584</v>
      </c>
      <c r="E1145" s="8" t="s">
        <v>6</v>
      </c>
      <c r="F1145" s="8" t="s">
        <v>21</v>
      </c>
      <c r="G1145" s="8" t="s">
        <v>21</v>
      </c>
      <c r="H1145" t="s">
        <v>15</v>
      </c>
      <c r="I1145" s="4">
        <v>5300</v>
      </c>
      <c r="J1145" s="8">
        <v>9</v>
      </c>
      <c r="K1145" s="4">
        <f t="shared" si="28"/>
        <v>47700</v>
      </c>
      <c r="L1145" s="4">
        <f t="shared" si="29"/>
        <v>14310</v>
      </c>
      <c r="M1145" s="3">
        <v>0.3</v>
      </c>
    </row>
    <row r="1146" spans="2:13" x14ac:dyDescent="0.3">
      <c r="B1146" t="s">
        <v>66</v>
      </c>
      <c r="C1146" s="1" t="s">
        <v>64</v>
      </c>
      <c r="D1146" s="2">
        <v>44591</v>
      </c>
      <c r="E1146" s="8" t="s">
        <v>6</v>
      </c>
      <c r="F1146" s="8" t="s">
        <v>21</v>
      </c>
      <c r="G1146" s="8" t="s">
        <v>21</v>
      </c>
      <c r="H1146" t="s">
        <v>10</v>
      </c>
      <c r="I1146" s="4">
        <v>1700</v>
      </c>
      <c r="J1146" s="8">
        <v>6</v>
      </c>
      <c r="K1146" s="4">
        <f t="shared" si="28"/>
        <v>10200</v>
      </c>
      <c r="L1146" s="4">
        <f t="shared" si="29"/>
        <v>5100</v>
      </c>
      <c r="M1146" s="3">
        <v>0.5</v>
      </c>
    </row>
    <row r="1147" spans="2:13" x14ac:dyDescent="0.3">
      <c r="B1147" t="s">
        <v>65</v>
      </c>
      <c r="C1147" s="1" t="s">
        <v>64</v>
      </c>
      <c r="D1147" s="2">
        <v>44591</v>
      </c>
      <c r="E1147" s="8" t="s">
        <v>6</v>
      </c>
      <c r="F1147" s="8" t="s">
        <v>21</v>
      </c>
      <c r="G1147" s="8" t="s">
        <v>21</v>
      </c>
      <c r="H1147" t="s">
        <v>14</v>
      </c>
      <c r="I1147" s="4">
        <v>4500</v>
      </c>
      <c r="J1147" s="8">
        <v>6</v>
      </c>
      <c r="K1147" s="4">
        <f t="shared" si="28"/>
        <v>27000</v>
      </c>
      <c r="L1147" s="4">
        <f t="shared" si="29"/>
        <v>6750</v>
      </c>
      <c r="M1147" s="3">
        <v>0.25</v>
      </c>
    </row>
    <row r="1148" spans="2:13" x14ac:dyDescent="0.3">
      <c r="B1148" t="s">
        <v>60</v>
      </c>
      <c r="C1148" s="1" t="s">
        <v>64</v>
      </c>
      <c r="D1148" s="2">
        <v>44591</v>
      </c>
      <c r="E1148" s="8" t="s">
        <v>6</v>
      </c>
      <c r="F1148" s="8" t="s">
        <v>21</v>
      </c>
      <c r="G1148" s="8" t="s">
        <v>21</v>
      </c>
      <c r="H1148" t="s">
        <v>13</v>
      </c>
      <c r="I1148" s="4">
        <v>3200</v>
      </c>
      <c r="J1148" s="8">
        <v>11</v>
      </c>
      <c r="K1148" s="4">
        <f t="shared" si="28"/>
        <v>35200</v>
      </c>
      <c r="L1148" s="4">
        <f t="shared" si="29"/>
        <v>7040</v>
      </c>
      <c r="M1148" s="3">
        <v>0.2</v>
      </c>
    </row>
    <row r="1149" spans="2:13" x14ac:dyDescent="0.3">
      <c r="B1149" t="s">
        <v>66</v>
      </c>
      <c r="C1149" s="1" t="s">
        <v>64</v>
      </c>
      <c r="D1149" s="2">
        <v>44598</v>
      </c>
      <c r="E1149" s="8" t="s">
        <v>6</v>
      </c>
      <c r="F1149" s="8" t="s">
        <v>21</v>
      </c>
      <c r="G1149" s="8" t="s">
        <v>21</v>
      </c>
      <c r="H1149" t="s">
        <v>12</v>
      </c>
      <c r="I1149" s="4">
        <v>500</v>
      </c>
      <c r="J1149" s="8">
        <v>6</v>
      </c>
      <c r="K1149" s="4">
        <f t="shared" si="28"/>
        <v>3000</v>
      </c>
      <c r="L1149" s="4">
        <f t="shared" si="29"/>
        <v>750</v>
      </c>
      <c r="M1149" s="3">
        <v>0.25</v>
      </c>
    </row>
    <row r="1150" spans="2:13" x14ac:dyDescent="0.3">
      <c r="B1150" t="s">
        <v>60</v>
      </c>
      <c r="C1150" s="1" t="s">
        <v>63</v>
      </c>
      <c r="D1150" s="2">
        <v>44598</v>
      </c>
      <c r="E1150" s="8" t="s">
        <v>6</v>
      </c>
      <c r="F1150" s="8" t="s">
        <v>21</v>
      </c>
      <c r="G1150" s="8" t="s">
        <v>21</v>
      </c>
      <c r="H1150" t="s">
        <v>17</v>
      </c>
      <c r="I1150" s="4">
        <v>5130</v>
      </c>
      <c r="J1150" s="8">
        <v>4</v>
      </c>
      <c r="K1150" s="4">
        <f t="shared" si="28"/>
        <v>20520</v>
      </c>
      <c r="L1150" s="4">
        <f t="shared" si="29"/>
        <v>8208</v>
      </c>
      <c r="M1150" s="3">
        <v>0.4</v>
      </c>
    </row>
    <row r="1151" spans="2:13" x14ac:dyDescent="0.3">
      <c r="B1151" t="s">
        <v>66</v>
      </c>
      <c r="C1151" s="1" t="s">
        <v>63</v>
      </c>
      <c r="D1151" s="2">
        <v>44598</v>
      </c>
      <c r="E1151" s="8" t="s">
        <v>6</v>
      </c>
      <c r="F1151" s="8" t="s">
        <v>21</v>
      </c>
      <c r="G1151" s="8" t="s">
        <v>21</v>
      </c>
      <c r="H1151" t="s">
        <v>19</v>
      </c>
      <c r="I1151" s="4">
        <v>5340</v>
      </c>
      <c r="J1151" s="8">
        <v>12</v>
      </c>
      <c r="K1151" s="4">
        <f t="shared" si="28"/>
        <v>64080</v>
      </c>
      <c r="L1151" s="4">
        <f t="shared" si="29"/>
        <v>19224</v>
      </c>
      <c r="M1151" s="3">
        <v>0.3</v>
      </c>
    </row>
    <row r="1152" spans="2:13" x14ac:dyDescent="0.3">
      <c r="B1152" t="s">
        <v>65</v>
      </c>
      <c r="C1152" s="1" t="s">
        <v>63</v>
      </c>
      <c r="D1152" s="2">
        <v>44605</v>
      </c>
      <c r="E1152" s="8" t="s">
        <v>6</v>
      </c>
      <c r="F1152" s="8" t="s">
        <v>21</v>
      </c>
      <c r="G1152" s="8" t="s">
        <v>21</v>
      </c>
      <c r="H1152" t="s">
        <v>18</v>
      </c>
      <c r="I1152" s="4">
        <v>4600</v>
      </c>
      <c r="J1152" s="8">
        <v>2</v>
      </c>
      <c r="K1152" s="4">
        <f t="shared" si="28"/>
        <v>9200</v>
      </c>
      <c r="L1152" s="4">
        <f t="shared" si="29"/>
        <v>2300</v>
      </c>
      <c r="M1152" s="3">
        <v>0.25</v>
      </c>
    </row>
    <row r="1153" spans="2:13" x14ac:dyDescent="0.3">
      <c r="B1153" t="s">
        <v>62</v>
      </c>
      <c r="C1153" s="1" t="s">
        <v>63</v>
      </c>
      <c r="D1153" s="2">
        <v>44605</v>
      </c>
      <c r="E1153" s="8" t="s">
        <v>6</v>
      </c>
      <c r="F1153" s="8" t="s">
        <v>21</v>
      </c>
      <c r="G1153" s="8" t="s">
        <v>21</v>
      </c>
      <c r="H1153" t="s">
        <v>16</v>
      </c>
      <c r="I1153" s="4">
        <v>3400</v>
      </c>
      <c r="J1153" s="8">
        <v>10</v>
      </c>
      <c r="K1153" s="4">
        <f t="shared" si="28"/>
        <v>34000</v>
      </c>
      <c r="L1153" s="4">
        <f t="shared" si="29"/>
        <v>11900</v>
      </c>
      <c r="M1153" s="3">
        <v>0.35</v>
      </c>
    </row>
    <row r="1154" spans="2:13" x14ac:dyDescent="0.3">
      <c r="B1154" t="s">
        <v>61</v>
      </c>
      <c r="C1154" s="1" t="s">
        <v>63</v>
      </c>
      <c r="D1154" s="2">
        <v>44605</v>
      </c>
      <c r="E1154" s="8" t="s">
        <v>6</v>
      </c>
      <c r="F1154" s="8" t="s">
        <v>21</v>
      </c>
      <c r="G1154" s="8" t="s">
        <v>21</v>
      </c>
      <c r="H1154" t="s">
        <v>13</v>
      </c>
      <c r="I1154" s="4">
        <v>3200</v>
      </c>
      <c r="J1154" s="8">
        <v>12</v>
      </c>
      <c r="K1154" s="4">
        <f t="shared" si="28"/>
        <v>38400</v>
      </c>
      <c r="L1154" s="4">
        <f t="shared" si="29"/>
        <v>7680</v>
      </c>
      <c r="M1154" s="3">
        <v>0.2</v>
      </c>
    </row>
    <row r="1155" spans="2:13" x14ac:dyDescent="0.3">
      <c r="B1155" t="s">
        <v>60</v>
      </c>
      <c r="C1155" s="1" t="s">
        <v>63</v>
      </c>
      <c r="D1155" s="2">
        <v>44612</v>
      </c>
      <c r="E1155" s="8" t="s">
        <v>6</v>
      </c>
      <c r="F1155" s="8" t="s">
        <v>21</v>
      </c>
      <c r="G1155" s="8" t="s">
        <v>21</v>
      </c>
      <c r="H1155" t="s">
        <v>12</v>
      </c>
      <c r="I1155" s="4">
        <v>500</v>
      </c>
      <c r="J1155" s="8">
        <v>9</v>
      </c>
      <c r="K1155" s="4">
        <f t="shared" si="28"/>
        <v>4500</v>
      </c>
      <c r="L1155" s="4">
        <f t="shared" si="29"/>
        <v>1125</v>
      </c>
      <c r="M1155" s="3">
        <v>0.25</v>
      </c>
    </row>
    <row r="1156" spans="2:13" x14ac:dyDescent="0.3">
      <c r="B1156" t="s">
        <v>61</v>
      </c>
      <c r="C1156" s="1" t="s">
        <v>63</v>
      </c>
      <c r="D1156" s="2">
        <v>44612</v>
      </c>
      <c r="E1156" s="8" t="s">
        <v>6</v>
      </c>
      <c r="F1156" s="8" t="s">
        <v>21</v>
      </c>
      <c r="G1156" s="8" t="s">
        <v>21</v>
      </c>
      <c r="H1156" t="s">
        <v>14</v>
      </c>
      <c r="I1156" s="4">
        <v>4500</v>
      </c>
      <c r="J1156" s="8">
        <v>4</v>
      </c>
      <c r="K1156" s="4">
        <f t="shared" si="28"/>
        <v>18000</v>
      </c>
      <c r="L1156" s="4">
        <f t="shared" si="29"/>
        <v>4500</v>
      </c>
      <c r="M1156" s="3">
        <v>0.25</v>
      </c>
    </row>
    <row r="1157" spans="2:13" x14ac:dyDescent="0.3">
      <c r="B1157" t="s">
        <v>60</v>
      </c>
      <c r="C1157" s="1" t="s">
        <v>63</v>
      </c>
      <c r="D1157" s="2">
        <v>44612</v>
      </c>
      <c r="E1157" s="8" t="s">
        <v>6</v>
      </c>
      <c r="F1157" s="8" t="s">
        <v>21</v>
      </c>
      <c r="G1157" s="8" t="s">
        <v>21</v>
      </c>
      <c r="H1157" t="s">
        <v>15</v>
      </c>
      <c r="I1157" s="4">
        <v>5300</v>
      </c>
      <c r="J1157" s="8">
        <v>9</v>
      </c>
      <c r="K1157" s="4">
        <f t="shared" si="28"/>
        <v>47700</v>
      </c>
      <c r="L1157" s="4">
        <f t="shared" si="29"/>
        <v>14310</v>
      </c>
      <c r="M1157" s="3">
        <v>0.3</v>
      </c>
    </row>
    <row r="1158" spans="2:13" x14ac:dyDescent="0.3">
      <c r="B1158" t="s">
        <v>65</v>
      </c>
      <c r="C1158" s="1" t="s">
        <v>63</v>
      </c>
      <c r="D1158" s="2">
        <v>44619</v>
      </c>
      <c r="E1158" s="8" t="s">
        <v>6</v>
      </c>
      <c r="F1158" s="8" t="s">
        <v>21</v>
      </c>
      <c r="G1158" s="8" t="s">
        <v>21</v>
      </c>
      <c r="H1158" t="s">
        <v>12</v>
      </c>
      <c r="I1158" s="4">
        <v>500</v>
      </c>
      <c r="J1158" s="8">
        <v>4</v>
      </c>
      <c r="K1158" s="4">
        <f t="shared" si="28"/>
        <v>2000</v>
      </c>
      <c r="L1158" s="4">
        <f t="shared" si="29"/>
        <v>500</v>
      </c>
      <c r="M1158" s="3">
        <v>0.25</v>
      </c>
    </row>
    <row r="1159" spans="2:13" x14ac:dyDescent="0.3">
      <c r="B1159" t="s">
        <v>66</v>
      </c>
      <c r="C1159" s="1" t="s">
        <v>63</v>
      </c>
      <c r="D1159" s="2">
        <v>44619</v>
      </c>
      <c r="E1159" s="8" t="s">
        <v>6</v>
      </c>
      <c r="F1159" s="8" t="s">
        <v>21</v>
      </c>
      <c r="G1159" s="8" t="s">
        <v>21</v>
      </c>
      <c r="H1159" t="s">
        <v>10</v>
      </c>
      <c r="I1159" s="4">
        <v>1700</v>
      </c>
      <c r="J1159" s="8">
        <v>6</v>
      </c>
      <c r="K1159" s="4">
        <f t="shared" si="28"/>
        <v>10200</v>
      </c>
      <c r="L1159" s="4">
        <f t="shared" si="29"/>
        <v>5100</v>
      </c>
      <c r="M1159" s="3">
        <v>0.5</v>
      </c>
    </row>
    <row r="1160" spans="2:13" x14ac:dyDescent="0.3">
      <c r="B1160" t="s">
        <v>65</v>
      </c>
      <c r="C1160" s="1" t="s">
        <v>63</v>
      </c>
      <c r="D1160" s="2">
        <v>44619</v>
      </c>
      <c r="E1160" s="8" t="s">
        <v>6</v>
      </c>
      <c r="F1160" s="8" t="s">
        <v>21</v>
      </c>
      <c r="G1160" s="8" t="s">
        <v>21</v>
      </c>
      <c r="H1160" t="s">
        <v>9</v>
      </c>
      <c r="I1160" s="4">
        <v>1500</v>
      </c>
      <c r="J1160" s="8">
        <v>8</v>
      </c>
      <c r="K1160" s="4">
        <f t="shared" si="28"/>
        <v>12000</v>
      </c>
      <c r="L1160" s="4">
        <f t="shared" si="29"/>
        <v>4800</v>
      </c>
      <c r="M1160" s="3">
        <v>0.4</v>
      </c>
    </row>
    <row r="1161" spans="2:13" x14ac:dyDescent="0.3">
      <c r="B1161" t="s">
        <v>65</v>
      </c>
      <c r="C1161" s="1" t="s">
        <v>63</v>
      </c>
      <c r="D1161" s="2">
        <v>44626</v>
      </c>
      <c r="E1161" s="8" t="s">
        <v>6</v>
      </c>
      <c r="F1161" s="8" t="s">
        <v>21</v>
      </c>
      <c r="G1161" s="8" t="s">
        <v>21</v>
      </c>
      <c r="H1161" t="s">
        <v>10</v>
      </c>
      <c r="I1161" s="4">
        <v>1700</v>
      </c>
      <c r="J1161" s="8">
        <v>5</v>
      </c>
      <c r="K1161" s="4">
        <f t="shared" si="28"/>
        <v>8500</v>
      </c>
      <c r="L1161" s="4">
        <f t="shared" si="29"/>
        <v>4250</v>
      </c>
      <c r="M1161" s="3">
        <v>0.5</v>
      </c>
    </row>
    <row r="1162" spans="2:13" x14ac:dyDescent="0.3">
      <c r="B1162" t="s">
        <v>60</v>
      </c>
      <c r="C1162" s="1" t="s">
        <v>64</v>
      </c>
      <c r="D1162" s="2">
        <v>44626</v>
      </c>
      <c r="E1162" s="8" t="s">
        <v>6</v>
      </c>
      <c r="F1162" s="8" t="s">
        <v>76</v>
      </c>
      <c r="G1162" s="8" t="s">
        <v>77</v>
      </c>
      <c r="H1162" t="s">
        <v>10</v>
      </c>
      <c r="I1162" s="4">
        <v>1700</v>
      </c>
      <c r="J1162" s="8">
        <v>8</v>
      </c>
      <c r="K1162" s="4">
        <f t="shared" si="28"/>
        <v>13600</v>
      </c>
      <c r="L1162" s="4">
        <f t="shared" si="29"/>
        <v>6800</v>
      </c>
      <c r="M1162" s="3">
        <v>0.5</v>
      </c>
    </row>
    <row r="1163" spans="2:13" x14ac:dyDescent="0.3">
      <c r="B1163" t="s">
        <v>60</v>
      </c>
      <c r="C1163" s="1" t="s">
        <v>63</v>
      </c>
      <c r="D1163" s="2">
        <v>44626</v>
      </c>
      <c r="E1163" s="8" t="s">
        <v>6</v>
      </c>
      <c r="F1163" s="8" t="s">
        <v>21</v>
      </c>
      <c r="G1163" s="8" t="s">
        <v>21</v>
      </c>
      <c r="H1163" t="s">
        <v>15</v>
      </c>
      <c r="I1163" s="4">
        <v>5300</v>
      </c>
      <c r="J1163" s="8">
        <v>9</v>
      </c>
      <c r="K1163" s="4">
        <f t="shared" si="28"/>
        <v>47700</v>
      </c>
      <c r="L1163" s="4">
        <f t="shared" si="29"/>
        <v>14310</v>
      </c>
      <c r="M1163" s="3">
        <v>0.3</v>
      </c>
    </row>
    <row r="1164" spans="2:13" x14ac:dyDescent="0.3">
      <c r="B1164" t="s">
        <v>66</v>
      </c>
      <c r="C1164" s="1" t="s">
        <v>64</v>
      </c>
      <c r="D1164" s="2">
        <v>44633</v>
      </c>
      <c r="E1164" s="8" t="s">
        <v>6</v>
      </c>
      <c r="F1164" s="8" t="s">
        <v>21</v>
      </c>
      <c r="G1164" s="8" t="s">
        <v>21</v>
      </c>
      <c r="H1164" t="s">
        <v>11</v>
      </c>
      <c r="I1164" s="4">
        <v>300</v>
      </c>
      <c r="J1164" s="8">
        <v>11</v>
      </c>
      <c r="K1164" s="4">
        <f t="shared" si="28"/>
        <v>3300</v>
      </c>
      <c r="L1164" s="4">
        <f t="shared" si="29"/>
        <v>495</v>
      </c>
      <c r="M1164" s="3">
        <v>0.15</v>
      </c>
    </row>
    <row r="1165" spans="2:13" x14ac:dyDescent="0.3">
      <c r="B1165" t="s">
        <v>61</v>
      </c>
      <c r="C1165" s="1" t="s">
        <v>63</v>
      </c>
      <c r="D1165" s="2">
        <v>44633</v>
      </c>
      <c r="E1165" s="8" t="s">
        <v>6</v>
      </c>
      <c r="F1165" s="8" t="s">
        <v>21</v>
      </c>
      <c r="G1165" s="8" t="s">
        <v>21</v>
      </c>
      <c r="H1165" t="s">
        <v>9</v>
      </c>
      <c r="I1165" s="4">
        <v>1500</v>
      </c>
      <c r="J1165" s="8">
        <v>12</v>
      </c>
      <c r="K1165" s="4">
        <f t="shared" si="28"/>
        <v>18000</v>
      </c>
      <c r="L1165" s="4">
        <f t="shared" si="29"/>
        <v>7200</v>
      </c>
      <c r="M1165" s="3">
        <v>0.4</v>
      </c>
    </row>
    <row r="1166" spans="2:13" x14ac:dyDescent="0.3">
      <c r="B1166" t="s">
        <v>60</v>
      </c>
      <c r="C1166" s="1" t="s">
        <v>63</v>
      </c>
      <c r="D1166" s="2">
        <v>44633</v>
      </c>
      <c r="E1166" s="8" t="s">
        <v>6</v>
      </c>
      <c r="F1166" s="8" t="s">
        <v>21</v>
      </c>
      <c r="G1166" s="8" t="s">
        <v>21</v>
      </c>
      <c r="H1166" t="s">
        <v>19</v>
      </c>
      <c r="I1166" s="4">
        <v>5340</v>
      </c>
      <c r="J1166" s="8">
        <v>7</v>
      </c>
      <c r="K1166" s="4">
        <f t="shared" si="28"/>
        <v>37380</v>
      </c>
      <c r="L1166" s="4">
        <f t="shared" si="29"/>
        <v>11214</v>
      </c>
      <c r="M1166" s="3">
        <v>0.3</v>
      </c>
    </row>
    <row r="1167" spans="2:13" x14ac:dyDescent="0.3">
      <c r="B1167" t="s">
        <v>65</v>
      </c>
      <c r="C1167" s="1" t="s">
        <v>64</v>
      </c>
      <c r="D1167" s="2">
        <v>44640</v>
      </c>
      <c r="E1167" s="8" t="s">
        <v>6</v>
      </c>
      <c r="F1167" s="8" t="s">
        <v>21</v>
      </c>
      <c r="G1167" s="8" t="s">
        <v>21</v>
      </c>
      <c r="H1167" t="s">
        <v>8</v>
      </c>
      <c r="I1167" s="4">
        <v>1200</v>
      </c>
      <c r="J1167" s="8">
        <v>5</v>
      </c>
      <c r="K1167" s="4">
        <f t="shared" si="28"/>
        <v>6000</v>
      </c>
      <c r="L1167" s="4">
        <f t="shared" si="29"/>
        <v>1800</v>
      </c>
      <c r="M1167" s="3">
        <v>0.3</v>
      </c>
    </row>
    <row r="1168" spans="2:13" x14ac:dyDescent="0.3">
      <c r="B1168" t="s">
        <v>60</v>
      </c>
      <c r="C1168" s="1" t="s">
        <v>63</v>
      </c>
      <c r="D1168" s="2">
        <v>44640</v>
      </c>
      <c r="E1168" s="8" t="s">
        <v>6</v>
      </c>
      <c r="F1168" s="8" t="s">
        <v>21</v>
      </c>
      <c r="G1168" s="8" t="s">
        <v>21</v>
      </c>
      <c r="H1168" t="s">
        <v>17</v>
      </c>
      <c r="I1168" s="4">
        <v>5130</v>
      </c>
      <c r="J1168" s="8">
        <v>5</v>
      </c>
      <c r="K1168" s="4">
        <f t="shared" si="28"/>
        <v>25650</v>
      </c>
      <c r="L1168" s="4">
        <f t="shared" si="29"/>
        <v>10260</v>
      </c>
      <c r="M1168" s="3">
        <v>0.4</v>
      </c>
    </row>
    <row r="1169" spans="2:13" x14ac:dyDescent="0.3">
      <c r="B1169" t="s">
        <v>65</v>
      </c>
      <c r="C1169" s="1" t="s">
        <v>64</v>
      </c>
      <c r="D1169" s="2">
        <v>44640</v>
      </c>
      <c r="E1169" s="8" t="s">
        <v>6</v>
      </c>
      <c r="F1169" s="8" t="s">
        <v>21</v>
      </c>
      <c r="G1169" s="8" t="s">
        <v>21</v>
      </c>
      <c r="H1169" t="s">
        <v>20</v>
      </c>
      <c r="I1169" s="4">
        <v>8902</v>
      </c>
      <c r="J1169" s="8">
        <v>10</v>
      </c>
      <c r="K1169" s="4">
        <f t="shared" si="28"/>
        <v>89020</v>
      </c>
      <c r="L1169" s="4">
        <f t="shared" si="29"/>
        <v>31156.999999999996</v>
      </c>
      <c r="M1169" s="3">
        <v>0.35</v>
      </c>
    </row>
    <row r="1170" spans="2:13" x14ac:dyDescent="0.3">
      <c r="B1170" t="s">
        <v>66</v>
      </c>
      <c r="C1170" s="1" t="s">
        <v>64</v>
      </c>
      <c r="D1170" s="2">
        <v>44647</v>
      </c>
      <c r="E1170" s="8" t="s">
        <v>6</v>
      </c>
      <c r="F1170" s="8" t="s">
        <v>21</v>
      </c>
      <c r="G1170" s="8" t="s">
        <v>21</v>
      </c>
      <c r="H1170" t="s">
        <v>12</v>
      </c>
      <c r="I1170" s="4">
        <v>500</v>
      </c>
      <c r="J1170" s="8">
        <v>7</v>
      </c>
      <c r="K1170" s="4">
        <f t="shared" si="28"/>
        <v>3500</v>
      </c>
      <c r="L1170" s="4">
        <f t="shared" si="29"/>
        <v>875</v>
      </c>
      <c r="M1170" s="3">
        <v>0.25</v>
      </c>
    </row>
    <row r="1171" spans="2:13" x14ac:dyDescent="0.3">
      <c r="B1171" t="s">
        <v>66</v>
      </c>
      <c r="C1171" s="1" t="s">
        <v>64</v>
      </c>
      <c r="D1171" s="2">
        <v>44647</v>
      </c>
      <c r="E1171" s="8" t="s">
        <v>6</v>
      </c>
      <c r="F1171" s="8" t="s">
        <v>21</v>
      </c>
      <c r="G1171" s="8" t="s">
        <v>21</v>
      </c>
      <c r="H1171" t="s">
        <v>15</v>
      </c>
      <c r="I1171" s="4">
        <v>5300</v>
      </c>
      <c r="J1171" s="8">
        <v>3</v>
      </c>
      <c r="K1171" s="4">
        <f t="shared" si="28"/>
        <v>15900</v>
      </c>
      <c r="L1171" s="4">
        <f t="shared" si="29"/>
        <v>4770</v>
      </c>
      <c r="M1171" s="3">
        <v>0.3</v>
      </c>
    </row>
    <row r="1172" spans="2:13" x14ac:dyDescent="0.3">
      <c r="B1172" t="s">
        <v>66</v>
      </c>
      <c r="C1172" s="1" t="s">
        <v>64</v>
      </c>
      <c r="D1172" s="2">
        <v>44647</v>
      </c>
      <c r="E1172" s="8" t="s">
        <v>6</v>
      </c>
      <c r="F1172" s="8" t="s">
        <v>21</v>
      </c>
      <c r="G1172" s="8" t="s">
        <v>21</v>
      </c>
      <c r="H1172" t="s">
        <v>15</v>
      </c>
      <c r="I1172" s="4">
        <v>5300</v>
      </c>
      <c r="J1172" s="8">
        <v>7</v>
      </c>
      <c r="K1172" s="4">
        <f t="shared" si="28"/>
        <v>37100</v>
      </c>
      <c r="L1172" s="4">
        <f t="shared" si="29"/>
        <v>11130</v>
      </c>
      <c r="M1172" s="3">
        <v>0.3</v>
      </c>
    </row>
    <row r="1173" spans="2:13" x14ac:dyDescent="0.3">
      <c r="B1173" t="s">
        <v>62</v>
      </c>
      <c r="C1173" s="1" t="s">
        <v>64</v>
      </c>
      <c r="D1173" s="2">
        <v>44654</v>
      </c>
      <c r="E1173" s="8" t="s">
        <v>6</v>
      </c>
      <c r="F1173" s="8" t="s">
        <v>21</v>
      </c>
      <c r="G1173" s="8" t="s">
        <v>21</v>
      </c>
      <c r="H1173" t="s">
        <v>12</v>
      </c>
      <c r="I1173" s="4">
        <v>500</v>
      </c>
      <c r="J1173" s="8">
        <v>7</v>
      </c>
      <c r="K1173" s="4">
        <f t="shared" si="28"/>
        <v>3500</v>
      </c>
      <c r="L1173" s="4">
        <f t="shared" si="29"/>
        <v>875</v>
      </c>
      <c r="M1173" s="3">
        <v>0.25</v>
      </c>
    </row>
    <row r="1174" spans="2:13" x14ac:dyDescent="0.3">
      <c r="B1174" t="s">
        <v>61</v>
      </c>
      <c r="C1174" s="1" t="s">
        <v>63</v>
      </c>
      <c r="D1174" s="2">
        <v>44654</v>
      </c>
      <c r="E1174" s="8" t="s">
        <v>6</v>
      </c>
      <c r="F1174" s="8" t="s">
        <v>21</v>
      </c>
      <c r="G1174" s="8" t="s">
        <v>21</v>
      </c>
      <c r="H1174" t="s">
        <v>8</v>
      </c>
      <c r="I1174" s="4">
        <v>1200</v>
      </c>
      <c r="J1174" s="8">
        <v>4</v>
      </c>
      <c r="K1174" s="4">
        <f t="shared" si="28"/>
        <v>4800</v>
      </c>
      <c r="L1174" s="4">
        <f t="shared" si="29"/>
        <v>1440</v>
      </c>
      <c r="M1174" s="3">
        <v>0.3</v>
      </c>
    </row>
    <row r="1175" spans="2:13" x14ac:dyDescent="0.3">
      <c r="B1175" t="s">
        <v>65</v>
      </c>
      <c r="C1175" s="1" t="s">
        <v>63</v>
      </c>
      <c r="D1175" s="2">
        <v>44654</v>
      </c>
      <c r="E1175" s="8" t="s">
        <v>6</v>
      </c>
      <c r="F1175" s="8" t="s">
        <v>21</v>
      </c>
      <c r="G1175" s="8" t="s">
        <v>21</v>
      </c>
      <c r="H1175" t="s">
        <v>13</v>
      </c>
      <c r="I1175" s="4">
        <v>3200</v>
      </c>
      <c r="J1175" s="8">
        <v>11</v>
      </c>
      <c r="K1175" s="4">
        <f t="shared" si="28"/>
        <v>35200</v>
      </c>
      <c r="L1175" s="4">
        <f t="shared" si="29"/>
        <v>7040</v>
      </c>
      <c r="M1175" s="3">
        <v>0.2</v>
      </c>
    </row>
    <row r="1176" spans="2:13" x14ac:dyDescent="0.3">
      <c r="B1176" t="s">
        <v>65</v>
      </c>
      <c r="C1176" s="1" t="s">
        <v>63</v>
      </c>
      <c r="D1176" s="2">
        <v>44661</v>
      </c>
      <c r="E1176" s="8" t="s">
        <v>6</v>
      </c>
      <c r="F1176" s="8" t="s">
        <v>21</v>
      </c>
      <c r="G1176" s="8" t="s">
        <v>21</v>
      </c>
      <c r="H1176" t="s">
        <v>8</v>
      </c>
      <c r="I1176" s="4">
        <v>1200</v>
      </c>
      <c r="J1176" s="8">
        <v>2</v>
      </c>
      <c r="K1176" s="4">
        <f t="shared" si="28"/>
        <v>2400</v>
      </c>
      <c r="L1176" s="4">
        <f t="shared" si="29"/>
        <v>720</v>
      </c>
      <c r="M1176" s="3">
        <v>0.3</v>
      </c>
    </row>
    <row r="1177" spans="2:13" x14ac:dyDescent="0.3">
      <c r="B1177" t="s">
        <v>62</v>
      </c>
      <c r="C1177" s="1" t="s">
        <v>63</v>
      </c>
      <c r="D1177" s="2">
        <v>44661</v>
      </c>
      <c r="E1177" s="8" t="s">
        <v>6</v>
      </c>
      <c r="F1177" s="8" t="s">
        <v>21</v>
      </c>
      <c r="G1177" s="8" t="s">
        <v>21</v>
      </c>
      <c r="H1177" t="s">
        <v>16</v>
      </c>
      <c r="I1177" s="4">
        <v>3400</v>
      </c>
      <c r="J1177" s="8">
        <v>8</v>
      </c>
      <c r="K1177" s="4">
        <f t="shared" si="28"/>
        <v>27200</v>
      </c>
      <c r="L1177" s="4">
        <f t="shared" si="29"/>
        <v>9520</v>
      </c>
      <c r="M1177" s="3">
        <v>0.35</v>
      </c>
    </row>
    <row r="1178" spans="2:13" x14ac:dyDescent="0.3">
      <c r="B1178" t="s">
        <v>62</v>
      </c>
      <c r="C1178" s="1" t="s">
        <v>63</v>
      </c>
      <c r="D1178" s="2">
        <v>44661</v>
      </c>
      <c r="E1178" s="8" t="s">
        <v>6</v>
      </c>
      <c r="F1178" s="8" t="s">
        <v>21</v>
      </c>
      <c r="G1178" s="8" t="s">
        <v>21</v>
      </c>
      <c r="H1178" t="s">
        <v>15</v>
      </c>
      <c r="I1178" s="4">
        <v>5300</v>
      </c>
      <c r="J1178" s="8">
        <v>11</v>
      </c>
      <c r="K1178" s="4">
        <f t="shared" ref="K1178:K1241" si="30">I1178*J1178</f>
        <v>58300</v>
      </c>
      <c r="L1178" s="4">
        <f t="shared" ref="L1178:L1241" si="31">K1178*M1178</f>
        <v>17490</v>
      </c>
      <c r="M1178" s="3">
        <v>0.3</v>
      </c>
    </row>
    <row r="1179" spans="2:13" x14ac:dyDescent="0.3">
      <c r="B1179" t="s">
        <v>66</v>
      </c>
      <c r="C1179" s="1" t="s">
        <v>64</v>
      </c>
      <c r="D1179" s="2">
        <v>44668</v>
      </c>
      <c r="E1179" s="8" t="s">
        <v>6</v>
      </c>
      <c r="F1179" s="8" t="s">
        <v>21</v>
      </c>
      <c r="G1179" s="8" t="s">
        <v>21</v>
      </c>
      <c r="H1179" t="s">
        <v>10</v>
      </c>
      <c r="I1179" s="4">
        <v>1700</v>
      </c>
      <c r="J1179" s="8">
        <v>1</v>
      </c>
      <c r="K1179" s="4">
        <f t="shared" si="30"/>
        <v>1700</v>
      </c>
      <c r="L1179" s="4">
        <f t="shared" si="31"/>
        <v>850</v>
      </c>
      <c r="M1179" s="3">
        <v>0.5</v>
      </c>
    </row>
    <row r="1180" spans="2:13" x14ac:dyDescent="0.3">
      <c r="B1180" t="s">
        <v>60</v>
      </c>
      <c r="C1180" s="1" t="s">
        <v>63</v>
      </c>
      <c r="D1180" s="2">
        <v>44668</v>
      </c>
      <c r="E1180" s="8" t="s">
        <v>6</v>
      </c>
      <c r="F1180" s="8" t="s">
        <v>21</v>
      </c>
      <c r="G1180" s="8" t="s">
        <v>21</v>
      </c>
      <c r="H1180" t="s">
        <v>16</v>
      </c>
      <c r="I1180" s="4">
        <v>3400</v>
      </c>
      <c r="J1180" s="8">
        <v>1</v>
      </c>
      <c r="K1180" s="4">
        <f t="shared" si="30"/>
        <v>3400</v>
      </c>
      <c r="L1180" s="4">
        <f t="shared" si="31"/>
        <v>1190</v>
      </c>
      <c r="M1180" s="3">
        <v>0.35</v>
      </c>
    </row>
    <row r="1181" spans="2:13" x14ac:dyDescent="0.3">
      <c r="B1181" t="s">
        <v>65</v>
      </c>
      <c r="C1181" s="1" t="s">
        <v>63</v>
      </c>
      <c r="D1181" s="2">
        <v>44668</v>
      </c>
      <c r="E1181" s="8" t="s">
        <v>6</v>
      </c>
      <c r="F1181" s="8" t="s">
        <v>76</v>
      </c>
      <c r="G1181" s="8" t="s">
        <v>77</v>
      </c>
      <c r="H1181" t="s">
        <v>20</v>
      </c>
      <c r="I1181" s="4">
        <v>8902</v>
      </c>
      <c r="J1181" s="8">
        <v>2</v>
      </c>
      <c r="K1181" s="4">
        <f t="shared" si="30"/>
        <v>17804</v>
      </c>
      <c r="L1181" s="4">
        <f t="shared" si="31"/>
        <v>6231.4</v>
      </c>
      <c r="M1181" s="3">
        <v>0.35</v>
      </c>
    </row>
    <row r="1182" spans="2:13" x14ac:dyDescent="0.3">
      <c r="B1182" t="s">
        <v>65</v>
      </c>
      <c r="C1182" s="1" t="s">
        <v>63</v>
      </c>
      <c r="D1182" s="2">
        <v>44675</v>
      </c>
      <c r="E1182" s="8" t="s">
        <v>6</v>
      </c>
      <c r="F1182" s="8" t="s">
        <v>21</v>
      </c>
      <c r="G1182" s="8" t="s">
        <v>21</v>
      </c>
      <c r="H1182" t="s">
        <v>10</v>
      </c>
      <c r="I1182" s="4">
        <v>1700</v>
      </c>
      <c r="J1182" s="8">
        <v>5</v>
      </c>
      <c r="K1182" s="4">
        <f t="shared" si="30"/>
        <v>8500</v>
      </c>
      <c r="L1182" s="4">
        <f t="shared" si="31"/>
        <v>4250</v>
      </c>
      <c r="M1182" s="3">
        <v>0.5</v>
      </c>
    </row>
    <row r="1183" spans="2:13" x14ac:dyDescent="0.3">
      <c r="B1183" t="s">
        <v>65</v>
      </c>
      <c r="C1183" s="1" t="s">
        <v>64</v>
      </c>
      <c r="D1183" s="2">
        <v>44675</v>
      </c>
      <c r="E1183" s="8" t="s">
        <v>6</v>
      </c>
      <c r="F1183" s="8" t="s">
        <v>21</v>
      </c>
      <c r="G1183" s="8" t="s">
        <v>21</v>
      </c>
      <c r="H1183" t="s">
        <v>17</v>
      </c>
      <c r="I1183" s="4">
        <v>5130</v>
      </c>
      <c r="J1183" s="8">
        <v>2</v>
      </c>
      <c r="K1183" s="4">
        <f t="shared" si="30"/>
        <v>10260</v>
      </c>
      <c r="L1183" s="4">
        <f t="shared" si="31"/>
        <v>4104</v>
      </c>
      <c r="M1183" s="3">
        <v>0.4</v>
      </c>
    </row>
    <row r="1184" spans="2:13" x14ac:dyDescent="0.3">
      <c r="B1184" t="s">
        <v>60</v>
      </c>
      <c r="C1184" s="1" t="s">
        <v>64</v>
      </c>
      <c r="D1184" s="2">
        <v>44675</v>
      </c>
      <c r="E1184" s="8" t="s">
        <v>6</v>
      </c>
      <c r="F1184" s="8" t="s">
        <v>21</v>
      </c>
      <c r="G1184" s="8" t="s">
        <v>21</v>
      </c>
      <c r="H1184" t="s">
        <v>17</v>
      </c>
      <c r="I1184" s="4">
        <v>5130</v>
      </c>
      <c r="J1184" s="8">
        <v>6</v>
      </c>
      <c r="K1184" s="4">
        <f t="shared" si="30"/>
        <v>30780</v>
      </c>
      <c r="L1184" s="4">
        <f t="shared" si="31"/>
        <v>12312</v>
      </c>
      <c r="M1184" s="3">
        <v>0.4</v>
      </c>
    </row>
    <row r="1185" spans="2:13" x14ac:dyDescent="0.3">
      <c r="B1185" t="s">
        <v>62</v>
      </c>
      <c r="C1185" s="1" t="s">
        <v>64</v>
      </c>
      <c r="D1185" s="2">
        <v>44682</v>
      </c>
      <c r="E1185" s="8" t="s">
        <v>6</v>
      </c>
      <c r="F1185" s="8" t="s">
        <v>21</v>
      </c>
      <c r="G1185" s="8" t="s">
        <v>21</v>
      </c>
      <c r="H1185" t="s">
        <v>10</v>
      </c>
      <c r="I1185" s="4">
        <v>1700</v>
      </c>
      <c r="J1185" s="8">
        <v>4</v>
      </c>
      <c r="K1185" s="4">
        <f t="shared" si="30"/>
        <v>6800</v>
      </c>
      <c r="L1185" s="4">
        <f t="shared" si="31"/>
        <v>3400</v>
      </c>
      <c r="M1185" s="3">
        <v>0.5</v>
      </c>
    </row>
    <row r="1186" spans="2:13" x14ac:dyDescent="0.3">
      <c r="B1186" t="s">
        <v>65</v>
      </c>
      <c r="C1186" s="1" t="s">
        <v>64</v>
      </c>
      <c r="D1186" s="2">
        <v>44682</v>
      </c>
      <c r="E1186" s="8" t="s">
        <v>6</v>
      </c>
      <c r="F1186" s="8" t="s">
        <v>21</v>
      </c>
      <c r="G1186" s="8" t="s">
        <v>21</v>
      </c>
      <c r="H1186" t="s">
        <v>14</v>
      </c>
      <c r="I1186" s="4">
        <v>4500</v>
      </c>
      <c r="J1186" s="8">
        <v>3</v>
      </c>
      <c r="K1186" s="4">
        <f t="shared" si="30"/>
        <v>13500</v>
      </c>
      <c r="L1186" s="4">
        <f t="shared" si="31"/>
        <v>3375</v>
      </c>
      <c r="M1186" s="3">
        <v>0.25</v>
      </c>
    </row>
    <row r="1187" spans="2:13" x14ac:dyDescent="0.3">
      <c r="B1187" t="s">
        <v>65</v>
      </c>
      <c r="C1187" s="1" t="s">
        <v>64</v>
      </c>
      <c r="D1187" s="2">
        <v>44682</v>
      </c>
      <c r="E1187" s="8" t="s">
        <v>6</v>
      </c>
      <c r="F1187" s="8" t="s">
        <v>21</v>
      </c>
      <c r="G1187" s="8" t="s">
        <v>21</v>
      </c>
      <c r="H1187" t="s">
        <v>15</v>
      </c>
      <c r="I1187" s="4">
        <v>5300</v>
      </c>
      <c r="J1187" s="8">
        <v>12</v>
      </c>
      <c r="K1187" s="4">
        <f t="shared" si="30"/>
        <v>63600</v>
      </c>
      <c r="L1187" s="4">
        <f t="shared" si="31"/>
        <v>19080</v>
      </c>
      <c r="M1187" s="3">
        <v>0.3</v>
      </c>
    </row>
    <row r="1188" spans="2:13" x14ac:dyDescent="0.3">
      <c r="B1188" t="s">
        <v>65</v>
      </c>
      <c r="C1188" s="1" t="s">
        <v>64</v>
      </c>
      <c r="D1188" s="2">
        <v>44689</v>
      </c>
      <c r="E1188" s="8" t="s">
        <v>6</v>
      </c>
      <c r="F1188" s="8" t="s">
        <v>21</v>
      </c>
      <c r="G1188" s="8" t="s">
        <v>21</v>
      </c>
      <c r="H1188" t="s">
        <v>11</v>
      </c>
      <c r="I1188" s="4">
        <v>300</v>
      </c>
      <c r="J1188" s="8">
        <v>4</v>
      </c>
      <c r="K1188" s="4">
        <f t="shared" si="30"/>
        <v>1200</v>
      </c>
      <c r="L1188" s="4">
        <f t="shared" si="31"/>
        <v>180</v>
      </c>
      <c r="M1188" s="3">
        <v>0.15</v>
      </c>
    </row>
    <row r="1189" spans="2:13" x14ac:dyDescent="0.3">
      <c r="B1189" t="s">
        <v>66</v>
      </c>
      <c r="C1189" s="1" t="s">
        <v>64</v>
      </c>
      <c r="D1189" s="2">
        <v>44689</v>
      </c>
      <c r="E1189" s="8" t="s">
        <v>6</v>
      </c>
      <c r="F1189" s="8" t="s">
        <v>21</v>
      </c>
      <c r="G1189" s="8" t="s">
        <v>21</v>
      </c>
      <c r="H1189" t="s">
        <v>14</v>
      </c>
      <c r="I1189" s="4">
        <v>4500</v>
      </c>
      <c r="J1189" s="8">
        <v>4</v>
      </c>
      <c r="K1189" s="4">
        <f t="shared" si="30"/>
        <v>18000</v>
      </c>
      <c r="L1189" s="4">
        <f t="shared" si="31"/>
        <v>4500</v>
      </c>
      <c r="M1189" s="3">
        <v>0.25</v>
      </c>
    </row>
    <row r="1190" spans="2:13" x14ac:dyDescent="0.3">
      <c r="B1190" t="s">
        <v>62</v>
      </c>
      <c r="C1190" s="1" t="s">
        <v>63</v>
      </c>
      <c r="D1190" s="2">
        <v>44689</v>
      </c>
      <c r="E1190" s="8" t="s">
        <v>6</v>
      </c>
      <c r="F1190" s="8" t="s">
        <v>21</v>
      </c>
      <c r="G1190" s="8" t="s">
        <v>21</v>
      </c>
      <c r="H1190" t="s">
        <v>16</v>
      </c>
      <c r="I1190" s="4">
        <v>3400</v>
      </c>
      <c r="J1190" s="8">
        <v>9</v>
      </c>
      <c r="K1190" s="4">
        <f t="shared" si="30"/>
        <v>30600</v>
      </c>
      <c r="L1190" s="4">
        <f t="shared" si="31"/>
        <v>10710</v>
      </c>
      <c r="M1190" s="3">
        <v>0.35</v>
      </c>
    </row>
    <row r="1191" spans="2:13" x14ac:dyDescent="0.3">
      <c r="B1191" t="s">
        <v>66</v>
      </c>
      <c r="C1191" s="1" t="s">
        <v>64</v>
      </c>
      <c r="D1191" s="2">
        <v>44696</v>
      </c>
      <c r="E1191" s="8" t="s">
        <v>6</v>
      </c>
      <c r="F1191" s="8" t="s">
        <v>21</v>
      </c>
      <c r="G1191" s="8" t="s">
        <v>21</v>
      </c>
      <c r="H1191" t="s">
        <v>11</v>
      </c>
      <c r="I1191" s="4">
        <v>300</v>
      </c>
      <c r="J1191" s="8">
        <v>3</v>
      </c>
      <c r="K1191" s="4">
        <f t="shared" si="30"/>
        <v>900</v>
      </c>
      <c r="L1191" s="4">
        <f t="shared" si="31"/>
        <v>135</v>
      </c>
      <c r="M1191" s="3">
        <v>0.15</v>
      </c>
    </row>
    <row r="1192" spans="2:13" x14ac:dyDescent="0.3">
      <c r="B1192" t="s">
        <v>60</v>
      </c>
      <c r="C1192" s="1" t="s">
        <v>63</v>
      </c>
      <c r="D1192" s="2">
        <v>44696</v>
      </c>
      <c r="E1192" s="8" t="s">
        <v>6</v>
      </c>
      <c r="F1192" s="8" t="s">
        <v>21</v>
      </c>
      <c r="G1192" s="8" t="s">
        <v>21</v>
      </c>
      <c r="H1192" t="s">
        <v>20</v>
      </c>
      <c r="I1192" s="4">
        <v>8902</v>
      </c>
      <c r="J1192" s="8">
        <v>3</v>
      </c>
      <c r="K1192" s="4">
        <f t="shared" si="30"/>
        <v>26706</v>
      </c>
      <c r="L1192" s="4">
        <f t="shared" si="31"/>
        <v>9347.0999999999985</v>
      </c>
      <c r="M1192" s="3">
        <v>0.35</v>
      </c>
    </row>
    <row r="1193" spans="2:13" x14ac:dyDescent="0.3">
      <c r="B1193" t="s">
        <v>65</v>
      </c>
      <c r="C1193" s="1" t="s">
        <v>64</v>
      </c>
      <c r="D1193" s="2">
        <v>44696</v>
      </c>
      <c r="E1193" s="8" t="s">
        <v>6</v>
      </c>
      <c r="F1193" s="8" t="s">
        <v>21</v>
      </c>
      <c r="G1193" s="8" t="s">
        <v>21</v>
      </c>
      <c r="H1193" t="s">
        <v>19</v>
      </c>
      <c r="I1193" s="4">
        <v>5340</v>
      </c>
      <c r="J1193" s="8">
        <v>11</v>
      </c>
      <c r="K1193" s="4">
        <f t="shared" si="30"/>
        <v>58740</v>
      </c>
      <c r="L1193" s="4">
        <f t="shared" si="31"/>
        <v>17622</v>
      </c>
      <c r="M1193" s="3">
        <v>0.3</v>
      </c>
    </row>
    <row r="1194" spans="2:13" x14ac:dyDescent="0.3">
      <c r="B1194" t="s">
        <v>66</v>
      </c>
      <c r="C1194" s="1" t="s">
        <v>64</v>
      </c>
      <c r="D1194" s="2">
        <v>44703</v>
      </c>
      <c r="E1194" s="8" t="s">
        <v>6</v>
      </c>
      <c r="F1194" s="8" t="s">
        <v>21</v>
      </c>
      <c r="G1194" s="8" t="s">
        <v>21</v>
      </c>
      <c r="H1194" t="s">
        <v>17</v>
      </c>
      <c r="I1194" s="4">
        <v>5130</v>
      </c>
      <c r="J1194" s="8">
        <v>9</v>
      </c>
      <c r="K1194" s="4">
        <f t="shared" si="30"/>
        <v>46170</v>
      </c>
      <c r="L1194" s="4">
        <f t="shared" si="31"/>
        <v>18468</v>
      </c>
      <c r="M1194" s="3">
        <v>0.4</v>
      </c>
    </row>
    <row r="1195" spans="2:13" x14ac:dyDescent="0.3">
      <c r="B1195" t="s">
        <v>65</v>
      </c>
      <c r="C1195" s="1" t="s">
        <v>63</v>
      </c>
      <c r="D1195" s="2">
        <v>44703</v>
      </c>
      <c r="E1195" s="8" t="s">
        <v>6</v>
      </c>
      <c r="F1195" s="8" t="s">
        <v>21</v>
      </c>
      <c r="G1195" s="8" t="s">
        <v>21</v>
      </c>
      <c r="H1195" t="s">
        <v>19</v>
      </c>
      <c r="I1195" s="4">
        <v>5340</v>
      </c>
      <c r="J1195" s="8">
        <v>9</v>
      </c>
      <c r="K1195" s="4">
        <f t="shared" si="30"/>
        <v>48060</v>
      </c>
      <c r="L1195" s="4">
        <f t="shared" si="31"/>
        <v>14418</v>
      </c>
      <c r="M1195" s="3">
        <v>0.3</v>
      </c>
    </row>
    <row r="1196" spans="2:13" x14ac:dyDescent="0.3">
      <c r="B1196" t="s">
        <v>62</v>
      </c>
      <c r="C1196" s="1" t="s">
        <v>63</v>
      </c>
      <c r="D1196" s="2">
        <v>44703</v>
      </c>
      <c r="E1196" s="8" t="s">
        <v>6</v>
      </c>
      <c r="F1196" s="8" t="s">
        <v>76</v>
      </c>
      <c r="G1196" s="8" t="s">
        <v>77</v>
      </c>
      <c r="H1196" t="s">
        <v>19</v>
      </c>
      <c r="I1196" s="4">
        <v>5340</v>
      </c>
      <c r="J1196" s="8">
        <v>12</v>
      </c>
      <c r="K1196" s="4">
        <f t="shared" si="30"/>
        <v>64080</v>
      </c>
      <c r="L1196" s="4">
        <f t="shared" si="31"/>
        <v>19224</v>
      </c>
      <c r="M1196" s="3">
        <v>0.3</v>
      </c>
    </row>
    <row r="1197" spans="2:13" x14ac:dyDescent="0.3">
      <c r="B1197" t="s">
        <v>65</v>
      </c>
      <c r="C1197" s="1" t="s">
        <v>63</v>
      </c>
      <c r="D1197" s="2">
        <v>44710</v>
      </c>
      <c r="E1197" s="8" t="s">
        <v>6</v>
      </c>
      <c r="F1197" s="8" t="s">
        <v>21</v>
      </c>
      <c r="G1197" s="8" t="s">
        <v>21</v>
      </c>
      <c r="H1197" t="s">
        <v>11</v>
      </c>
      <c r="I1197" s="4">
        <v>300</v>
      </c>
      <c r="J1197" s="8">
        <v>12</v>
      </c>
      <c r="K1197" s="4">
        <f t="shared" si="30"/>
        <v>3600</v>
      </c>
      <c r="L1197" s="4">
        <f t="shared" si="31"/>
        <v>540</v>
      </c>
      <c r="M1197" s="3">
        <v>0.15</v>
      </c>
    </row>
    <row r="1198" spans="2:13" x14ac:dyDescent="0.3">
      <c r="B1198" t="s">
        <v>65</v>
      </c>
      <c r="C1198" s="1" t="s">
        <v>63</v>
      </c>
      <c r="D1198" s="2">
        <v>44710</v>
      </c>
      <c r="E1198" s="8" t="s">
        <v>6</v>
      </c>
      <c r="F1198" s="8" t="s">
        <v>21</v>
      </c>
      <c r="G1198" s="8" t="s">
        <v>21</v>
      </c>
      <c r="H1198" t="s">
        <v>14</v>
      </c>
      <c r="I1198" s="4">
        <v>4500</v>
      </c>
      <c r="J1198" s="8">
        <v>3</v>
      </c>
      <c r="K1198" s="4">
        <f t="shared" si="30"/>
        <v>13500</v>
      </c>
      <c r="L1198" s="4">
        <f t="shared" si="31"/>
        <v>3375</v>
      </c>
      <c r="M1198" s="3">
        <v>0.25</v>
      </c>
    </row>
    <row r="1199" spans="2:13" x14ac:dyDescent="0.3">
      <c r="B1199" t="s">
        <v>65</v>
      </c>
      <c r="C1199" s="1" t="s">
        <v>64</v>
      </c>
      <c r="D1199" s="2">
        <v>44710</v>
      </c>
      <c r="E1199" s="8" t="s">
        <v>6</v>
      </c>
      <c r="F1199" s="8" t="s">
        <v>21</v>
      </c>
      <c r="G1199" s="8" t="s">
        <v>21</v>
      </c>
      <c r="H1199" t="s">
        <v>10</v>
      </c>
      <c r="I1199" s="4">
        <v>1700</v>
      </c>
      <c r="J1199" s="8">
        <v>12</v>
      </c>
      <c r="K1199" s="4">
        <f t="shared" si="30"/>
        <v>20400</v>
      </c>
      <c r="L1199" s="4">
        <f t="shared" si="31"/>
        <v>10200</v>
      </c>
      <c r="M1199" s="3">
        <v>0.5</v>
      </c>
    </row>
    <row r="1200" spans="2:13" x14ac:dyDescent="0.3">
      <c r="B1200" t="s">
        <v>65</v>
      </c>
      <c r="C1200" s="1" t="s">
        <v>63</v>
      </c>
      <c r="D1200" s="2">
        <v>44717</v>
      </c>
      <c r="E1200" s="8" t="s">
        <v>6</v>
      </c>
      <c r="F1200" s="8" t="s">
        <v>21</v>
      </c>
      <c r="G1200" s="8" t="s">
        <v>21</v>
      </c>
      <c r="H1200" t="s">
        <v>12</v>
      </c>
      <c r="I1200" s="4">
        <v>500</v>
      </c>
      <c r="J1200" s="8">
        <v>4</v>
      </c>
      <c r="K1200" s="4">
        <f t="shared" si="30"/>
        <v>2000</v>
      </c>
      <c r="L1200" s="4">
        <f t="shared" si="31"/>
        <v>500</v>
      </c>
      <c r="M1200" s="3">
        <v>0.25</v>
      </c>
    </row>
    <row r="1201" spans="2:13" x14ac:dyDescent="0.3">
      <c r="B1201" t="s">
        <v>61</v>
      </c>
      <c r="C1201" s="1" t="s">
        <v>63</v>
      </c>
      <c r="D1201" s="2">
        <v>44717</v>
      </c>
      <c r="E1201" s="8" t="s">
        <v>6</v>
      </c>
      <c r="F1201" s="8" t="s">
        <v>21</v>
      </c>
      <c r="G1201" s="8" t="s">
        <v>21</v>
      </c>
      <c r="H1201" t="s">
        <v>14</v>
      </c>
      <c r="I1201" s="4">
        <v>4500</v>
      </c>
      <c r="J1201" s="8">
        <v>5</v>
      </c>
      <c r="K1201" s="4">
        <f t="shared" si="30"/>
        <v>22500</v>
      </c>
      <c r="L1201" s="4">
        <f t="shared" si="31"/>
        <v>5625</v>
      </c>
      <c r="M1201" s="3">
        <v>0.25</v>
      </c>
    </row>
    <row r="1202" spans="2:13" x14ac:dyDescent="0.3">
      <c r="B1202" t="s">
        <v>65</v>
      </c>
      <c r="C1202" s="1" t="s">
        <v>63</v>
      </c>
      <c r="D1202" s="2">
        <v>44717</v>
      </c>
      <c r="E1202" s="8" t="s">
        <v>6</v>
      </c>
      <c r="F1202" s="8" t="s">
        <v>21</v>
      </c>
      <c r="G1202" s="8" t="s">
        <v>21</v>
      </c>
      <c r="H1202" t="s">
        <v>19</v>
      </c>
      <c r="I1202" s="4">
        <v>5340</v>
      </c>
      <c r="J1202" s="8">
        <v>11</v>
      </c>
      <c r="K1202" s="4">
        <f t="shared" si="30"/>
        <v>58740</v>
      </c>
      <c r="L1202" s="4">
        <f t="shared" si="31"/>
        <v>17622</v>
      </c>
      <c r="M1202" s="3">
        <v>0.3</v>
      </c>
    </row>
    <row r="1203" spans="2:13" x14ac:dyDescent="0.3">
      <c r="B1203" t="s">
        <v>65</v>
      </c>
      <c r="C1203" s="1" t="s">
        <v>64</v>
      </c>
      <c r="D1203" s="2">
        <v>44724</v>
      </c>
      <c r="E1203" s="8" t="s">
        <v>6</v>
      </c>
      <c r="F1203" s="8" t="s">
        <v>21</v>
      </c>
      <c r="G1203" s="8" t="s">
        <v>21</v>
      </c>
      <c r="H1203" t="s">
        <v>10</v>
      </c>
      <c r="I1203" s="4">
        <v>1700</v>
      </c>
      <c r="J1203" s="8">
        <v>5</v>
      </c>
      <c r="K1203" s="4">
        <f t="shared" si="30"/>
        <v>8500</v>
      </c>
      <c r="L1203" s="4">
        <f t="shared" si="31"/>
        <v>4250</v>
      </c>
      <c r="M1203" s="3">
        <v>0.5</v>
      </c>
    </row>
    <row r="1204" spans="2:13" x14ac:dyDescent="0.3">
      <c r="B1204" t="s">
        <v>66</v>
      </c>
      <c r="C1204" s="1" t="s">
        <v>63</v>
      </c>
      <c r="D1204" s="2">
        <v>44724</v>
      </c>
      <c r="E1204" s="8" t="s">
        <v>6</v>
      </c>
      <c r="F1204" s="8" t="s">
        <v>21</v>
      </c>
      <c r="G1204" s="8" t="s">
        <v>21</v>
      </c>
      <c r="H1204" t="s">
        <v>13</v>
      </c>
      <c r="I1204" s="4">
        <v>3200</v>
      </c>
      <c r="J1204" s="8">
        <v>8</v>
      </c>
      <c r="K1204" s="4">
        <f t="shared" si="30"/>
        <v>25600</v>
      </c>
      <c r="L1204" s="4">
        <f t="shared" si="31"/>
        <v>5120</v>
      </c>
      <c r="M1204" s="3">
        <v>0.2</v>
      </c>
    </row>
    <row r="1205" spans="2:13" x14ac:dyDescent="0.3">
      <c r="B1205" t="s">
        <v>62</v>
      </c>
      <c r="C1205" s="1" t="s">
        <v>63</v>
      </c>
      <c r="D1205" s="2">
        <v>44724</v>
      </c>
      <c r="E1205" s="8" t="s">
        <v>6</v>
      </c>
      <c r="F1205" s="8" t="s">
        <v>21</v>
      </c>
      <c r="G1205" s="8" t="s">
        <v>21</v>
      </c>
      <c r="H1205" t="s">
        <v>19</v>
      </c>
      <c r="I1205" s="4">
        <v>5340</v>
      </c>
      <c r="J1205" s="8">
        <v>12</v>
      </c>
      <c r="K1205" s="4">
        <f t="shared" si="30"/>
        <v>64080</v>
      </c>
      <c r="L1205" s="4">
        <f t="shared" si="31"/>
        <v>19224</v>
      </c>
      <c r="M1205" s="3">
        <v>0.3</v>
      </c>
    </row>
    <row r="1206" spans="2:13" x14ac:dyDescent="0.3">
      <c r="B1206" t="s">
        <v>60</v>
      </c>
      <c r="C1206" s="1" t="s">
        <v>63</v>
      </c>
      <c r="D1206" s="2">
        <v>44731</v>
      </c>
      <c r="E1206" s="8" t="s">
        <v>6</v>
      </c>
      <c r="F1206" s="8" t="s">
        <v>21</v>
      </c>
      <c r="G1206" s="8" t="s">
        <v>21</v>
      </c>
      <c r="H1206" t="s">
        <v>8</v>
      </c>
      <c r="I1206" s="4">
        <v>1200</v>
      </c>
      <c r="J1206" s="8">
        <v>8</v>
      </c>
      <c r="K1206" s="4">
        <f t="shared" si="30"/>
        <v>9600</v>
      </c>
      <c r="L1206" s="4">
        <f t="shared" si="31"/>
        <v>2880</v>
      </c>
      <c r="M1206" s="3">
        <v>0.3</v>
      </c>
    </row>
    <row r="1207" spans="2:13" x14ac:dyDescent="0.3">
      <c r="B1207" t="s">
        <v>62</v>
      </c>
      <c r="C1207" s="1" t="s">
        <v>63</v>
      </c>
      <c r="D1207" s="2">
        <v>44731</v>
      </c>
      <c r="E1207" s="8" t="s">
        <v>6</v>
      </c>
      <c r="F1207" s="8" t="s">
        <v>21</v>
      </c>
      <c r="G1207" s="8" t="s">
        <v>21</v>
      </c>
      <c r="H1207" t="s">
        <v>16</v>
      </c>
      <c r="I1207" s="4">
        <v>3400</v>
      </c>
      <c r="J1207" s="8">
        <v>10</v>
      </c>
      <c r="K1207" s="4">
        <f t="shared" si="30"/>
        <v>34000</v>
      </c>
      <c r="L1207" s="4">
        <f t="shared" si="31"/>
        <v>11900</v>
      </c>
      <c r="M1207" s="3">
        <v>0.35</v>
      </c>
    </row>
    <row r="1208" spans="2:13" x14ac:dyDescent="0.3">
      <c r="B1208" t="s">
        <v>62</v>
      </c>
      <c r="C1208" s="1" t="s">
        <v>63</v>
      </c>
      <c r="D1208" s="2">
        <v>44731</v>
      </c>
      <c r="E1208" s="8" t="s">
        <v>6</v>
      </c>
      <c r="F1208" s="8" t="s">
        <v>21</v>
      </c>
      <c r="G1208" s="8" t="s">
        <v>21</v>
      </c>
      <c r="H1208" t="s">
        <v>14</v>
      </c>
      <c r="I1208" s="4">
        <v>4500</v>
      </c>
      <c r="J1208" s="8">
        <v>12</v>
      </c>
      <c r="K1208" s="4">
        <f t="shared" si="30"/>
        <v>54000</v>
      </c>
      <c r="L1208" s="4">
        <f t="shared" si="31"/>
        <v>13500</v>
      </c>
      <c r="M1208" s="3">
        <v>0.25</v>
      </c>
    </row>
    <row r="1209" spans="2:13" x14ac:dyDescent="0.3">
      <c r="B1209" t="s">
        <v>66</v>
      </c>
      <c r="C1209" s="1" t="s">
        <v>64</v>
      </c>
      <c r="D1209" s="2">
        <v>44738</v>
      </c>
      <c r="E1209" s="8" t="s">
        <v>6</v>
      </c>
      <c r="F1209" s="8" t="s">
        <v>21</v>
      </c>
      <c r="G1209" s="8" t="s">
        <v>21</v>
      </c>
      <c r="H1209" t="s">
        <v>14</v>
      </c>
      <c r="I1209" s="4">
        <v>4500</v>
      </c>
      <c r="J1209" s="8">
        <v>5</v>
      </c>
      <c r="K1209" s="4">
        <f t="shared" si="30"/>
        <v>22500</v>
      </c>
      <c r="L1209" s="4">
        <f t="shared" si="31"/>
        <v>5625</v>
      </c>
      <c r="M1209" s="3">
        <v>0.25</v>
      </c>
    </row>
    <row r="1210" spans="2:13" x14ac:dyDescent="0.3">
      <c r="B1210" t="s">
        <v>65</v>
      </c>
      <c r="C1210" s="1" t="s">
        <v>63</v>
      </c>
      <c r="D1210" s="2">
        <v>44738</v>
      </c>
      <c r="E1210" s="8" t="s">
        <v>6</v>
      </c>
      <c r="F1210" s="8" t="s">
        <v>21</v>
      </c>
      <c r="G1210" s="8" t="s">
        <v>21</v>
      </c>
      <c r="H1210" t="s">
        <v>15</v>
      </c>
      <c r="I1210" s="4">
        <v>5300</v>
      </c>
      <c r="J1210" s="8">
        <v>5</v>
      </c>
      <c r="K1210" s="4">
        <f t="shared" si="30"/>
        <v>26500</v>
      </c>
      <c r="L1210" s="4">
        <f t="shared" si="31"/>
        <v>7950</v>
      </c>
      <c r="M1210" s="3">
        <v>0.3</v>
      </c>
    </row>
    <row r="1211" spans="2:13" x14ac:dyDescent="0.3">
      <c r="B1211" t="s">
        <v>62</v>
      </c>
      <c r="C1211" s="1" t="s">
        <v>63</v>
      </c>
      <c r="D1211" s="2">
        <v>44738</v>
      </c>
      <c r="E1211" s="8" t="s">
        <v>6</v>
      </c>
      <c r="F1211" s="8" t="s">
        <v>21</v>
      </c>
      <c r="G1211" s="8" t="s">
        <v>21</v>
      </c>
      <c r="H1211" t="s">
        <v>15</v>
      </c>
      <c r="I1211" s="4">
        <v>5300</v>
      </c>
      <c r="J1211" s="8">
        <v>10</v>
      </c>
      <c r="K1211" s="4">
        <f t="shared" si="30"/>
        <v>53000</v>
      </c>
      <c r="L1211" s="4">
        <f t="shared" si="31"/>
        <v>15900</v>
      </c>
      <c r="M1211" s="3">
        <v>0.3</v>
      </c>
    </row>
    <row r="1212" spans="2:13" x14ac:dyDescent="0.3">
      <c r="B1212" t="s">
        <v>62</v>
      </c>
      <c r="C1212" s="1" t="s">
        <v>63</v>
      </c>
      <c r="D1212" s="2">
        <v>44745</v>
      </c>
      <c r="E1212" s="8" t="s">
        <v>6</v>
      </c>
      <c r="F1212" s="8" t="s">
        <v>21</v>
      </c>
      <c r="G1212" s="8" t="s">
        <v>21</v>
      </c>
      <c r="H1212" t="s">
        <v>15</v>
      </c>
      <c r="I1212" s="4">
        <v>5300</v>
      </c>
      <c r="J1212" s="8">
        <v>7</v>
      </c>
      <c r="K1212" s="4">
        <f t="shared" si="30"/>
        <v>37100</v>
      </c>
      <c r="L1212" s="4">
        <f t="shared" si="31"/>
        <v>11130</v>
      </c>
      <c r="M1212" s="3">
        <v>0.3</v>
      </c>
    </row>
    <row r="1213" spans="2:13" x14ac:dyDescent="0.3">
      <c r="B1213" t="s">
        <v>66</v>
      </c>
      <c r="C1213" s="1" t="s">
        <v>64</v>
      </c>
      <c r="D1213" s="2">
        <v>44745</v>
      </c>
      <c r="E1213" s="8" t="s">
        <v>6</v>
      </c>
      <c r="F1213" s="8" t="s">
        <v>21</v>
      </c>
      <c r="G1213" s="8" t="s">
        <v>21</v>
      </c>
      <c r="H1213" t="s">
        <v>20</v>
      </c>
      <c r="I1213" s="4">
        <v>8902</v>
      </c>
      <c r="J1213" s="8">
        <v>7</v>
      </c>
      <c r="K1213" s="4">
        <f t="shared" si="30"/>
        <v>62314</v>
      </c>
      <c r="L1213" s="4">
        <f t="shared" si="31"/>
        <v>21809.899999999998</v>
      </c>
      <c r="M1213" s="3">
        <v>0.35</v>
      </c>
    </row>
    <row r="1214" spans="2:13" x14ac:dyDescent="0.3">
      <c r="B1214" t="s">
        <v>60</v>
      </c>
      <c r="C1214" s="1" t="s">
        <v>64</v>
      </c>
      <c r="D1214" s="2">
        <v>44745</v>
      </c>
      <c r="E1214" s="8" t="s">
        <v>6</v>
      </c>
      <c r="F1214" s="8" t="s">
        <v>21</v>
      </c>
      <c r="G1214" s="8" t="s">
        <v>21</v>
      </c>
      <c r="H1214" t="s">
        <v>20</v>
      </c>
      <c r="I1214" s="4">
        <v>8902</v>
      </c>
      <c r="J1214" s="8">
        <v>9</v>
      </c>
      <c r="K1214" s="4">
        <f t="shared" si="30"/>
        <v>80118</v>
      </c>
      <c r="L1214" s="4">
        <f t="shared" si="31"/>
        <v>28041.3</v>
      </c>
      <c r="M1214" s="3">
        <v>0.35</v>
      </c>
    </row>
    <row r="1215" spans="2:13" x14ac:dyDescent="0.3">
      <c r="B1215" t="s">
        <v>60</v>
      </c>
      <c r="C1215" s="1" t="s">
        <v>64</v>
      </c>
      <c r="D1215" s="2">
        <v>44752</v>
      </c>
      <c r="E1215" s="8" t="s">
        <v>6</v>
      </c>
      <c r="F1215" s="8" t="s">
        <v>21</v>
      </c>
      <c r="G1215" s="8" t="s">
        <v>21</v>
      </c>
      <c r="H1215" t="s">
        <v>9</v>
      </c>
      <c r="I1215" s="4">
        <v>1500</v>
      </c>
      <c r="J1215" s="8">
        <v>1</v>
      </c>
      <c r="K1215" s="4">
        <f t="shared" si="30"/>
        <v>1500</v>
      </c>
      <c r="L1215" s="4">
        <f t="shared" si="31"/>
        <v>600</v>
      </c>
      <c r="M1215" s="3">
        <v>0.4</v>
      </c>
    </row>
    <row r="1216" spans="2:13" x14ac:dyDescent="0.3">
      <c r="B1216" t="s">
        <v>65</v>
      </c>
      <c r="C1216" s="1" t="s">
        <v>63</v>
      </c>
      <c r="D1216" s="2">
        <v>44752</v>
      </c>
      <c r="E1216" s="8" t="s">
        <v>6</v>
      </c>
      <c r="F1216" s="8" t="s">
        <v>21</v>
      </c>
      <c r="G1216" s="8" t="s">
        <v>21</v>
      </c>
      <c r="H1216" t="s">
        <v>15</v>
      </c>
      <c r="I1216" s="4">
        <v>5300</v>
      </c>
      <c r="J1216" s="8">
        <v>2</v>
      </c>
      <c r="K1216" s="4">
        <f t="shared" si="30"/>
        <v>10600</v>
      </c>
      <c r="L1216" s="4">
        <f t="shared" si="31"/>
        <v>3180</v>
      </c>
      <c r="M1216" s="3">
        <v>0.3</v>
      </c>
    </row>
    <row r="1217" spans="2:13" x14ac:dyDescent="0.3">
      <c r="B1217" t="s">
        <v>65</v>
      </c>
      <c r="C1217" s="1" t="s">
        <v>63</v>
      </c>
      <c r="D1217" s="2">
        <v>44752</v>
      </c>
      <c r="E1217" s="8" t="s">
        <v>6</v>
      </c>
      <c r="F1217" s="8" t="s">
        <v>76</v>
      </c>
      <c r="G1217" s="8" t="s">
        <v>77</v>
      </c>
      <c r="H1217" t="s">
        <v>20</v>
      </c>
      <c r="I1217" s="4">
        <v>8902</v>
      </c>
      <c r="J1217" s="8">
        <v>10</v>
      </c>
      <c r="K1217" s="4">
        <f t="shared" si="30"/>
        <v>89020</v>
      </c>
      <c r="L1217" s="4">
        <f t="shared" si="31"/>
        <v>31156.999999999996</v>
      </c>
      <c r="M1217" s="3">
        <v>0.35</v>
      </c>
    </row>
    <row r="1218" spans="2:13" x14ac:dyDescent="0.3">
      <c r="B1218" t="s">
        <v>65</v>
      </c>
      <c r="C1218" s="1" t="s">
        <v>64</v>
      </c>
      <c r="D1218" s="2">
        <v>44759</v>
      </c>
      <c r="E1218" s="8" t="s">
        <v>6</v>
      </c>
      <c r="F1218" s="8" t="s">
        <v>21</v>
      </c>
      <c r="G1218" s="8" t="s">
        <v>21</v>
      </c>
      <c r="H1218" t="s">
        <v>9</v>
      </c>
      <c r="I1218" s="4">
        <v>1500</v>
      </c>
      <c r="J1218" s="8">
        <v>3</v>
      </c>
      <c r="K1218" s="4">
        <f t="shared" si="30"/>
        <v>4500</v>
      </c>
      <c r="L1218" s="4">
        <f t="shared" si="31"/>
        <v>1800</v>
      </c>
      <c r="M1218" s="3">
        <v>0.4</v>
      </c>
    </row>
    <row r="1219" spans="2:13" x14ac:dyDescent="0.3">
      <c r="B1219" t="s">
        <v>65</v>
      </c>
      <c r="C1219" s="1" t="s">
        <v>64</v>
      </c>
      <c r="D1219" s="2">
        <v>44759</v>
      </c>
      <c r="E1219" s="8" t="s">
        <v>6</v>
      </c>
      <c r="F1219" s="8" t="s">
        <v>21</v>
      </c>
      <c r="G1219" s="8" t="s">
        <v>21</v>
      </c>
      <c r="H1219" t="s">
        <v>18</v>
      </c>
      <c r="I1219" s="4">
        <v>4600</v>
      </c>
      <c r="J1219" s="8">
        <v>4</v>
      </c>
      <c r="K1219" s="4">
        <f t="shared" si="30"/>
        <v>18400</v>
      </c>
      <c r="L1219" s="4">
        <f t="shared" si="31"/>
        <v>4600</v>
      </c>
      <c r="M1219" s="3">
        <v>0.25</v>
      </c>
    </row>
    <row r="1220" spans="2:13" x14ac:dyDescent="0.3">
      <c r="B1220" t="s">
        <v>61</v>
      </c>
      <c r="C1220" s="1" t="s">
        <v>63</v>
      </c>
      <c r="D1220" s="2">
        <v>44759</v>
      </c>
      <c r="E1220" s="8" t="s">
        <v>6</v>
      </c>
      <c r="F1220" s="8" t="s">
        <v>21</v>
      </c>
      <c r="G1220" s="8" t="s">
        <v>21</v>
      </c>
      <c r="H1220" t="s">
        <v>13</v>
      </c>
      <c r="I1220" s="4">
        <v>3200</v>
      </c>
      <c r="J1220" s="8">
        <v>9</v>
      </c>
      <c r="K1220" s="4">
        <f t="shared" si="30"/>
        <v>28800</v>
      </c>
      <c r="L1220" s="4">
        <f t="shared" si="31"/>
        <v>5760</v>
      </c>
      <c r="M1220" s="3">
        <v>0.2</v>
      </c>
    </row>
    <row r="1221" spans="2:13" x14ac:dyDescent="0.3">
      <c r="B1221" t="s">
        <v>65</v>
      </c>
      <c r="C1221" s="1" t="s">
        <v>63</v>
      </c>
      <c r="D1221" s="2">
        <v>44766</v>
      </c>
      <c r="E1221" s="8" t="s">
        <v>6</v>
      </c>
      <c r="F1221" s="8" t="s">
        <v>21</v>
      </c>
      <c r="G1221" s="8" t="s">
        <v>21</v>
      </c>
      <c r="H1221" t="s">
        <v>8</v>
      </c>
      <c r="I1221" s="4">
        <v>1200</v>
      </c>
      <c r="J1221" s="8">
        <v>1</v>
      </c>
      <c r="K1221" s="4">
        <f t="shared" si="30"/>
        <v>1200</v>
      </c>
      <c r="L1221" s="4">
        <f t="shared" si="31"/>
        <v>360</v>
      </c>
      <c r="M1221" s="3">
        <v>0.3</v>
      </c>
    </row>
    <row r="1222" spans="2:13" x14ac:dyDescent="0.3">
      <c r="B1222" t="s">
        <v>60</v>
      </c>
      <c r="C1222" s="1" t="s">
        <v>64</v>
      </c>
      <c r="D1222" s="2">
        <v>44766</v>
      </c>
      <c r="E1222" s="8" t="s">
        <v>6</v>
      </c>
      <c r="F1222" s="8" t="s">
        <v>21</v>
      </c>
      <c r="G1222" s="8" t="s">
        <v>21</v>
      </c>
      <c r="H1222" t="s">
        <v>9</v>
      </c>
      <c r="I1222" s="4">
        <v>1500</v>
      </c>
      <c r="J1222" s="8">
        <v>1</v>
      </c>
      <c r="K1222" s="4">
        <f t="shared" si="30"/>
        <v>1500</v>
      </c>
      <c r="L1222" s="4">
        <f t="shared" si="31"/>
        <v>600</v>
      </c>
      <c r="M1222" s="3">
        <v>0.4</v>
      </c>
    </row>
    <row r="1223" spans="2:13" x14ac:dyDescent="0.3">
      <c r="B1223" t="s">
        <v>65</v>
      </c>
      <c r="C1223" s="1" t="s">
        <v>63</v>
      </c>
      <c r="D1223" s="2">
        <v>44766</v>
      </c>
      <c r="E1223" s="8" t="s">
        <v>6</v>
      </c>
      <c r="F1223" s="8" t="s">
        <v>21</v>
      </c>
      <c r="G1223" s="8" t="s">
        <v>21</v>
      </c>
      <c r="H1223" t="s">
        <v>14</v>
      </c>
      <c r="I1223" s="4">
        <v>4500</v>
      </c>
      <c r="J1223" s="8">
        <v>3</v>
      </c>
      <c r="K1223" s="4">
        <f t="shared" si="30"/>
        <v>13500</v>
      </c>
      <c r="L1223" s="4">
        <f t="shared" si="31"/>
        <v>3375</v>
      </c>
      <c r="M1223" s="3">
        <v>0.25</v>
      </c>
    </row>
    <row r="1224" spans="2:13" x14ac:dyDescent="0.3">
      <c r="B1224" t="s">
        <v>60</v>
      </c>
      <c r="C1224" s="1" t="s">
        <v>63</v>
      </c>
      <c r="D1224" s="2">
        <v>44766</v>
      </c>
      <c r="E1224" s="8" t="s">
        <v>6</v>
      </c>
      <c r="F1224" s="8" t="s">
        <v>21</v>
      </c>
      <c r="G1224" s="8" t="s">
        <v>21</v>
      </c>
      <c r="H1224" t="s">
        <v>13</v>
      </c>
      <c r="I1224" s="4">
        <v>3200</v>
      </c>
      <c r="J1224" s="8">
        <v>5</v>
      </c>
      <c r="K1224" s="4">
        <f t="shared" si="30"/>
        <v>16000</v>
      </c>
      <c r="L1224" s="4">
        <f t="shared" si="31"/>
        <v>3200</v>
      </c>
      <c r="M1224" s="3">
        <v>0.2</v>
      </c>
    </row>
    <row r="1225" spans="2:13" x14ac:dyDescent="0.3">
      <c r="B1225" t="s">
        <v>60</v>
      </c>
      <c r="C1225" s="1" t="s">
        <v>63</v>
      </c>
      <c r="D1225" s="2">
        <v>44766</v>
      </c>
      <c r="E1225" s="8" t="s">
        <v>6</v>
      </c>
      <c r="F1225" s="8" t="s">
        <v>21</v>
      </c>
      <c r="G1225" s="8" t="s">
        <v>21</v>
      </c>
      <c r="H1225" t="s">
        <v>20</v>
      </c>
      <c r="I1225" s="4">
        <v>8902</v>
      </c>
      <c r="J1225" s="8">
        <v>3</v>
      </c>
      <c r="K1225" s="4">
        <f t="shared" si="30"/>
        <v>26706</v>
      </c>
      <c r="L1225" s="4">
        <f t="shared" si="31"/>
        <v>9347.0999999999985</v>
      </c>
      <c r="M1225" s="3">
        <v>0.35</v>
      </c>
    </row>
    <row r="1226" spans="2:13" x14ac:dyDescent="0.3">
      <c r="B1226" t="s">
        <v>65</v>
      </c>
      <c r="C1226" s="1" t="s">
        <v>63</v>
      </c>
      <c r="D1226" s="2">
        <v>44766</v>
      </c>
      <c r="E1226" s="8" t="s">
        <v>6</v>
      </c>
      <c r="F1226" s="8" t="s">
        <v>21</v>
      </c>
      <c r="G1226" s="8" t="s">
        <v>21</v>
      </c>
      <c r="H1226" t="s">
        <v>17</v>
      </c>
      <c r="I1226" s="4">
        <v>5130</v>
      </c>
      <c r="J1226" s="8">
        <v>6</v>
      </c>
      <c r="K1226" s="4">
        <f t="shared" si="30"/>
        <v>30780</v>
      </c>
      <c r="L1226" s="4">
        <f t="shared" si="31"/>
        <v>12312</v>
      </c>
      <c r="M1226" s="3">
        <v>0.4</v>
      </c>
    </row>
    <row r="1227" spans="2:13" x14ac:dyDescent="0.3">
      <c r="B1227" t="s">
        <v>60</v>
      </c>
      <c r="C1227" s="1" t="s">
        <v>63</v>
      </c>
      <c r="D1227" s="2">
        <v>44773</v>
      </c>
      <c r="E1227" s="8" t="s">
        <v>6</v>
      </c>
      <c r="F1227" s="8" t="s">
        <v>21</v>
      </c>
      <c r="G1227" s="8" t="s">
        <v>21</v>
      </c>
      <c r="H1227" t="s">
        <v>20</v>
      </c>
      <c r="I1227" s="4">
        <v>8902</v>
      </c>
      <c r="J1227" s="8">
        <v>3</v>
      </c>
      <c r="K1227" s="4">
        <f t="shared" si="30"/>
        <v>26706</v>
      </c>
      <c r="L1227" s="4">
        <f t="shared" si="31"/>
        <v>9347.0999999999985</v>
      </c>
      <c r="M1227" s="3">
        <v>0.35</v>
      </c>
    </row>
    <row r="1228" spans="2:13" x14ac:dyDescent="0.3">
      <c r="B1228" t="s">
        <v>61</v>
      </c>
      <c r="C1228" s="1" t="s">
        <v>63</v>
      </c>
      <c r="D1228" s="2">
        <v>44773</v>
      </c>
      <c r="E1228" s="8" t="s">
        <v>6</v>
      </c>
      <c r="F1228" s="8" t="s">
        <v>21</v>
      </c>
      <c r="G1228" s="8" t="s">
        <v>21</v>
      </c>
      <c r="H1228" t="s">
        <v>13</v>
      </c>
      <c r="I1228" s="4">
        <v>3200</v>
      </c>
      <c r="J1228" s="8">
        <v>9</v>
      </c>
      <c r="K1228" s="4">
        <f t="shared" si="30"/>
        <v>28800</v>
      </c>
      <c r="L1228" s="4">
        <f t="shared" si="31"/>
        <v>5760</v>
      </c>
      <c r="M1228" s="3">
        <v>0.2</v>
      </c>
    </row>
    <row r="1229" spans="2:13" x14ac:dyDescent="0.3">
      <c r="B1229" t="s">
        <v>60</v>
      </c>
      <c r="C1229" s="1" t="s">
        <v>63</v>
      </c>
      <c r="D1229" s="2">
        <v>44773</v>
      </c>
      <c r="E1229" s="8" t="s">
        <v>6</v>
      </c>
      <c r="F1229" s="8" t="s">
        <v>21</v>
      </c>
      <c r="G1229" s="8" t="s">
        <v>21</v>
      </c>
      <c r="H1229" t="s">
        <v>14</v>
      </c>
      <c r="I1229" s="4">
        <v>4500</v>
      </c>
      <c r="J1229" s="8">
        <v>9</v>
      </c>
      <c r="K1229" s="4">
        <f t="shared" si="30"/>
        <v>40500</v>
      </c>
      <c r="L1229" s="4">
        <f t="shared" si="31"/>
        <v>10125</v>
      </c>
      <c r="M1229" s="3">
        <v>0.25</v>
      </c>
    </row>
    <row r="1230" spans="2:13" x14ac:dyDescent="0.3">
      <c r="B1230" t="s">
        <v>65</v>
      </c>
      <c r="C1230" s="1" t="s">
        <v>63</v>
      </c>
      <c r="D1230" s="2">
        <v>44780</v>
      </c>
      <c r="E1230" s="8" t="s">
        <v>6</v>
      </c>
      <c r="F1230" s="8" t="s">
        <v>21</v>
      </c>
      <c r="G1230" s="8" t="s">
        <v>21</v>
      </c>
      <c r="H1230" t="s">
        <v>14</v>
      </c>
      <c r="I1230" s="4">
        <v>4500</v>
      </c>
      <c r="J1230" s="8">
        <v>3</v>
      </c>
      <c r="K1230" s="4">
        <f t="shared" si="30"/>
        <v>13500</v>
      </c>
      <c r="L1230" s="4">
        <f t="shared" si="31"/>
        <v>3375</v>
      </c>
      <c r="M1230" s="3">
        <v>0.25</v>
      </c>
    </row>
    <row r="1231" spans="2:13" x14ac:dyDescent="0.3">
      <c r="B1231" t="s">
        <v>65</v>
      </c>
      <c r="C1231" s="1" t="s">
        <v>63</v>
      </c>
      <c r="D1231" s="2">
        <v>44780</v>
      </c>
      <c r="E1231" s="8" t="s">
        <v>6</v>
      </c>
      <c r="F1231" s="8" t="s">
        <v>21</v>
      </c>
      <c r="G1231" s="8" t="s">
        <v>21</v>
      </c>
      <c r="H1231" t="s">
        <v>15</v>
      </c>
      <c r="I1231" s="4">
        <v>5300</v>
      </c>
      <c r="J1231" s="8">
        <v>5</v>
      </c>
      <c r="K1231" s="4">
        <f t="shared" si="30"/>
        <v>26500</v>
      </c>
      <c r="L1231" s="4">
        <f t="shared" si="31"/>
        <v>7950</v>
      </c>
      <c r="M1231" s="3">
        <v>0.3</v>
      </c>
    </row>
    <row r="1232" spans="2:13" x14ac:dyDescent="0.3">
      <c r="B1232" t="s">
        <v>66</v>
      </c>
      <c r="C1232" s="1" t="s">
        <v>64</v>
      </c>
      <c r="D1232" s="2">
        <v>44780</v>
      </c>
      <c r="E1232" s="8" t="s">
        <v>6</v>
      </c>
      <c r="F1232" s="8" t="s">
        <v>21</v>
      </c>
      <c r="G1232" s="8" t="s">
        <v>21</v>
      </c>
      <c r="H1232" t="s">
        <v>13</v>
      </c>
      <c r="I1232" s="4">
        <v>3200</v>
      </c>
      <c r="J1232" s="8">
        <v>9</v>
      </c>
      <c r="K1232" s="4">
        <f t="shared" si="30"/>
        <v>28800</v>
      </c>
      <c r="L1232" s="4">
        <f t="shared" si="31"/>
        <v>5760</v>
      </c>
      <c r="M1232" s="3">
        <v>0.2</v>
      </c>
    </row>
    <row r="1233" spans="2:13" x14ac:dyDescent="0.3">
      <c r="B1233" t="s">
        <v>65</v>
      </c>
      <c r="C1233" s="1" t="s">
        <v>64</v>
      </c>
      <c r="D1233" s="2">
        <v>44787</v>
      </c>
      <c r="E1233" s="8" t="s">
        <v>6</v>
      </c>
      <c r="F1233" s="8" t="s">
        <v>21</v>
      </c>
      <c r="G1233" s="8" t="s">
        <v>21</v>
      </c>
      <c r="H1233" t="s">
        <v>8</v>
      </c>
      <c r="I1233" s="4">
        <v>1200</v>
      </c>
      <c r="J1233" s="8">
        <v>1</v>
      </c>
      <c r="K1233" s="4">
        <f t="shared" si="30"/>
        <v>1200</v>
      </c>
      <c r="L1233" s="4">
        <f t="shared" si="31"/>
        <v>360</v>
      </c>
      <c r="M1233" s="3">
        <v>0.3</v>
      </c>
    </row>
    <row r="1234" spans="2:13" x14ac:dyDescent="0.3">
      <c r="B1234" t="s">
        <v>60</v>
      </c>
      <c r="C1234" s="1" t="s">
        <v>63</v>
      </c>
      <c r="D1234" s="2">
        <v>44787</v>
      </c>
      <c r="E1234" s="8" t="s">
        <v>6</v>
      </c>
      <c r="F1234" s="8" t="s">
        <v>21</v>
      </c>
      <c r="G1234" s="8" t="s">
        <v>21</v>
      </c>
      <c r="H1234" t="s">
        <v>12</v>
      </c>
      <c r="I1234" s="4">
        <v>500</v>
      </c>
      <c r="J1234" s="8">
        <v>3</v>
      </c>
      <c r="K1234" s="4">
        <f t="shared" si="30"/>
        <v>1500</v>
      </c>
      <c r="L1234" s="4">
        <f t="shared" si="31"/>
        <v>375</v>
      </c>
      <c r="M1234" s="3">
        <v>0.25</v>
      </c>
    </row>
    <row r="1235" spans="2:13" x14ac:dyDescent="0.3">
      <c r="B1235" t="s">
        <v>65</v>
      </c>
      <c r="C1235" s="1" t="s">
        <v>63</v>
      </c>
      <c r="D1235" s="2">
        <v>44787</v>
      </c>
      <c r="E1235" s="8" t="s">
        <v>6</v>
      </c>
      <c r="F1235" s="8" t="s">
        <v>76</v>
      </c>
      <c r="G1235" s="8" t="s">
        <v>77</v>
      </c>
      <c r="H1235" t="s">
        <v>14</v>
      </c>
      <c r="I1235" s="4">
        <v>4500</v>
      </c>
      <c r="J1235" s="8">
        <v>1</v>
      </c>
      <c r="K1235" s="4">
        <f t="shared" si="30"/>
        <v>4500</v>
      </c>
      <c r="L1235" s="4">
        <f t="shared" si="31"/>
        <v>1125</v>
      </c>
      <c r="M1235" s="3">
        <v>0.25</v>
      </c>
    </row>
    <row r="1236" spans="2:13" x14ac:dyDescent="0.3">
      <c r="B1236" t="s">
        <v>65</v>
      </c>
      <c r="C1236" s="1" t="s">
        <v>63</v>
      </c>
      <c r="D1236" s="2">
        <v>44794</v>
      </c>
      <c r="E1236" s="8" t="s">
        <v>6</v>
      </c>
      <c r="F1236" s="8" t="s">
        <v>21</v>
      </c>
      <c r="G1236" s="8" t="s">
        <v>21</v>
      </c>
      <c r="H1236" t="s">
        <v>13</v>
      </c>
      <c r="I1236" s="4">
        <v>3200</v>
      </c>
      <c r="J1236" s="8">
        <v>2</v>
      </c>
      <c r="K1236" s="4">
        <f t="shared" si="30"/>
        <v>6400</v>
      </c>
      <c r="L1236" s="4">
        <f t="shared" si="31"/>
        <v>1280</v>
      </c>
      <c r="M1236" s="3">
        <v>0.2</v>
      </c>
    </row>
    <row r="1237" spans="2:13" x14ac:dyDescent="0.3">
      <c r="B1237" t="s">
        <v>65</v>
      </c>
      <c r="C1237" s="1" t="s">
        <v>63</v>
      </c>
      <c r="D1237" s="2">
        <v>44794</v>
      </c>
      <c r="E1237" s="8" t="s">
        <v>6</v>
      </c>
      <c r="F1237" s="8" t="s">
        <v>21</v>
      </c>
      <c r="G1237" s="8" t="s">
        <v>21</v>
      </c>
      <c r="H1237" t="s">
        <v>9</v>
      </c>
      <c r="I1237" s="4">
        <v>1500</v>
      </c>
      <c r="J1237" s="8">
        <v>8</v>
      </c>
      <c r="K1237" s="4">
        <f t="shared" si="30"/>
        <v>12000</v>
      </c>
      <c r="L1237" s="4">
        <f t="shared" si="31"/>
        <v>4800</v>
      </c>
      <c r="M1237" s="3">
        <v>0.4</v>
      </c>
    </row>
    <row r="1238" spans="2:13" x14ac:dyDescent="0.3">
      <c r="B1238" t="s">
        <v>60</v>
      </c>
      <c r="C1238" s="1" t="s">
        <v>64</v>
      </c>
      <c r="D1238" s="2">
        <v>44794</v>
      </c>
      <c r="E1238" s="8" t="s">
        <v>6</v>
      </c>
      <c r="F1238" s="8" t="s">
        <v>21</v>
      </c>
      <c r="G1238" s="8" t="s">
        <v>21</v>
      </c>
      <c r="H1238" t="s">
        <v>20</v>
      </c>
      <c r="I1238" s="4">
        <v>8902</v>
      </c>
      <c r="J1238" s="8">
        <v>5</v>
      </c>
      <c r="K1238" s="4">
        <f t="shared" si="30"/>
        <v>44510</v>
      </c>
      <c r="L1238" s="4">
        <f t="shared" si="31"/>
        <v>15578.499999999998</v>
      </c>
      <c r="M1238" s="3">
        <v>0.35</v>
      </c>
    </row>
    <row r="1239" spans="2:13" x14ac:dyDescent="0.3">
      <c r="B1239" t="s">
        <v>65</v>
      </c>
      <c r="C1239" s="1" t="s">
        <v>63</v>
      </c>
      <c r="D1239" s="2">
        <v>44801</v>
      </c>
      <c r="E1239" s="8" t="s">
        <v>6</v>
      </c>
      <c r="F1239" s="8" t="s">
        <v>21</v>
      </c>
      <c r="G1239" s="8" t="s">
        <v>21</v>
      </c>
      <c r="H1239" t="s">
        <v>9</v>
      </c>
      <c r="I1239" s="4">
        <v>1500</v>
      </c>
      <c r="J1239" s="8">
        <v>1</v>
      </c>
      <c r="K1239" s="4">
        <f t="shared" si="30"/>
        <v>1500</v>
      </c>
      <c r="L1239" s="4">
        <f t="shared" si="31"/>
        <v>600</v>
      </c>
      <c r="M1239" s="3">
        <v>0.4</v>
      </c>
    </row>
    <row r="1240" spans="2:13" x14ac:dyDescent="0.3">
      <c r="B1240" t="s">
        <v>65</v>
      </c>
      <c r="C1240" s="1" t="s">
        <v>63</v>
      </c>
      <c r="D1240" s="2">
        <v>44801</v>
      </c>
      <c r="E1240" s="8" t="s">
        <v>6</v>
      </c>
      <c r="F1240" s="8" t="s">
        <v>21</v>
      </c>
      <c r="G1240" s="8" t="s">
        <v>21</v>
      </c>
      <c r="H1240" t="s">
        <v>15</v>
      </c>
      <c r="I1240" s="4">
        <v>5300</v>
      </c>
      <c r="J1240" s="8">
        <v>5</v>
      </c>
      <c r="K1240" s="4">
        <f t="shared" si="30"/>
        <v>26500</v>
      </c>
      <c r="L1240" s="4">
        <f t="shared" si="31"/>
        <v>7950</v>
      </c>
      <c r="M1240" s="3">
        <v>0.3</v>
      </c>
    </row>
    <row r="1241" spans="2:13" x14ac:dyDescent="0.3">
      <c r="B1241" t="s">
        <v>65</v>
      </c>
      <c r="C1241" s="1" t="s">
        <v>63</v>
      </c>
      <c r="D1241" s="2">
        <v>44801</v>
      </c>
      <c r="E1241" s="8" t="s">
        <v>6</v>
      </c>
      <c r="F1241" s="8" t="s">
        <v>21</v>
      </c>
      <c r="G1241" s="8" t="s">
        <v>21</v>
      </c>
      <c r="H1241" t="s">
        <v>19</v>
      </c>
      <c r="I1241" s="4">
        <v>5340</v>
      </c>
      <c r="J1241" s="8">
        <v>11</v>
      </c>
      <c r="K1241" s="4">
        <f t="shared" si="30"/>
        <v>58740</v>
      </c>
      <c r="L1241" s="4">
        <f t="shared" si="31"/>
        <v>17622</v>
      </c>
      <c r="M1241" s="3">
        <v>0.3</v>
      </c>
    </row>
    <row r="1242" spans="2:13" x14ac:dyDescent="0.3">
      <c r="B1242" t="s">
        <v>65</v>
      </c>
      <c r="C1242" s="1" t="s">
        <v>63</v>
      </c>
      <c r="D1242" s="2">
        <v>44808</v>
      </c>
      <c r="E1242" s="8" t="s">
        <v>6</v>
      </c>
      <c r="F1242" s="8" t="s">
        <v>21</v>
      </c>
      <c r="G1242" s="8" t="s">
        <v>21</v>
      </c>
      <c r="H1242" t="s">
        <v>15</v>
      </c>
      <c r="I1242" s="4">
        <v>5300</v>
      </c>
      <c r="J1242" s="8">
        <v>1</v>
      </c>
      <c r="K1242" s="4">
        <f t="shared" ref="K1242:K1305" si="32">I1242*J1242</f>
        <v>5300</v>
      </c>
      <c r="L1242" s="4">
        <f t="shared" ref="L1242:L1305" si="33">K1242*M1242</f>
        <v>1590</v>
      </c>
      <c r="M1242" s="3">
        <v>0.3</v>
      </c>
    </row>
    <row r="1243" spans="2:13" x14ac:dyDescent="0.3">
      <c r="B1243" t="s">
        <v>66</v>
      </c>
      <c r="C1243" s="1" t="s">
        <v>63</v>
      </c>
      <c r="D1243" s="2">
        <v>44808</v>
      </c>
      <c r="E1243" s="8" t="s">
        <v>6</v>
      </c>
      <c r="F1243" s="8" t="s">
        <v>21</v>
      </c>
      <c r="G1243" s="8" t="s">
        <v>21</v>
      </c>
      <c r="H1243" t="s">
        <v>14</v>
      </c>
      <c r="I1243" s="4">
        <v>4500</v>
      </c>
      <c r="J1243" s="8">
        <v>5</v>
      </c>
      <c r="K1243" s="4">
        <f t="shared" si="32"/>
        <v>22500</v>
      </c>
      <c r="L1243" s="4">
        <f t="shared" si="33"/>
        <v>5625</v>
      </c>
      <c r="M1243" s="3">
        <v>0.25</v>
      </c>
    </row>
    <row r="1244" spans="2:13" x14ac:dyDescent="0.3">
      <c r="B1244" t="s">
        <v>65</v>
      </c>
      <c r="C1244" s="1" t="s">
        <v>64</v>
      </c>
      <c r="D1244" s="2">
        <v>44808</v>
      </c>
      <c r="E1244" s="8" t="s">
        <v>6</v>
      </c>
      <c r="F1244" s="8" t="s">
        <v>21</v>
      </c>
      <c r="G1244" s="8" t="s">
        <v>21</v>
      </c>
      <c r="H1244" t="s">
        <v>20</v>
      </c>
      <c r="I1244" s="4">
        <v>8902</v>
      </c>
      <c r="J1244" s="8">
        <v>3</v>
      </c>
      <c r="K1244" s="4">
        <f t="shared" si="32"/>
        <v>26706</v>
      </c>
      <c r="L1244" s="4">
        <f t="shared" si="33"/>
        <v>9347.0999999999985</v>
      </c>
      <c r="M1244" s="3">
        <v>0.35</v>
      </c>
    </row>
    <row r="1245" spans="2:13" x14ac:dyDescent="0.3">
      <c r="B1245" t="s">
        <v>66</v>
      </c>
      <c r="C1245" s="1" t="s">
        <v>63</v>
      </c>
      <c r="D1245" s="2">
        <v>44815</v>
      </c>
      <c r="E1245" s="8" t="s">
        <v>6</v>
      </c>
      <c r="F1245" s="8" t="s">
        <v>21</v>
      </c>
      <c r="G1245" s="8" t="s">
        <v>21</v>
      </c>
      <c r="H1245" t="s">
        <v>13</v>
      </c>
      <c r="I1245" s="4">
        <v>3200</v>
      </c>
      <c r="J1245" s="8">
        <v>9</v>
      </c>
      <c r="K1245" s="4">
        <f t="shared" si="32"/>
        <v>28800</v>
      </c>
      <c r="L1245" s="4">
        <f t="shared" si="33"/>
        <v>5760</v>
      </c>
      <c r="M1245" s="3">
        <v>0.2</v>
      </c>
    </row>
    <row r="1246" spans="2:13" x14ac:dyDescent="0.3">
      <c r="B1246" t="s">
        <v>65</v>
      </c>
      <c r="C1246" s="1" t="s">
        <v>63</v>
      </c>
      <c r="D1246" s="2">
        <v>44815</v>
      </c>
      <c r="E1246" s="8" t="s">
        <v>6</v>
      </c>
      <c r="F1246" s="8" t="s">
        <v>21</v>
      </c>
      <c r="G1246" s="8" t="s">
        <v>21</v>
      </c>
      <c r="H1246" t="s">
        <v>19</v>
      </c>
      <c r="I1246" s="4">
        <v>5340</v>
      </c>
      <c r="J1246" s="8">
        <v>8</v>
      </c>
      <c r="K1246" s="4">
        <f t="shared" si="32"/>
        <v>42720</v>
      </c>
      <c r="L1246" s="4">
        <f t="shared" si="33"/>
        <v>12816</v>
      </c>
      <c r="M1246" s="3">
        <v>0.3</v>
      </c>
    </row>
    <row r="1247" spans="2:13" x14ac:dyDescent="0.3">
      <c r="B1247" t="s">
        <v>60</v>
      </c>
      <c r="C1247" s="1" t="s">
        <v>63</v>
      </c>
      <c r="D1247" s="2">
        <v>44815</v>
      </c>
      <c r="E1247" s="8" t="s">
        <v>6</v>
      </c>
      <c r="F1247" s="8" t="s">
        <v>21</v>
      </c>
      <c r="G1247" s="8" t="s">
        <v>21</v>
      </c>
      <c r="H1247" t="s">
        <v>20</v>
      </c>
      <c r="I1247" s="4">
        <v>8902</v>
      </c>
      <c r="J1247" s="8">
        <v>9</v>
      </c>
      <c r="K1247" s="4">
        <f t="shared" si="32"/>
        <v>80118</v>
      </c>
      <c r="L1247" s="4">
        <f t="shared" si="33"/>
        <v>28041.3</v>
      </c>
      <c r="M1247" s="3">
        <v>0.35</v>
      </c>
    </row>
    <row r="1248" spans="2:13" x14ac:dyDescent="0.3">
      <c r="B1248" t="s">
        <v>65</v>
      </c>
      <c r="C1248" s="1" t="s">
        <v>63</v>
      </c>
      <c r="D1248" s="2">
        <v>44822</v>
      </c>
      <c r="E1248" s="8" t="s">
        <v>6</v>
      </c>
      <c r="F1248" s="8" t="s">
        <v>21</v>
      </c>
      <c r="G1248" s="8" t="s">
        <v>21</v>
      </c>
      <c r="H1248" t="s">
        <v>18</v>
      </c>
      <c r="I1248" s="4">
        <v>4600</v>
      </c>
      <c r="J1248" s="8">
        <v>1</v>
      </c>
      <c r="K1248" s="4">
        <f t="shared" si="32"/>
        <v>4600</v>
      </c>
      <c r="L1248" s="4">
        <f t="shared" si="33"/>
        <v>1150</v>
      </c>
      <c r="M1248" s="3">
        <v>0.25</v>
      </c>
    </row>
    <row r="1249" spans="2:13" x14ac:dyDescent="0.3">
      <c r="B1249" t="s">
        <v>60</v>
      </c>
      <c r="C1249" s="1" t="s">
        <v>64</v>
      </c>
      <c r="D1249" s="2">
        <v>44822</v>
      </c>
      <c r="E1249" s="8" t="s">
        <v>6</v>
      </c>
      <c r="F1249" s="8" t="s">
        <v>21</v>
      </c>
      <c r="G1249" s="8" t="s">
        <v>21</v>
      </c>
      <c r="H1249" t="s">
        <v>9</v>
      </c>
      <c r="I1249" s="4">
        <v>1500</v>
      </c>
      <c r="J1249" s="8">
        <v>6</v>
      </c>
      <c r="K1249" s="4">
        <f t="shared" si="32"/>
        <v>9000</v>
      </c>
      <c r="L1249" s="4">
        <f t="shared" si="33"/>
        <v>3600</v>
      </c>
      <c r="M1249" s="3">
        <v>0.4</v>
      </c>
    </row>
    <row r="1250" spans="2:13" x14ac:dyDescent="0.3">
      <c r="B1250" t="s">
        <v>65</v>
      </c>
      <c r="C1250" s="1" t="s">
        <v>63</v>
      </c>
      <c r="D1250" s="2">
        <v>44822</v>
      </c>
      <c r="E1250" s="8" t="s">
        <v>6</v>
      </c>
      <c r="F1250" s="8" t="s">
        <v>21</v>
      </c>
      <c r="G1250" s="8" t="s">
        <v>21</v>
      </c>
      <c r="H1250" t="s">
        <v>14</v>
      </c>
      <c r="I1250" s="4">
        <v>4500</v>
      </c>
      <c r="J1250" s="8">
        <v>7</v>
      </c>
      <c r="K1250" s="4">
        <f t="shared" si="32"/>
        <v>31500</v>
      </c>
      <c r="L1250" s="4">
        <f t="shared" si="33"/>
        <v>7875</v>
      </c>
      <c r="M1250" s="3">
        <v>0.25</v>
      </c>
    </row>
    <row r="1251" spans="2:13" x14ac:dyDescent="0.3">
      <c r="B1251" t="s">
        <v>66</v>
      </c>
      <c r="C1251" s="1" t="s">
        <v>63</v>
      </c>
      <c r="D1251" s="2">
        <v>44829</v>
      </c>
      <c r="E1251" s="8" t="s">
        <v>6</v>
      </c>
      <c r="F1251" s="8" t="s">
        <v>21</v>
      </c>
      <c r="G1251" s="8" t="s">
        <v>21</v>
      </c>
      <c r="H1251" t="s">
        <v>11</v>
      </c>
      <c r="I1251" s="4">
        <v>300</v>
      </c>
      <c r="J1251" s="8">
        <v>3</v>
      </c>
      <c r="K1251" s="4">
        <f t="shared" si="32"/>
        <v>900</v>
      </c>
      <c r="L1251" s="4">
        <f t="shared" si="33"/>
        <v>135</v>
      </c>
      <c r="M1251" s="3">
        <v>0.15</v>
      </c>
    </row>
    <row r="1252" spans="2:13" x14ac:dyDescent="0.3">
      <c r="B1252" t="s">
        <v>66</v>
      </c>
      <c r="C1252" s="1" t="s">
        <v>64</v>
      </c>
      <c r="D1252" s="2">
        <v>44829</v>
      </c>
      <c r="E1252" s="8" t="s">
        <v>6</v>
      </c>
      <c r="F1252" s="8" t="s">
        <v>21</v>
      </c>
      <c r="G1252" s="8" t="s">
        <v>21</v>
      </c>
      <c r="H1252" t="s">
        <v>19</v>
      </c>
      <c r="I1252" s="4">
        <v>5340</v>
      </c>
      <c r="J1252" s="8">
        <v>5</v>
      </c>
      <c r="K1252" s="4">
        <f t="shared" si="32"/>
        <v>26700</v>
      </c>
      <c r="L1252" s="4">
        <f t="shared" si="33"/>
        <v>8010</v>
      </c>
      <c r="M1252" s="3">
        <v>0.3</v>
      </c>
    </row>
    <row r="1253" spans="2:13" x14ac:dyDescent="0.3">
      <c r="B1253" t="s">
        <v>62</v>
      </c>
      <c r="C1253" s="1" t="s">
        <v>63</v>
      </c>
      <c r="D1253" s="2">
        <v>44829</v>
      </c>
      <c r="E1253" s="8" t="s">
        <v>6</v>
      </c>
      <c r="F1253" s="8" t="s">
        <v>76</v>
      </c>
      <c r="G1253" s="8" t="s">
        <v>77</v>
      </c>
      <c r="H1253" t="s">
        <v>14</v>
      </c>
      <c r="I1253" s="4">
        <v>4500</v>
      </c>
      <c r="J1253" s="8">
        <v>11</v>
      </c>
      <c r="K1253" s="4">
        <f t="shared" si="32"/>
        <v>49500</v>
      </c>
      <c r="L1253" s="4">
        <f t="shared" si="33"/>
        <v>12375</v>
      </c>
      <c r="M1253" s="3">
        <v>0.25</v>
      </c>
    </row>
    <row r="1254" spans="2:13" x14ac:dyDescent="0.3">
      <c r="B1254" t="s">
        <v>60</v>
      </c>
      <c r="C1254" s="1" t="s">
        <v>63</v>
      </c>
      <c r="D1254" s="2">
        <v>44836</v>
      </c>
      <c r="E1254" s="8" t="s">
        <v>6</v>
      </c>
      <c r="F1254" s="8" t="s">
        <v>21</v>
      </c>
      <c r="G1254" s="8" t="s">
        <v>21</v>
      </c>
      <c r="H1254" t="s">
        <v>12</v>
      </c>
      <c r="I1254" s="4">
        <v>500</v>
      </c>
      <c r="J1254" s="8">
        <v>5</v>
      </c>
      <c r="K1254" s="4">
        <f t="shared" si="32"/>
        <v>2500</v>
      </c>
      <c r="L1254" s="4">
        <f t="shared" si="33"/>
        <v>625</v>
      </c>
      <c r="M1254" s="3">
        <v>0.25</v>
      </c>
    </row>
    <row r="1255" spans="2:13" x14ac:dyDescent="0.3">
      <c r="B1255" t="s">
        <v>65</v>
      </c>
      <c r="C1255" s="1" t="s">
        <v>64</v>
      </c>
      <c r="D1255" s="2">
        <v>44836</v>
      </c>
      <c r="E1255" s="8" t="s">
        <v>6</v>
      </c>
      <c r="F1255" s="8" t="s">
        <v>21</v>
      </c>
      <c r="G1255" s="8" t="s">
        <v>21</v>
      </c>
      <c r="H1255" t="s">
        <v>17</v>
      </c>
      <c r="I1255" s="4">
        <v>5130</v>
      </c>
      <c r="J1255" s="8">
        <v>4</v>
      </c>
      <c r="K1255" s="4">
        <f t="shared" si="32"/>
        <v>20520</v>
      </c>
      <c r="L1255" s="4">
        <f t="shared" si="33"/>
        <v>8208</v>
      </c>
      <c r="M1255" s="3">
        <v>0.4</v>
      </c>
    </row>
    <row r="1256" spans="2:13" x14ac:dyDescent="0.3">
      <c r="B1256" t="s">
        <v>65</v>
      </c>
      <c r="C1256" s="1" t="s">
        <v>63</v>
      </c>
      <c r="D1256" s="2">
        <v>44836</v>
      </c>
      <c r="E1256" s="8" t="s">
        <v>6</v>
      </c>
      <c r="F1256" s="8" t="s">
        <v>21</v>
      </c>
      <c r="G1256" s="8" t="s">
        <v>21</v>
      </c>
      <c r="H1256" t="s">
        <v>20</v>
      </c>
      <c r="I1256" s="4">
        <v>8902</v>
      </c>
      <c r="J1256" s="8">
        <v>8</v>
      </c>
      <c r="K1256" s="4">
        <f t="shared" si="32"/>
        <v>71216</v>
      </c>
      <c r="L1256" s="4">
        <f t="shared" si="33"/>
        <v>24925.599999999999</v>
      </c>
      <c r="M1256" s="3">
        <v>0.35</v>
      </c>
    </row>
    <row r="1257" spans="2:13" x14ac:dyDescent="0.3">
      <c r="B1257" t="s">
        <v>60</v>
      </c>
      <c r="C1257" s="1" t="s">
        <v>63</v>
      </c>
      <c r="D1257" s="2">
        <v>44843</v>
      </c>
      <c r="E1257" s="8" t="s">
        <v>6</v>
      </c>
      <c r="F1257" s="8" t="s">
        <v>21</v>
      </c>
      <c r="G1257" s="8" t="s">
        <v>21</v>
      </c>
      <c r="H1257" t="s">
        <v>8</v>
      </c>
      <c r="I1257" s="4">
        <v>1200</v>
      </c>
      <c r="J1257" s="8">
        <v>7</v>
      </c>
      <c r="K1257" s="4">
        <f t="shared" si="32"/>
        <v>8400</v>
      </c>
      <c r="L1257" s="4">
        <f t="shared" si="33"/>
        <v>2520</v>
      </c>
      <c r="M1257" s="3">
        <v>0.3</v>
      </c>
    </row>
    <row r="1258" spans="2:13" x14ac:dyDescent="0.3">
      <c r="B1258" t="s">
        <v>62</v>
      </c>
      <c r="C1258" s="1" t="s">
        <v>63</v>
      </c>
      <c r="D1258" s="2">
        <v>44843</v>
      </c>
      <c r="E1258" s="8" t="s">
        <v>6</v>
      </c>
      <c r="F1258" s="8" t="s">
        <v>21</v>
      </c>
      <c r="G1258" s="8" t="s">
        <v>21</v>
      </c>
      <c r="H1258" t="s">
        <v>13</v>
      </c>
      <c r="I1258" s="4">
        <v>3200</v>
      </c>
      <c r="J1258" s="8">
        <v>12</v>
      </c>
      <c r="K1258" s="4">
        <f t="shared" si="32"/>
        <v>38400</v>
      </c>
      <c r="L1258" s="4">
        <f t="shared" si="33"/>
        <v>7680</v>
      </c>
      <c r="M1258" s="3">
        <v>0.2</v>
      </c>
    </row>
    <row r="1259" spans="2:13" x14ac:dyDescent="0.3">
      <c r="B1259" t="s">
        <v>65</v>
      </c>
      <c r="C1259" s="1" t="s">
        <v>63</v>
      </c>
      <c r="D1259" s="2">
        <v>44843</v>
      </c>
      <c r="E1259" s="8" t="s">
        <v>6</v>
      </c>
      <c r="F1259" s="8" t="s">
        <v>21</v>
      </c>
      <c r="G1259" s="8" t="s">
        <v>21</v>
      </c>
      <c r="H1259" t="s">
        <v>19</v>
      </c>
      <c r="I1259" s="4">
        <v>5340</v>
      </c>
      <c r="J1259" s="8">
        <v>11</v>
      </c>
      <c r="K1259" s="4">
        <f t="shared" si="32"/>
        <v>58740</v>
      </c>
      <c r="L1259" s="4">
        <f t="shared" si="33"/>
        <v>17622</v>
      </c>
      <c r="M1259" s="3">
        <v>0.3</v>
      </c>
    </row>
    <row r="1260" spans="2:13" x14ac:dyDescent="0.3">
      <c r="B1260" t="s">
        <v>60</v>
      </c>
      <c r="C1260" s="1" t="s">
        <v>63</v>
      </c>
      <c r="D1260" s="2">
        <v>44850</v>
      </c>
      <c r="E1260" s="8" t="s">
        <v>6</v>
      </c>
      <c r="F1260" s="8" t="s">
        <v>21</v>
      </c>
      <c r="G1260" s="8" t="s">
        <v>21</v>
      </c>
      <c r="H1260" t="s">
        <v>12</v>
      </c>
      <c r="I1260" s="4">
        <v>500</v>
      </c>
      <c r="J1260" s="8">
        <v>5</v>
      </c>
      <c r="K1260" s="4">
        <f t="shared" si="32"/>
        <v>2500</v>
      </c>
      <c r="L1260" s="4">
        <f t="shared" si="33"/>
        <v>625</v>
      </c>
      <c r="M1260" s="3">
        <v>0.25</v>
      </c>
    </row>
    <row r="1261" spans="2:13" x14ac:dyDescent="0.3">
      <c r="B1261" t="s">
        <v>61</v>
      </c>
      <c r="C1261" s="1" t="s">
        <v>63</v>
      </c>
      <c r="D1261" s="2">
        <v>44850</v>
      </c>
      <c r="E1261" s="8" t="s">
        <v>6</v>
      </c>
      <c r="F1261" s="8" t="s">
        <v>21</v>
      </c>
      <c r="G1261" s="8" t="s">
        <v>21</v>
      </c>
      <c r="H1261" t="s">
        <v>13</v>
      </c>
      <c r="I1261" s="4">
        <v>3200</v>
      </c>
      <c r="J1261" s="8">
        <v>2</v>
      </c>
      <c r="K1261" s="4">
        <f t="shared" si="32"/>
        <v>6400</v>
      </c>
      <c r="L1261" s="4">
        <f t="shared" si="33"/>
        <v>1280</v>
      </c>
      <c r="M1261" s="3">
        <v>0.2</v>
      </c>
    </row>
    <row r="1262" spans="2:13" x14ac:dyDescent="0.3">
      <c r="B1262" t="s">
        <v>65</v>
      </c>
      <c r="C1262" s="1" t="s">
        <v>63</v>
      </c>
      <c r="D1262" s="2">
        <v>44850</v>
      </c>
      <c r="E1262" s="8" t="s">
        <v>6</v>
      </c>
      <c r="F1262" s="8" t="s">
        <v>21</v>
      </c>
      <c r="G1262" s="8" t="s">
        <v>21</v>
      </c>
      <c r="H1262" t="s">
        <v>19</v>
      </c>
      <c r="I1262" s="4">
        <v>5340</v>
      </c>
      <c r="J1262" s="8">
        <v>6</v>
      </c>
      <c r="K1262" s="4">
        <f t="shared" si="32"/>
        <v>32040</v>
      </c>
      <c r="L1262" s="4">
        <f t="shared" si="33"/>
        <v>9612</v>
      </c>
      <c r="M1262" s="3">
        <v>0.3</v>
      </c>
    </row>
    <row r="1263" spans="2:13" x14ac:dyDescent="0.3">
      <c r="B1263" t="s">
        <v>65</v>
      </c>
      <c r="C1263" s="1" t="s">
        <v>63</v>
      </c>
      <c r="D1263" s="2">
        <v>44857</v>
      </c>
      <c r="E1263" s="8" t="s">
        <v>6</v>
      </c>
      <c r="F1263" s="8" t="s">
        <v>21</v>
      </c>
      <c r="G1263" s="8" t="s">
        <v>21</v>
      </c>
      <c r="H1263" t="s">
        <v>11</v>
      </c>
      <c r="I1263" s="4">
        <v>300</v>
      </c>
      <c r="J1263" s="8">
        <v>6</v>
      </c>
      <c r="K1263" s="4">
        <f t="shared" si="32"/>
        <v>1800</v>
      </c>
      <c r="L1263" s="4">
        <f t="shared" si="33"/>
        <v>270</v>
      </c>
      <c r="M1263" s="3">
        <v>0.15</v>
      </c>
    </row>
    <row r="1264" spans="2:13" x14ac:dyDescent="0.3">
      <c r="B1264" t="s">
        <v>65</v>
      </c>
      <c r="C1264" s="1" t="s">
        <v>63</v>
      </c>
      <c r="D1264" s="2">
        <v>44857</v>
      </c>
      <c r="E1264" s="8" t="s">
        <v>6</v>
      </c>
      <c r="F1264" s="8" t="s">
        <v>21</v>
      </c>
      <c r="G1264" s="8" t="s">
        <v>21</v>
      </c>
      <c r="H1264" t="s">
        <v>17</v>
      </c>
      <c r="I1264" s="4">
        <v>5130</v>
      </c>
      <c r="J1264" s="8">
        <v>1</v>
      </c>
      <c r="K1264" s="4">
        <f t="shared" si="32"/>
        <v>5130</v>
      </c>
      <c r="L1264" s="4">
        <f t="shared" si="33"/>
        <v>2052</v>
      </c>
      <c r="M1264" s="3">
        <v>0.4</v>
      </c>
    </row>
    <row r="1265" spans="2:13" x14ac:dyDescent="0.3">
      <c r="B1265" t="s">
        <v>62</v>
      </c>
      <c r="C1265" s="1" t="s">
        <v>63</v>
      </c>
      <c r="D1265" s="2">
        <v>44857</v>
      </c>
      <c r="E1265" s="8" t="s">
        <v>6</v>
      </c>
      <c r="F1265" s="8" t="s">
        <v>21</v>
      </c>
      <c r="G1265" s="8" t="s">
        <v>21</v>
      </c>
      <c r="H1265" t="s">
        <v>13</v>
      </c>
      <c r="I1265" s="4">
        <v>3200</v>
      </c>
      <c r="J1265" s="8">
        <v>4</v>
      </c>
      <c r="K1265" s="4">
        <f t="shared" si="32"/>
        <v>12800</v>
      </c>
      <c r="L1265" s="4">
        <f t="shared" si="33"/>
        <v>2560</v>
      </c>
      <c r="M1265" s="3">
        <v>0.2</v>
      </c>
    </row>
    <row r="1266" spans="2:13" x14ac:dyDescent="0.3">
      <c r="B1266" t="s">
        <v>65</v>
      </c>
      <c r="C1266" s="1" t="s">
        <v>63</v>
      </c>
      <c r="D1266" s="2">
        <v>44864</v>
      </c>
      <c r="E1266" s="8" t="s">
        <v>6</v>
      </c>
      <c r="F1266" s="8" t="s">
        <v>21</v>
      </c>
      <c r="G1266" s="8" t="s">
        <v>21</v>
      </c>
      <c r="H1266" t="s">
        <v>17</v>
      </c>
      <c r="I1266" s="4">
        <v>5130</v>
      </c>
      <c r="J1266" s="8">
        <v>4</v>
      </c>
      <c r="K1266" s="4">
        <f t="shared" si="32"/>
        <v>20520</v>
      </c>
      <c r="L1266" s="4">
        <f t="shared" si="33"/>
        <v>8208</v>
      </c>
      <c r="M1266" s="3">
        <v>0.4</v>
      </c>
    </row>
    <row r="1267" spans="2:13" x14ac:dyDescent="0.3">
      <c r="B1267" t="s">
        <v>65</v>
      </c>
      <c r="C1267" s="1" t="s">
        <v>64</v>
      </c>
      <c r="D1267" s="2">
        <v>44864</v>
      </c>
      <c r="E1267" s="8" t="s">
        <v>6</v>
      </c>
      <c r="F1267" s="8" t="s">
        <v>21</v>
      </c>
      <c r="G1267" s="8" t="s">
        <v>21</v>
      </c>
      <c r="H1267" t="s">
        <v>18</v>
      </c>
      <c r="I1267" s="4">
        <v>4600</v>
      </c>
      <c r="J1267" s="8">
        <v>7</v>
      </c>
      <c r="K1267" s="4">
        <f t="shared" si="32"/>
        <v>32200</v>
      </c>
      <c r="L1267" s="4">
        <f t="shared" si="33"/>
        <v>8050</v>
      </c>
      <c r="M1267" s="3">
        <v>0.25</v>
      </c>
    </row>
    <row r="1268" spans="2:13" x14ac:dyDescent="0.3">
      <c r="B1268" t="s">
        <v>65</v>
      </c>
      <c r="C1268" s="1" t="s">
        <v>64</v>
      </c>
      <c r="D1268" s="2">
        <v>44864</v>
      </c>
      <c r="E1268" s="8" t="s">
        <v>6</v>
      </c>
      <c r="F1268" s="8" t="s">
        <v>21</v>
      </c>
      <c r="G1268" s="8" t="s">
        <v>21</v>
      </c>
      <c r="H1268" t="s">
        <v>18</v>
      </c>
      <c r="I1268" s="4">
        <v>4600</v>
      </c>
      <c r="J1268" s="8">
        <v>7</v>
      </c>
      <c r="K1268" s="4">
        <f t="shared" si="32"/>
        <v>32200</v>
      </c>
      <c r="L1268" s="4">
        <f t="shared" si="33"/>
        <v>8050</v>
      </c>
      <c r="M1268" s="3">
        <v>0.25</v>
      </c>
    </row>
    <row r="1269" spans="2:13" x14ac:dyDescent="0.3">
      <c r="B1269" t="s">
        <v>61</v>
      </c>
      <c r="C1269" s="1" t="s">
        <v>64</v>
      </c>
      <c r="D1269" s="2">
        <v>44871</v>
      </c>
      <c r="E1269" s="8" t="s">
        <v>6</v>
      </c>
      <c r="F1269" s="8" t="s">
        <v>21</v>
      </c>
      <c r="G1269" s="8" t="s">
        <v>21</v>
      </c>
      <c r="H1269" t="s">
        <v>11</v>
      </c>
      <c r="I1269" s="4">
        <v>300</v>
      </c>
      <c r="J1269" s="8">
        <v>8</v>
      </c>
      <c r="K1269" s="4">
        <f t="shared" si="32"/>
        <v>2400</v>
      </c>
      <c r="L1269" s="4">
        <f t="shared" si="33"/>
        <v>360</v>
      </c>
      <c r="M1269" s="3">
        <v>0.15</v>
      </c>
    </row>
    <row r="1270" spans="2:13" x14ac:dyDescent="0.3">
      <c r="B1270" t="s">
        <v>66</v>
      </c>
      <c r="C1270" s="1" t="s">
        <v>63</v>
      </c>
      <c r="D1270" s="2">
        <v>44871</v>
      </c>
      <c r="E1270" s="8" t="s">
        <v>6</v>
      </c>
      <c r="F1270" s="8" t="s">
        <v>21</v>
      </c>
      <c r="G1270" s="8" t="s">
        <v>21</v>
      </c>
      <c r="H1270" t="s">
        <v>18</v>
      </c>
      <c r="I1270" s="4">
        <v>4600</v>
      </c>
      <c r="J1270" s="8">
        <v>2</v>
      </c>
      <c r="K1270" s="4">
        <f t="shared" si="32"/>
        <v>9200</v>
      </c>
      <c r="L1270" s="4">
        <f t="shared" si="33"/>
        <v>2300</v>
      </c>
      <c r="M1270" s="3">
        <v>0.25</v>
      </c>
    </row>
    <row r="1271" spans="2:13" x14ac:dyDescent="0.3">
      <c r="B1271" t="s">
        <v>65</v>
      </c>
      <c r="C1271" s="1" t="s">
        <v>63</v>
      </c>
      <c r="D1271" s="2">
        <v>44871</v>
      </c>
      <c r="E1271" s="8" t="s">
        <v>6</v>
      </c>
      <c r="F1271" s="8" t="s">
        <v>21</v>
      </c>
      <c r="G1271" s="8" t="s">
        <v>21</v>
      </c>
      <c r="H1271" t="s">
        <v>9</v>
      </c>
      <c r="I1271" s="4">
        <v>1500</v>
      </c>
      <c r="J1271" s="8">
        <v>9</v>
      </c>
      <c r="K1271" s="4">
        <f t="shared" si="32"/>
        <v>13500</v>
      </c>
      <c r="L1271" s="4">
        <f t="shared" si="33"/>
        <v>5400</v>
      </c>
      <c r="M1271" s="3">
        <v>0.4</v>
      </c>
    </row>
    <row r="1272" spans="2:13" x14ac:dyDescent="0.3">
      <c r="B1272" t="s">
        <v>65</v>
      </c>
      <c r="C1272" s="1" t="s">
        <v>64</v>
      </c>
      <c r="D1272" s="2">
        <v>44878</v>
      </c>
      <c r="E1272" s="8" t="s">
        <v>6</v>
      </c>
      <c r="F1272" s="8" t="s">
        <v>21</v>
      </c>
      <c r="G1272" s="8" t="s">
        <v>21</v>
      </c>
      <c r="H1272" t="s">
        <v>18</v>
      </c>
      <c r="I1272" s="4">
        <v>4600</v>
      </c>
      <c r="J1272" s="8">
        <v>4</v>
      </c>
      <c r="K1272" s="4">
        <f t="shared" si="32"/>
        <v>18400</v>
      </c>
      <c r="L1272" s="4">
        <f t="shared" si="33"/>
        <v>4600</v>
      </c>
      <c r="M1272" s="3">
        <v>0.25</v>
      </c>
    </row>
    <row r="1273" spans="2:13" x14ac:dyDescent="0.3">
      <c r="B1273" t="s">
        <v>66</v>
      </c>
      <c r="C1273" s="1" t="s">
        <v>63</v>
      </c>
      <c r="D1273" s="2">
        <v>44878</v>
      </c>
      <c r="E1273" s="8" t="s">
        <v>6</v>
      </c>
      <c r="F1273" s="8" t="s">
        <v>21</v>
      </c>
      <c r="G1273" s="8" t="s">
        <v>21</v>
      </c>
      <c r="H1273" t="s">
        <v>13</v>
      </c>
      <c r="I1273" s="4">
        <v>3200</v>
      </c>
      <c r="J1273" s="8">
        <v>8</v>
      </c>
      <c r="K1273" s="4">
        <f t="shared" si="32"/>
        <v>25600</v>
      </c>
      <c r="L1273" s="4">
        <f t="shared" si="33"/>
        <v>5120</v>
      </c>
      <c r="M1273" s="3">
        <v>0.2</v>
      </c>
    </row>
    <row r="1274" spans="2:13" x14ac:dyDescent="0.3">
      <c r="B1274" t="s">
        <v>65</v>
      </c>
      <c r="C1274" s="1" t="s">
        <v>63</v>
      </c>
      <c r="D1274" s="2">
        <v>44878</v>
      </c>
      <c r="E1274" s="8" t="s">
        <v>6</v>
      </c>
      <c r="F1274" s="8" t="s">
        <v>21</v>
      </c>
      <c r="G1274" s="8" t="s">
        <v>21</v>
      </c>
      <c r="H1274" t="s">
        <v>20</v>
      </c>
      <c r="I1274" s="4">
        <v>8902</v>
      </c>
      <c r="J1274" s="8">
        <v>4</v>
      </c>
      <c r="K1274" s="4">
        <f t="shared" si="32"/>
        <v>35608</v>
      </c>
      <c r="L1274" s="4">
        <f t="shared" si="33"/>
        <v>12462.8</v>
      </c>
      <c r="M1274" s="3">
        <v>0.35</v>
      </c>
    </row>
    <row r="1275" spans="2:13" x14ac:dyDescent="0.3">
      <c r="B1275" t="s">
        <v>60</v>
      </c>
      <c r="C1275" s="1" t="s">
        <v>64</v>
      </c>
      <c r="D1275" s="2">
        <v>44885</v>
      </c>
      <c r="E1275" s="8" t="s">
        <v>6</v>
      </c>
      <c r="F1275" s="8" t="s">
        <v>21</v>
      </c>
      <c r="G1275" s="8" t="s">
        <v>21</v>
      </c>
      <c r="H1275" t="s">
        <v>11</v>
      </c>
      <c r="I1275" s="4">
        <v>300</v>
      </c>
      <c r="J1275" s="8">
        <v>7</v>
      </c>
      <c r="K1275" s="4">
        <f t="shared" si="32"/>
        <v>2100</v>
      </c>
      <c r="L1275" s="4">
        <f t="shared" si="33"/>
        <v>315</v>
      </c>
      <c r="M1275" s="3">
        <v>0.15</v>
      </c>
    </row>
    <row r="1276" spans="2:13" x14ac:dyDescent="0.3">
      <c r="B1276" t="s">
        <v>65</v>
      </c>
      <c r="C1276" s="1" t="s">
        <v>63</v>
      </c>
      <c r="D1276" s="2">
        <v>44885</v>
      </c>
      <c r="E1276" s="8" t="s">
        <v>6</v>
      </c>
      <c r="F1276" s="8" t="s">
        <v>21</v>
      </c>
      <c r="G1276" s="8" t="s">
        <v>21</v>
      </c>
      <c r="H1276" t="s">
        <v>9</v>
      </c>
      <c r="I1276" s="4">
        <v>1500</v>
      </c>
      <c r="J1276" s="8">
        <v>6</v>
      </c>
      <c r="K1276" s="4">
        <f t="shared" si="32"/>
        <v>9000</v>
      </c>
      <c r="L1276" s="4">
        <f t="shared" si="33"/>
        <v>3600</v>
      </c>
      <c r="M1276" s="3">
        <v>0.4</v>
      </c>
    </row>
    <row r="1277" spans="2:13" x14ac:dyDescent="0.3">
      <c r="B1277" t="s">
        <v>62</v>
      </c>
      <c r="C1277" s="1" t="s">
        <v>63</v>
      </c>
      <c r="D1277" s="2">
        <v>44885</v>
      </c>
      <c r="E1277" s="8" t="s">
        <v>6</v>
      </c>
      <c r="F1277" s="8" t="s">
        <v>21</v>
      </c>
      <c r="G1277" s="8" t="s">
        <v>21</v>
      </c>
      <c r="H1277" t="s">
        <v>14</v>
      </c>
      <c r="I1277" s="4">
        <v>4500</v>
      </c>
      <c r="J1277" s="8">
        <v>4</v>
      </c>
      <c r="K1277" s="4">
        <f t="shared" si="32"/>
        <v>18000</v>
      </c>
      <c r="L1277" s="4">
        <f t="shared" si="33"/>
        <v>4500</v>
      </c>
      <c r="M1277" s="3">
        <v>0.25</v>
      </c>
    </row>
    <row r="1278" spans="2:13" x14ac:dyDescent="0.3">
      <c r="B1278" t="s">
        <v>62</v>
      </c>
      <c r="C1278" s="1" t="s">
        <v>63</v>
      </c>
      <c r="D1278" s="2">
        <v>44892</v>
      </c>
      <c r="E1278" s="8" t="s">
        <v>6</v>
      </c>
      <c r="F1278" s="8" t="s">
        <v>21</v>
      </c>
      <c r="G1278" s="8" t="s">
        <v>21</v>
      </c>
      <c r="H1278" t="s">
        <v>12</v>
      </c>
      <c r="I1278" s="4">
        <v>500</v>
      </c>
      <c r="J1278" s="8">
        <v>7</v>
      </c>
      <c r="K1278" s="4">
        <f t="shared" si="32"/>
        <v>3500</v>
      </c>
      <c r="L1278" s="4">
        <f t="shared" si="33"/>
        <v>875</v>
      </c>
      <c r="M1278" s="3">
        <v>0.25</v>
      </c>
    </row>
    <row r="1279" spans="2:13" x14ac:dyDescent="0.3">
      <c r="B1279" t="s">
        <v>61</v>
      </c>
      <c r="C1279" s="1" t="s">
        <v>63</v>
      </c>
      <c r="D1279" s="2">
        <v>44892</v>
      </c>
      <c r="E1279" s="8" t="s">
        <v>6</v>
      </c>
      <c r="F1279" s="8" t="s">
        <v>21</v>
      </c>
      <c r="G1279" s="8" t="s">
        <v>21</v>
      </c>
      <c r="H1279" t="s">
        <v>9</v>
      </c>
      <c r="I1279" s="4">
        <v>1500</v>
      </c>
      <c r="J1279" s="8">
        <v>11</v>
      </c>
      <c r="K1279" s="4">
        <f t="shared" si="32"/>
        <v>16500</v>
      </c>
      <c r="L1279" s="4">
        <f t="shared" si="33"/>
        <v>6600</v>
      </c>
      <c r="M1279" s="3">
        <v>0.4</v>
      </c>
    </row>
    <row r="1280" spans="2:13" x14ac:dyDescent="0.3">
      <c r="B1280" t="s">
        <v>66</v>
      </c>
      <c r="C1280" s="1" t="s">
        <v>63</v>
      </c>
      <c r="D1280" s="2">
        <v>44892</v>
      </c>
      <c r="E1280" s="8" t="s">
        <v>6</v>
      </c>
      <c r="F1280" s="8" t="s">
        <v>21</v>
      </c>
      <c r="G1280" s="8" t="s">
        <v>21</v>
      </c>
      <c r="H1280" t="s">
        <v>15</v>
      </c>
      <c r="I1280" s="4">
        <v>5300</v>
      </c>
      <c r="J1280" s="8">
        <v>4</v>
      </c>
      <c r="K1280" s="4">
        <f t="shared" si="32"/>
        <v>21200</v>
      </c>
      <c r="L1280" s="4">
        <f t="shared" si="33"/>
        <v>6360</v>
      </c>
      <c r="M1280" s="3">
        <v>0.3</v>
      </c>
    </row>
    <row r="1281" spans="2:13" x14ac:dyDescent="0.3">
      <c r="B1281" t="s">
        <v>65</v>
      </c>
      <c r="C1281" s="1" t="s">
        <v>63</v>
      </c>
      <c r="D1281" s="2">
        <v>44899</v>
      </c>
      <c r="E1281" s="8" t="s">
        <v>6</v>
      </c>
      <c r="F1281" s="8" t="s">
        <v>21</v>
      </c>
      <c r="G1281" s="8" t="s">
        <v>21</v>
      </c>
      <c r="H1281" t="s">
        <v>11</v>
      </c>
      <c r="I1281" s="4">
        <v>300</v>
      </c>
      <c r="J1281" s="8">
        <v>5</v>
      </c>
      <c r="K1281" s="4">
        <f t="shared" si="32"/>
        <v>1500</v>
      </c>
      <c r="L1281" s="4">
        <f t="shared" si="33"/>
        <v>225</v>
      </c>
      <c r="M1281" s="3">
        <v>0.15</v>
      </c>
    </row>
    <row r="1282" spans="2:13" x14ac:dyDescent="0.3">
      <c r="B1282" t="s">
        <v>65</v>
      </c>
      <c r="C1282" s="1" t="s">
        <v>63</v>
      </c>
      <c r="D1282" s="2">
        <v>44899</v>
      </c>
      <c r="E1282" s="8" t="s">
        <v>6</v>
      </c>
      <c r="F1282" s="8" t="s">
        <v>21</v>
      </c>
      <c r="G1282" s="8" t="s">
        <v>21</v>
      </c>
      <c r="H1282" t="s">
        <v>16</v>
      </c>
      <c r="I1282" s="4">
        <v>3400</v>
      </c>
      <c r="J1282" s="8">
        <v>6</v>
      </c>
      <c r="K1282" s="4">
        <f t="shared" si="32"/>
        <v>20400</v>
      </c>
      <c r="L1282" s="4">
        <f t="shared" si="33"/>
        <v>7140</v>
      </c>
      <c r="M1282" s="3">
        <v>0.35</v>
      </c>
    </row>
    <row r="1283" spans="2:13" x14ac:dyDescent="0.3">
      <c r="B1283" t="s">
        <v>60</v>
      </c>
      <c r="C1283" s="1" t="s">
        <v>64</v>
      </c>
      <c r="D1283" s="2">
        <v>44899</v>
      </c>
      <c r="E1283" s="8" t="s">
        <v>6</v>
      </c>
      <c r="F1283" s="8" t="s">
        <v>21</v>
      </c>
      <c r="G1283" s="8" t="s">
        <v>21</v>
      </c>
      <c r="H1283" t="s">
        <v>14</v>
      </c>
      <c r="I1283" s="4">
        <v>4500</v>
      </c>
      <c r="J1283" s="8">
        <v>10</v>
      </c>
      <c r="K1283" s="4">
        <f t="shared" si="32"/>
        <v>45000</v>
      </c>
      <c r="L1283" s="4">
        <f t="shared" si="33"/>
        <v>11250</v>
      </c>
      <c r="M1283" s="3">
        <v>0.25</v>
      </c>
    </row>
    <row r="1284" spans="2:13" x14ac:dyDescent="0.3">
      <c r="B1284" t="s">
        <v>66</v>
      </c>
      <c r="C1284" s="1" t="s">
        <v>63</v>
      </c>
      <c r="D1284" s="2">
        <v>44906</v>
      </c>
      <c r="E1284" s="8" t="s">
        <v>6</v>
      </c>
      <c r="F1284" s="8" t="s">
        <v>21</v>
      </c>
      <c r="G1284" s="8" t="s">
        <v>21</v>
      </c>
      <c r="H1284" t="s">
        <v>9</v>
      </c>
      <c r="I1284" s="4">
        <v>1500</v>
      </c>
      <c r="J1284" s="8">
        <v>3</v>
      </c>
      <c r="K1284" s="4">
        <f t="shared" si="32"/>
        <v>4500</v>
      </c>
      <c r="L1284" s="4">
        <f t="shared" si="33"/>
        <v>1800</v>
      </c>
      <c r="M1284" s="3">
        <v>0.4</v>
      </c>
    </row>
    <row r="1285" spans="2:13" x14ac:dyDescent="0.3">
      <c r="B1285" t="s">
        <v>65</v>
      </c>
      <c r="C1285" s="1" t="s">
        <v>64</v>
      </c>
      <c r="D1285" s="2">
        <v>44906</v>
      </c>
      <c r="E1285" s="8" t="s">
        <v>6</v>
      </c>
      <c r="F1285" s="8" t="s">
        <v>21</v>
      </c>
      <c r="G1285" s="8" t="s">
        <v>21</v>
      </c>
      <c r="H1285" t="s">
        <v>18</v>
      </c>
      <c r="I1285" s="4">
        <v>4600</v>
      </c>
      <c r="J1285" s="8">
        <v>1</v>
      </c>
      <c r="K1285" s="4">
        <f t="shared" si="32"/>
        <v>4600</v>
      </c>
      <c r="L1285" s="4">
        <f t="shared" si="33"/>
        <v>1150</v>
      </c>
      <c r="M1285" s="3">
        <v>0.25</v>
      </c>
    </row>
    <row r="1286" spans="2:13" x14ac:dyDescent="0.3">
      <c r="B1286" t="s">
        <v>65</v>
      </c>
      <c r="C1286" s="1" t="s">
        <v>64</v>
      </c>
      <c r="D1286" s="2">
        <v>44906</v>
      </c>
      <c r="E1286" s="8" t="s">
        <v>6</v>
      </c>
      <c r="F1286" s="8" t="s">
        <v>21</v>
      </c>
      <c r="G1286" s="8" t="s">
        <v>21</v>
      </c>
      <c r="H1286" t="s">
        <v>16</v>
      </c>
      <c r="I1286" s="4">
        <v>3400</v>
      </c>
      <c r="J1286" s="8">
        <v>11</v>
      </c>
      <c r="K1286" s="4">
        <f t="shared" si="32"/>
        <v>37400</v>
      </c>
      <c r="L1286" s="4">
        <f t="shared" si="33"/>
        <v>13090</v>
      </c>
      <c r="M1286" s="3">
        <v>0.35</v>
      </c>
    </row>
    <row r="1287" spans="2:13" x14ac:dyDescent="0.3">
      <c r="B1287" t="s">
        <v>62</v>
      </c>
      <c r="C1287" s="1" t="s">
        <v>63</v>
      </c>
      <c r="D1287" s="2">
        <v>44913</v>
      </c>
      <c r="E1287" s="8" t="s">
        <v>6</v>
      </c>
      <c r="F1287" s="8" t="s">
        <v>21</v>
      </c>
      <c r="G1287" s="8" t="s">
        <v>21</v>
      </c>
      <c r="H1287" t="s">
        <v>19</v>
      </c>
      <c r="I1287" s="4">
        <v>5340</v>
      </c>
      <c r="J1287" s="8">
        <v>5</v>
      </c>
      <c r="K1287" s="4">
        <f t="shared" si="32"/>
        <v>26700</v>
      </c>
      <c r="L1287" s="4">
        <f t="shared" si="33"/>
        <v>8010</v>
      </c>
      <c r="M1287" s="3">
        <v>0.3</v>
      </c>
    </row>
    <row r="1288" spans="2:13" x14ac:dyDescent="0.3">
      <c r="B1288" t="s">
        <v>60</v>
      </c>
      <c r="C1288" s="1" t="s">
        <v>64</v>
      </c>
      <c r="D1288" s="2">
        <v>44913</v>
      </c>
      <c r="E1288" s="8" t="s">
        <v>6</v>
      </c>
      <c r="F1288" s="8" t="s">
        <v>21</v>
      </c>
      <c r="G1288" s="8" t="s">
        <v>21</v>
      </c>
      <c r="H1288" t="s">
        <v>14</v>
      </c>
      <c r="I1288" s="4">
        <v>4500</v>
      </c>
      <c r="J1288" s="8">
        <v>12</v>
      </c>
      <c r="K1288" s="4">
        <f t="shared" si="32"/>
        <v>54000</v>
      </c>
      <c r="L1288" s="4">
        <f t="shared" si="33"/>
        <v>13500</v>
      </c>
      <c r="M1288" s="3">
        <v>0.25</v>
      </c>
    </row>
    <row r="1289" spans="2:13" x14ac:dyDescent="0.3">
      <c r="B1289" t="s">
        <v>65</v>
      </c>
      <c r="C1289" s="1" t="s">
        <v>63</v>
      </c>
      <c r="D1289" s="2">
        <v>44913</v>
      </c>
      <c r="E1289" s="8" t="s">
        <v>6</v>
      </c>
      <c r="F1289" s="8" t="s">
        <v>21</v>
      </c>
      <c r="G1289" s="8" t="s">
        <v>21</v>
      </c>
      <c r="H1289" t="s">
        <v>15</v>
      </c>
      <c r="I1289" s="4">
        <v>5300</v>
      </c>
      <c r="J1289" s="8">
        <v>12</v>
      </c>
      <c r="K1289" s="4">
        <f t="shared" si="32"/>
        <v>63600</v>
      </c>
      <c r="L1289" s="4">
        <f t="shared" si="33"/>
        <v>19080</v>
      </c>
      <c r="M1289" s="3">
        <v>0.3</v>
      </c>
    </row>
    <row r="1290" spans="2:13" x14ac:dyDescent="0.3">
      <c r="B1290" t="s">
        <v>65</v>
      </c>
      <c r="C1290" s="1" t="s">
        <v>63</v>
      </c>
      <c r="D1290" s="2">
        <v>44920</v>
      </c>
      <c r="E1290" s="8" t="s">
        <v>6</v>
      </c>
      <c r="F1290" s="8" t="s">
        <v>76</v>
      </c>
      <c r="G1290" s="8" t="s">
        <v>77</v>
      </c>
      <c r="H1290" t="s">
        <v>9</v>
      </c>
      <c r="I1290" s="4">
        <v>1500</v>
      </c>
      <c r="J1290" s="8">
        <v>1</v>
      </c>
      <c r="K1290" s="4">
        <f t="shared" si="32"/>
        <v>1500</v>
      </c>
      <c r="L1290" s="4">
        <f t="shared" si="33"/>
        <v>600</v>
      </c>
      <c r="M1290" s="3">
        <v>0.4</v>
      </c>
    </row>
    <row r="1291" spans="2:13" x14ac:dyDescent="0.3">
      <c r="B1291" t="s">
        <v>60</v>
      </c>
      <c r="C1291" s="1" t="s">
        <v>64</v>
      </c>
      <c r="D1291" s="2">
        <v>44920</v>
      </c>
      <c r="E1291" s="8" t="s">
        <v>6</v>
      </c>
      <c r="F1291" s="8" t="s">
        <v>21</v>
      </c>
      <c r="G1291" s="8" t="s">
        <v>21</v>
      </c>
      <c r="H1291" t="s">
        <v>10</v>
      </c>
      <c r="I1291" s="4">
        <v>1700</v>
      </c>
      <c r="J1291" s="8">
        <v>4</v>
      </c>
      <c r="K1291" s="4">
        <f t="shared" si="32"/>
        <v>6800</v>
      </c>
      <c r="L1291" s="4">
        <f t="shared" si="33"/>
        <v>3400</v>
      </c>
      <c r="M1291" s="3">
        <v>0.5</v>
      </c>
    </row>
    <row r="1292" spans="2:13" x14ac:dyDescent="0.3">
      <c r="B1292" t="s">
        <v>60</v>
      </c>
      <c r="C1292" s="1" t="s">
        <v>63</v>
      </c>
      <c r="D1292" s="2">
        <v>44920</v>
      </c>
      <c r="E1292" s="8" t="s">
        <v>6</v>
      </c>
      <c r="F1292" s="8" t="s">
        <v>21</v>
      </c>
      <c r="G1292" s="8" t="s">
        <v>21</v>
      </c>
      <c r="H1292" t="s">
        <v>19</v>
      </c>
      <c r="I1292" s="4">
        <v>5340</v>
      </c>
      <c r="J1292" s="8">
        <v>12</v>
      </c>
      <c r="K1292" s="4">
        <f t="shared" si="32"/>
        <v>64080</v>
      </c>
      <c r="L1292" s="4">
        <f t="shared" si="33"/>
        <v>19224</v>
      </c>
      <c r="M1292" s="3">
        <v>0.3</v>
      </c>
    </row>
    <row r="1293" spans="2:13" x14ac:dyDescent="0.3">
      <c r="B1293" t="s">
        <v>66</v>
      </c>
      <c r="C1293" s="1" t="s">
        <v>64</v>
      </c>
      <c r="D1293" s="2">
        <v>44927</v>
      </c>
      <c r="E1293" s="8" t="s">
        <v>6</v>
      </c>
      <c r="F1293" s="8" t="s">
        <v>21</v>
      </c>
      <c r="G1293" s="8" t="s">
        <v>21</v>
      </c>
      <c r="H1293" t="s">
        <v>17</v>
      </c>
      <c r="I1293" s="4">
        <v>5130</v>
      </c>
      <c r="J1293" s="8">
        <v>9</v>
      </c>
      <c r="K1293" s="4">
        <f t="shared" si="32"/>
        <v>46170</v>
      </c>
      <c r="L1293" s="4">
        <f t="shared" si="33"/>
        <v>18468</v>
      </c>
      <c r="M1293" s="3">
        <v>0.4</v>
      </c>
    </row>
    <row r="1294" spans="2:13" x14ac:dyDescent="0.3">
      <c r="B1294" t="s">
        <v>66</v>
      </c>
      <c r="C1294" s="1" t="s">
        <v>63</v>
      </c>
      <c r="D1294" s="2">
        <v>44927</v>
      </c>
      <c r="E1294" s="8" t="s">
        <v>6</v>
      </c>
      <c r="F1294" s="8" t="s">
        <v>21</v>
      </c>
      <c r="G1294" s="8" t="s">
        <v>21</v>
      </c>
      <c r="H1294" t="s">
        <v>19</v>
      </c>
      <c r="I1294" s="4">
        <v>5340</v>
      </c>
      <c r="J1294" s="8">
        <v>9</v>
      </c>
      <c r="K1294" s="4">
        <f t="shared" si="32"/>
        <v>48060</v>
      </c>
      <c r="L1294" s="4">
        <f t="shared" si="33"/>
        <v>14418</v>
      </c>
      <c r="M1294" s="3">
        <v>0.3</v>
      </c>
    </row>
    <row r="1295" spans="2:13" x14ac:dyDescent="0.3">
      <c r="B1295" t="s">
        <v>61</v>
      </c>
      <c r="C1295" s="1" t="s">
        <v>63</v>
      </c>
      <c r="D1295" s="2">
        <v>44927</v>
      </c>
      <c r="E1295" s="8" t="s">
        <v>6</v>
      </c>
      <c r="F1295" s="8" t="s">
        <v>21</v>
      </c>
      <c r="G1295" s="8" t="s">
        <v>21</v>
      </c>
      <c r="H1295" t="s">
        <v>17</v>
      </c>
      <c r="I1295" s="4">
        <v>5130</v>
      </c>
      <c r="J1295" s="8">
        <v>11</v>
      </c>
      <c r="K1295" s="4">
        <f t="shared" si="32"/>
        <v>56430</v>
      </c>
      <c r="L1295" s="4">
        <f t="shared" si="33"/>
        <v>22572</v>
      </c>
      <c r="M1295" s="3">
        <v>0.4</v>
      </c>
    </row>
    <row r="1296" spans="2:13" x14ac:dyDescent="0.3">
      <c r="B1296" t="s">
        <v>65</v>
      </c>
      <c r="C1296" s="1" t="s">
        <v>64</v>
      </c>
      <c r="D1296" s="2">
        <v>44934</v>
      </c>
      <c r="E1296" s="8" t="s">
        <v>6</v>
      </c>
      <c r="F1296" s="8" t="s">
        <v>21</v>
      </c>
      <c r="G1296" s="8" t="s">
        <v>21</v>
      </c>
      <c r="H1296" t="s">
        <v>16</v>
      </c>
      <c r="I1296" s="4">
        <v>3400</v>
      </c>
      <c r="J1296" s="8">
        <v>7</v>
      </c>
      <c r="K1296" s="4">
        <f t="shared" si="32"/>
        <v>23800</v>
      </c>
      <c r="L1296" s="4">
        <f t="shared" si="33"/>
        <v>8330</v>
      </c>
      <c r="M1296" s="3">
        <v>0.35</v>
      </c>
    </row>
    <row r="1297" spans="2:13" x14ac:dyDescent="0.3">
      <c r="B1297" t="s">
        <v>62</v>
      </c>
      <c r="C1297" s="1" t="s">
        <v>63</v>
      </c>
      <c r="D1297" s="2">
        <v>44934</v>
      </c>
      <c r="E1297" s="8" t="s">
        <v>6</v>
      </c>
      <c r="F1297" s="8" t="s">
        <v>21</v>
      </c>
      <c r="G1297" s="8" t="s">
        <v>21</v>
      </c>
      <c r="H1297" t="s">
        <v>15</v>
      </c>
      <c r="I1297" s="4">
        <v>5300</v>
      </c>
      <c r="J1297" s="8">
        <v>7</v>
      </c>
      <c r="K1297" s="4">
        <f t="shared" si="32"/>
        <v>37100</v>
      </c>
      <c r="L1297" s="4">
        <f t="shared" si="33"/>
        <v>11130</v>
      </c>
      <c r="M1297" s="3">
        <v>0.3</v>
      </c>
    </row>
    <row r="1298" spans="2:13" x14ac:dyDescent="0.3">
      <c r="B1298" t="s">
        <v>60</v>
      </c>
      <c r="C1298" s="1" t="s">
        <v>64</v>
      </c>
      <c r="D1298" s="2">
        <v>44934</v>
      </c>
      <c r="E1298" s="8" t="s">
        <v>6</v>
      </c>
      <c r="F1298" s="8" t="s">
        <v>21</v>
      </c>
      <c r="G1298" s="8" t="s">
        <v>21</v>
      </c>
      <c r="H1298" t="s">
        <v>14</v>
      </c>
      <c r="I1298" s="4">
        <v>4500</v>
      </c>
      <c r="J1298" s="8">
        <v>11</v>
      </c>
      <c r="K1298" s="4">
        <f t="shared" si="32"/>
        <v>49500</v>
      </c>
      <c r="L1298" s="4">
        <f t="shared" si="33"/>
        <v>12375</v>
      </c>
      <c r="M1298" s="3">
        <v>0.25</v>
      </c>
    </row>
    <row r="1299" spans="2:13" x14ac:dyDescent="0.3">
      <c r="B1299" t="s">
        <v>65</v>
      </c>
      <c r="C1299" s="1" t="s">
        <v>63</v>
      </c>
      <c r="D1299" s="2">
        <v>44941</v>
      </c>
      <c r="E1299" s="8" t="s">
        <v>6</v>
      </c>
      <c r="F1299" s="8" t="s">
        <v>21</v>
      </c>
      <c r="G1299" s="8" t="s">
        <v>21</v>
      </c>
      <c r="H1299" t="s">
        <v>9</v>
      </c>
      <c r="I1299" s="4">
        <v>1500</v>
      </c>
      <c r="J1299" s="8">
        <v>6</v>
      </c>
      <c r="K1299" s="4">
        <f t="shared" si="32"/>
        <v>9000</v>
      </c>
      <c r="L1299" s="4">
        <f t="shared" si="33"/>
        <v>3600</v>
      </c>
      <c r="M1299" s="3">
        <v>0.4</v>
      </c>
    </row>
    <row r="1300" spans="2:13" x14ac:dyDescent="0.3">
      <c r="B1300" t="s">
        <v>60</v>
      </c>
      <c r="C1300" s="1" t="s">
        <v>63</v>
      </c>
      <c r="D1300" s="2">
        <v>44941</v>
      </c>
      <c r="E1300" s="8" t="s">
        <v>6</v>
      </c>
      <c r="F1300" s="8" t="s">
        <v>21</v>
      </c>
      <c r="G1300" s="8" t="s">
        <v>21</v>
      </c>
      <c r="H1300" t="s">
        <v>16</v>
      </c>
      <c r="I1300" s="4">
        <v>3400</v>
      </c>
      <c r="J1300" s="8">
        <v>10</v>
      </c>
      <c r="K1300" s="4">
        <f t="shared" si="32"/>
        <v>34000</v>
      </c>
      <c r="L1300" s="4">
        <f t="shared" si="33"/>
        <v>11900</v>
      </c>
      <c r="M1300" s="3">
        <v>0.35</v>
      </c>
    </row>
    <row r="1301" spans="2:13" x14ac:dyDescent="0.3">
      <c r="B1301" t="s">
        <v>60</v>
      </c>
      <c r="C1301" s="1" t="s">
        <v>63</v>
      </c>
      <c r="D1301" s="2">
        <v>44941</v>
      </c>
      <c r="E1301" s="8" t="s">
        <v>6</v>
      </c>
      <c r="F1301" s="8" t="s">
        <v>21</v>
      </c>
      <c r="G1301" s="8" t="s">
        <v>21</v>
      </c>
      <c r="H1301" t="s">
        <v>15</v>
      </c>
      <c r="I1301" s="4">
        <v>5300</v>
      </c>
      <c r="J1301" s="8">
        <v>7</v>
      </c>
      <c r="K1301" s="4">
        <f t="shared" si="32"/>
        <v>37100</v>
      </c>
      <c r="L1301" s="4">
        <f t="shared" si="33"/>
        <v>11130</v>
      </c>
      <c r="M1301" s="3">
        <v>0.3</v>
      </c>
    </row>
    <row r="1302" spans="2:13" x14ac:dyDescent="0.3">
      <c r="B1302" t="s">
        <v>60</v>
      </c>
      <c r="C1302" s="1" t="s">
        <v>63</v>
      </c>
      <c r="D1302" s="2">
        <v>44948</v>
      </c>
      <c r="E1302" s="8" t="s">
        <v>6</v>
      </c>
      <c r="F1302" s="8" t="s">
        <v>21</v>
      </c>
      <c r="G1302" s="8" t="s">
        <v>21</v>
      </c>
      <c r="H1302" t="s">
        <v>10</v>
      </c>
      <c r="I1302" s="4">
        <v>1700</v>
      </c>
      <c r="J1302" s="8">
        <v>4</v>
      </c>
      <c r="K1302" s="4">
        <f t="shared" si="32"/>
        <v>6800</v>
      </c>
      <c r="L1302" s="4">
        <f t="shared" si="33"/>
        <v>3400</v>
      </c>
      <c r="M1302" s="3">
        <v>0.5</v>
      </c>
    </row>
    <row r="1303" spans="2:13" x14ac:dyDescent="0.3">
      <c r="B1303" t="s">
        <v>66</v>
      </c>
      <c r="C1303" s="1" t="s">
        <v>63</v>
      </c>
      <c r="D1303" s="2">
        <v>44948</v>
      </c>
      <c r="E1303" s="8" t="s">
        <v>6</v>
      </c>
      <c r="F1303" s="8" t="s">
        <v>21</v>
      </c>
      <c r="G1303" s="8" t="s">
        <v>21</v>
      </c>
      <c r="H1303" t="s">
        <v>18</v>
      </c>
      <c r="I1303" s="4">
        <v>4600</v>
      </c>
      <c r="J1303" s="8">
        <v>2</v>
      </c>
      <c r="K1303" s="4">
        <f t="shared" si="32"/>
        <v>9200</v>
      </c>
      <c r="L1303" s="4">
        <f t="shared" si="33"/>
        <v>2300</v>
      </c>
      <c r="M1303" s="3">
        <v>0.25</v>
      </c>
    </row>
    <row r="1304" spans="2:13" x14ac:dyDescent="0.3">
      <c r="B1304" t="s">
        <v>62</v>
      </c>
      <c r="C1304" s="1" t="s">
        <v>63</v>
      </c>
      <c r="D1304" s="2">
        <v>44948</v>
      </c>
      <c r="E1304" s="8" t="s">
        <v>6</v>
      </c>
      <c r="F1304" s="8" t="s">
        <v>21</v>
      </c>
      <c r="G1304" s="8" t="s">
        <v>21</v>
      </c>
      <c r="H1304" t="s">
        <v>9</v>
      </c>
      <c r="I1304" s="4">
        <v>1500</v>
      </c>
      <c r="J1304" s="8">
        <v>7</v>
      </c>
      <c r="K1304" s="4">
        <f t="shared" si="32"/>
        <v>10500</v>
      </c>
      <c r="L1304" s="4">
        <f t="shared" si="33"/>
        <v>4200</v>
      </c>
      <c r="M1304" s="3">
        <v>0.4</v>
      </c>
    </row>
    <row r="1305" spans="2:13" x14ac:dyDescent="0.3">
      <c r="B1305" t="s">
        <v>60</v>
      </c>
      <c r="C1305" s="1" t="s">
        <v>63</v>
      </c>
      <c r="D1305" s="2">
        <v>44955</v>
      </c>
      <c r="E1305" s="8" t="s">
        <v>6</v>
      </c>
      <c r="F1305" s="8" t="s">
        <v>21</v>
      </c>
      <c r="G1305" s="8" t="s">
        <v>21</v>
      </c>
      <c r="H1305" t="s">
        <v>10</v>
      </c>
      <c r="I1305" s="4">
        <v>1700</v>
      </c>
      <c r="J1305" s="8">
        <v>1</v>
      </c>
      <c r="K1305" s="4">
        <f t="shared" si="32"/>
        <v>1700</v>
      </c>
      <c r="L1305" s="4">
        <f t="shared" si="33"/>
        <v>850</v>
      </c>
      <c r="M1305" s="3">
        <v>0.5</v>
      </c>
    </row>
    <row r="1306" spans="2:13" x14ac:dyDescent="0.3">
      <c r="B1306" t="s">
        <v>66</v>
      </c>
      <c r="C1306" s="1" t="s">
        <v>63</v>
      </c>
      <c r="D1306" s="2">
        <v>44955</v>
      </c>
      <c r="E1306" s="8" t="s">
        <v>6</v>
      </c>
      <c r="F1306" s="8" t="s">
        <v>21</v>
      </c>
      <c r="G1306" s="8" t="s">
        <v>21</v>
      </c>
      <c r="H1306" t="s">
        <v>15</v>
      </c>
      <c r="I1306" s="4">
        <v>5300</v>
      </c>
      <c r="J1306" s="8">
        <v>1</v>
      </c>
      <c r="K1306" s="4">
        <f t="shared" ref="K1306:K1369" si="34">I1306*J1306</f>
        <v>5300</v>
      </c>
      <c r="L1306" s="4">
        <f t="shared" ref="L1306:L1369" si="35">K1306*M1306</f>
        <v>1590</v>
      </c>
      <c r="M1306" s="3">
        <v>0.3</v>
      </c>
    </row>
    <row r="1307" spans="2:13" x14ac:dyDescent="0.3">
      <c r="B1307" t="s">
        <v>65</v>
      </c>
      <c r="C1307" s="1" t="s">
        <v>63</v>
      </c>
      <c r="D1307" s="2">
        <v>44955</v>
      </c>
      <c r="E1307" s="8" t="s">
        <v>6</v>
      </c>
      <c r="F1307" s="8" t="s">
        <v>21</v>
      </c>
      <c r="G1307" s="8" t="s">
        <v>21</v>
      </c>
      <c r="H1307" t="s">
        <v>12</v>
      </c>
      <c r="I1307" s="4">
        <v>500</v>
      </c>
      <c r="J1307" s="8">
        <v>11</v>
      </c>
      <c r="K1307" s="4">
        <f t="shared" si="34"/>
        <v>5500</v>
      </c>
      <c r="L1307" s="4">
        <f t="shared" si="35"/>
        <v>1375</v>
      </c>
      <c r="M1307" s="3">
        <v>0.25</v>
      </c>
    </row>
    <row r="1308" spans="2:13" x14ac:dyDescent="0.3">
      <c r="B1308" t="s">
        <v>65</v>
      </c>
      <c r="C1308" s="1" t="s">
        <v>64</v>
      </c>
      <c r="D1308" s="2">
        <v>44962</v>
      </c>
      <c r="E1308" s="8" t="s">
        <v>6</v>
      </c>
      <c r="F1308" s="8" t="s">
        <v>21</v>
      </c>
      <c r="G1308" s="8" t="s">
        <v>21</v>
      </c>
      <c r="H1308" t="s">
        <v>13</v>
      </c>
      <c r="I1308" s="4">
        <v>3200</v>
      </c>
      <c r="J1308" s="8">
        <v>3</v>
      </c>
      <c r="K1308" s="4">
        <f t="shared" si="34"/>
        <v>9600</v>
      </c>
      <c r="L1308" s="4">
        <f t="shared" si="35"/>
        <v>1920</v>
      </c>
      <c r="M1308" s="3">
        <v>0.2</v>
      </c>
    </row>
    <row r="1309" spans="2:13" x14ac:dyDescent="0.3">
      <c r="B1309" t="s">
        <v>60</v>
      </c>
      <c r="C1309" s="1" t="s">
        <v>63</v>
      </c>
      <c r="D1309" s="2">
        <v>44962</v>
      </c>
      <c r="E1309" s="8" t="s">
        <v>6</v>
      </c>
      <c r="F1309" s="8" t="s">
        <v>21</v>
      </c>
      <c r="G1309" s="8" t="s">
        <v>21</v>
      </c>
      <c r="H1309" t="s">
        <v>14</v>
      </c>
      <c r="I1309" s="4">
        <v>4500</v>
      </c>
      <c r="J1309" s="8">
        <v>4</v>
      </c>
      <c r="K1309" s="4">
        <f t="shared" si="34"/>
        <v>18000</v>
      </c>
      <c r="L1309" s="4">
        <f t="shared" si="35"/>
        <v>4500</v>
      </c>
      <c r="M1309" s="3">
        <v>0.25</v>
      </c>
    </row>
    <row r="1310" spans="2:13" x14ac:dyDescent="0.3">
      <c r="B1310" t="s">
        <v>60</v>
      </c>
      <c r="C1310" s="1" t="s">
        <v>63</v>
      </c>
      <c r="D1310" s="2">
        <v>44962</v>
      </c>
      <c r="E1310" s="8" t="s">
        <v>6</v>
      </c>
      <c r="F1310" s="8" t="s">
        <v>21</v>
      </c>
      <c r="G1310" s="8" t="s">
        <v>21</v>
      </c>
      <c r="H1310" t="s">
        <v>20</v>
      </c>
      <c r="I1310" s="4">
        <v>8902</v>
      </c>
      <c r="J1310" s="8">
        <v>7</v>
      </c>
      <c r="K1310" s="4">
        <f t="shared" si="34"/>
        <v>62314</v>
      </c>
      <c r="L1310" s="4">
        <f t="shared" si="35"/>
        <v>21809.899999999998</v>
      </c>
      <c r="M1310" s="3">
        <v>0.35</v>
      </c>
    </row>
    <row r="1311" spans="2:13" x14ac:dyDescent="0.3">
      <c r="B1311" t="s">
        <v>66</v>
      </c>
      <c r="C1311" s="1" t="s">
        <v>63</v>
      </c>
      <c r="D1311" s="2">
        <v>44969</v>
      </c>
      <c r="E1311" s="8" t="s">
        <v>6</v>
      </c>
      <c r="F1311" s="8" t="s">
        <v>21</v>
      </c>
      <c r="G1311" s="8" t="s">
        <v>21</v>
      </c>
      <c r="H1311" t="s">
        <v>18</v>
      </c>
      <c r="I1311" s="4">
        <v>4600</v>
      </c>
      <c r="J1311" s="8">
        <v>2</v>
      </c>
      <c r="K1311" s="4">
        <f t="shared" si="34"/>
        <v>9200</v>
      </c>
      <c r="L1311" s="4">
        <f t="shared" si="35"/>
        <v>2300</v>
      </c>
      <c r="M1311" s="3">
        <v>0.25</v>
      </c>
    </row>
    <row r="1312" spans="2:13" x14ac:dyDescent="0.3">
      <c r="B1312" t="s">
        <v>65</v>
      </c>
      <c r="C1312" s="1" t="s">
        <v>63</v>
      </c>
      <c r="D1312" s="2">
        <v>44969</v>
      </c>
      <c r="E1312" s="8" t="s">
        <v>6</v>
      </c>
      <c r="F1312" s="8" t="s">
        <v>21</v>
      </c>
      <c r="G1312" s="8" t="s">
        <v>21</v>
      </c>
      <c r="H1312" t="s">
        <v>10</v>
      </c>
      <c r="I1312" s="4">
        <v>1700</v>
      </c>
      <c r="J1312" s="8">
        <v>12</v>
      </c>
      <c r="K1312" s="4">
        <f t="shared" si="34"/>
        <v>20400</v>
      </c>
      <c r="L1312" s="4">
        <f t="shared" si="35"/>
        <v>10200</v>
      </c>
      <c r="M1312" s="3">
        <v>0.5</v>
      </c>
    </row>
    <row r="1313" spans="2:13" x14ac:dyDescent="0.3">
      <c r="B1313" t="s">
        <v>65</v>
      </c>
      <c r="C1313" s="1" t="s">
        <v>63</v>
      </c>
      <c r="D1313" s="2">
        <v>44969</v>
      </c>
      <c r="E1313" s="8" t="s">
        <v>6</v>
      </c>
      <c r="F1313" s="8" t="s">
        <v>21</v>
      </c>
      <c r="G1313" s="8" t="s">
        <v>21</v>
      </c>
      <c r="H1313" t="s">
        <v>18</v>
      </c>
      <c r="I1313" s="4">
        <v>4600</v>
      </c>
      <c r="J1313" s="8">
        <v>6</v>
      </c>
      <c r="K1313" s="4">
        <f t="shared" si="34"/>
        <v>27600</v>
      </c>
      <c r="L1313" s="4">
        <f t="shared" si="35"/>
        <v>6900</v>
      </c>
      <c r="M1313" s="3">
        <v>0.25</v>
      </c>
    </row>
    <row r="1314" spans="2:13" x14ac:dyDescent="0.3">
      <c r="B1314" t="s">
        <v>65</v>
      </c>
      <c r="C1314" s="1" t="s">
        <v>63</v>
      </c>
      <c r="D1314" s="2">
        <v>44976</v>
      </c>
      <c r="E1314" s="8" t="s">
        <v>6</v>
      </c>
      <c r="F1314" s="8" t="s">
        <v>21</v>
      </c>
      <c r="G1314" s="8" t="s">
        <v>21</v>
      </c>
      <c r="H1314" t="s">
        <v>11</v>
      </c>
      <c r="I1314" s="4">
        <v>300</v>
      </c>
      <c r="J1314" s="8">
        <v>12</v>
      </c>
      <c r="K1314" s="4">
        <f t="shared" si="34"/>
        <v>3600</v>
      </c>
      <c r="L1314" s="4">
        <f t="shared" si="35"/>
        <v>540</v>
      </c>
      <c r="M1314" s="3">
        <v>0.15</v>
      </c>
    </row>
    <row r="1315" spans="2:13" x14ac:dyDescent="0.3">
      <c r="B1315" t="s">
        <v>65</v>
      </c>
      <c r="C1315" s="1" t="s">
        <v>63</v>
      </c>
      <c r="D1315" s="2">
        <v>44976</v>
      </c>
      <c r="E1315" s="8" t="s">
        <v>6</v>
      </c>
      <c r="F1315" s="8" t="s">
        <v>21</v>
      </c>
      <c r="G1315" s="8" t="s">
        <v>21</v>
      </c>
      <c r="H1315" t="s">
        <v>14</v>
      </c>
      <c r="I1315" s="4">
        <v>4500</v>
      </c>
      <c r="J1315" s="8">
        <v>6</v>
      </c>
      <c r="K1315" s="4">
        <f t="shared" si="34"/>
        <v>27000</v>
      </c>
      <c r="L1315" s="4">
        <f t="shared" si="35"/>
        <v>6750</v>
      </c>
      <c r="M1315" s="3">
        <v>0.25</v>
      </c>
    </row>
    <row r="1316" spans="2:13" x14ac:dyDescent="0.3">
      <c r="B1316" t="s">
        <v>62</v>
      </c>
      <c r="C1316" s="1" t="s">
        <v>63</v>
      </c>
      <c r="D1316" s="2">
        <v>44976</v>
      </c>
      <c r="E1316" s="8" t="s">
        <v>6</v>
      </c>
      <c r="F1316" s="8" t="s">
        <v>21</v>
      </c>
      <c r="G1316" s="8" t="s">
        <v>21</v>
      </c>
      <c r="H1316" t="s">
        <v>16</v>
      </c>
      <c r="I1316" s="4">
        <v>3400</v>
      </c>
      <c r="J1316" s="8">
        <v>9</v>
      </c>
      <c r="K1316" s="4">
        <f t="shared" si="34"/>
        <v>30600</v>
      </c>
      <c r="L1316" s="4">
        <f t="shared" si="35"/>
        <v>10710</v>
      </c>
      <c r="M1316" s="3">
        <v>0.35</v>
      </c>
    </row>
    <row r="1317" spans="2:13" x14ac:dyDescent="0.3">
      <c r="B1317" t="s">
        <v>65</v>
      </c>
      <c r="C1317" s="1" t="s">
        <v>63</v>
      </c>
      <c r="D1317" s="2">
        <v>44983</v>
      </c>
      <c r="E1317" s="8" t="s">
        <v>6</v>
      </c>
      <c r="F1317" s="8" t="s">
        <v>21</v>
      </c>
      <c r="G1317" s="8" t="s">
        <v>21</v>
      </c>
      <c r="H1317" t="s">
        <v>16</v>
      </c>
      <c r="I1317" s="4">
        <v>3400</v>
      </c>
      <c r="J1317" s="8">
        <v>4</v>
      </c>
      <c r="K1317" s="4">
        <f t="shared" si="34"/>
        <v>13600</v>
      </c>
      <c r="L1317" s="4">
        <f t="shared" si="35"/>
        <v>4760</v>
      </c>
      <c r="M1317" s="3">
        <v>0.35</v>
      </c>
    </row>
    <row r="1318" spans="2:13" x14ac:dyDescent="0.3">
      <c r="B1318" t="s">
        <v>65</v>
      </c>
      <c r="C1318" s="1" t="s">
        <v>64</v>
      </c>
      <c r="D1318" s="2">
        <v>44983</v>
      </c>
      <c r="E1318" s="8" t="s">
        <v>6</v>
      </c>
      <c r="F1318" s="8" t="s">
        <v>21</v>
      </c>
      <c r="G1318" s="8" t="s">
        <v>21</v>
      </c>
      <c r="H1318" t="s">
        <v>20</v>
      </c>
      <c r="I1318" s="4">
        <v>8902</v>
      </c>
      <c r="J1318" s="8">
        <v>2</v>
      </c>
      <c r="K1318" s="4">
        <f t="shared" si="34"/>
        <v>17804</v>
      </c>
      <c r="L1318" s="4">
        <f t="shared" si="35"/>
        <v>6231.4</v>
      </c>
      <c r="M1318" s="3">
        <v>0.35</v>
      </c>
    </row>
    <row r="1319" spans="2:13" x14ac:dyDescent="0.3">
      <c r="B1319" t="s">
        <v>61</v>
      </c>
      <c r="C1319" s="1" t="s">
        <v>63</v>
      </c>
      <c r="D1319" s="2">
        <v>44983</v>
      </c>
      <c r="E1319" s="8" t="s">
        <v>6</v>
      </c>
      <c r="F1319" s="8" t="s">
        <v>21</v>
      </c>
      <c r="G1319" s="8" t="s">
        <v>21</v>
      </c>
      <c r="H1319" t="s">
        <v>18</v>
      </c>
      <c r="I1319" s="4">
        <v>4600</v>
      </c>
      <c r="J1319" s="8">
        <v>7</v>
      </c>
      <c r="K1319" s="4">
        <f t="shared" si="34"/>
        <v>32200</v>
      </c>
      <c r="L1319" s="4">
        <f t="shared" si="35"/>
        <v>8050</v>
      </c>
      <c r="M1319" s="3">
        <v>0.25</v>
      </c>
    </row>
    <row r="1320" spans="2:13" x14ac:dyDescent="0.3">
      <c r="B1320" t="s">
        <v>60</v>
      </c>
      <c r="C1320" s="1" t="s">
        <v>63</v>
      </c>
      <c r="D1320" s="2">
        <v>44990</v>
      </c>
      <c r="E1320" s="8" t="s">
        <v>6</v>
      </c>
      <c r="F1320" s="8" t="s">
        <v>21</v>
      </c>
      <c r="G1320" s="8" t="s">
        <v>21</v>
      </c>
      <c r="H1320" t="s">
        <v>11</v>
      </c>
      <c r="I1320" s="4">
        <v>300</v>
      </c>
      <c r="J1320" s="8">
        <v>10</v>
      </c>
      <c r="K1320" s="4">
        <f t="shared" si="34"/>
        <v>3000</v>
      </c>
      <c r="L1320" s="4">
        <f t="shared" si="35"/>
        <v>450</v>
      </c>
      <c r="M1320" s="3">
        <v>0.15</v>
      </c>
    </row>
    <row r="1321" spans="2:13" x14ac:dyDescent="0.3">
      <c r="B1321" t="s">
        <v>65</v>
      </c>
      <c r="C1321" s="1" t="s">
        <v>63</v>
      </c>
      <c r="D1321" s="2">
        <v>44990</v>
      </c>
      <c r="E1321" s="8" t="s">
        <v>6</v>
      </c>
      <c r="F1321" s="8" t="s">
        <v>21</v>
      </c>
      <c r="G1321" s="8" t="s">
        <v>21</v>
      </c>
      <c r="H1321" t="s">
        <v>16</v>
      </c>
      <c r="I1321" s="4">
        <v>3400</v>
      </c>
      <c r="J1321" s="8">
        <v>1</v>
      </c>
      <c r="K1321" s="4">
        <f t="shared" si="34"/>
        <v>3400</v>
      </c>
      <c r="L1321" s="4">
        <f t="shared" si="35"/>
        <v>1190</v>
      </c>
      <c r="M1321" s="3">
        <v>0.35</v>
      </c>
    </row>
    <row r="1322" spans="2:13" x14ac:dyDescent="0.3">
      <c r="B1322" t="s">
        <v>65</v>
      </c>
      <c r="C1322" s="1" t="s">
        <v>64</v>
      </c>
      <c r="D1322" s="2">
        <v>44990</v>
      </c>
      <c r="E1322" s="8" t="s">
        <v>6</v>
      </c>
      <c r="F1322" s="8" t="s">
        <v>21</v>
      </c>
      <c r="G1322" s="8" t="s">
        <v>21</v>
      </c>
      <c r="H1322" t="s">
        <v>16</v>
      </c>
      <c r="I1322" s="4">
        <v>3400</v>
      </c>
      <c r="J1322" s="8">
        <v>6</v>
      </c>
      <c r="K1322" s="4">
        <f t="shared" si="34"/>
        <v>20400</v>
      </c>
      <c r="L1322" s="4">
        <f t="shared" si="35"/>
        <v>7140</v>
      </c>
      <c r="M1322" s="3">
        <v>0.35</v>
      </c>
    </row>
    <row r="1323" spans="2:13" x14ac:dyDescent="0.3">
      <c r="B1323" t="s">
        <v>62</v>
      </c>
      <c r="C1323" s="1" t="s">
        <v>63</v>
      </c>
      <c r="D1323" s="2">
        <v>44997</v>
      </c>
      <c r="E1323" s="8" t="s">
        <v>6</v>
      </c>
      <c r="F1323" s="8" t="s">
        <v>21</v>
      </c>
      <c r="G1323" s="8" t="s">
        <v>21</v>
      </c>
      <c r="H1323" t="s">
        <v>9</v>
      </c>
      <c r="I1323" s="4">
        <v>1500</v>
      </c>
      <c r="J1323" s="8">
        <v>3</v>
      </c>
      <c r="K1323" s="4">
        <f t="shared" si="34"/>
        <v>4500</v>
      </c>
      <c r="L1323" s="4">
        <f t="shared" si="35"/>
        <v>1800</v>
      </c>
      <c r="M1323" s="3">
        <v>0.4</v>
      </c>
    </row>
    <row r="1324" spans="2:13" x14ac:dyDescent="0.3">
      <c r="B1324" t="s">
        <v>60</v>
      </c>
      <c r="C1324" s="1" t="s">
        <v>63</v>
      </c>
      <c r="D1324" s="2">
        <v>44997</v>
      </c>
      <c r="E1324" s="8" t="s">
        <v>6</v>
      </c>
      <c r="F1324" s="8" t="s">
        <v>21</v>
      </c>
      <c r="G1324" s="8" t="s">
        <v>21</v>
      </c>
      <c r="H1324" t="s">
        <v>8</v>
      </c>
      <c r="I1324" s="4">
        <v>1200</v>
      </c>
      <c r="J1324" s="8">
        <v>7</v>
      </c>
      <c r="K1324" s="4">
        <f t="shared" si="34"/>
        <v>8400</v>
      </c>
      <c r="L1324" s="4">
        <f t="shared" si="35"/>
        <v>2520</v>
      </c>
      <c r="M1324" s="3">
        <v>0.3</v>
      </c>
    </row>
    <row r="1325" spans="2:13" x14ac:dyDescent="0.3">
      <c r="B1325" t="s">
        <v>62</v>
      </c>
      <c r="C1325" s="1" t="s">
        <v>63</v>
      </c>
      <c r="D1325" s="2">
        <v>44997</v>
      </c>
      <c r="E1325" s="8" t="s">
        <v>6</v>
      </c>
      <c r="F1325" s="8" t="s">
        <v>21</v>
      </c>
      <c r="G1325" s="8" t="s">
        <v>21</v>
      </c>
      <c r="H1325" t="s">
        <v>18</v>
      </c>
      <c r="I1325" s="4">
        <v>4600</v>
      </c>
      <c r="J1325" s="8">
        <v>9</v>
      </c>
      <c r="K1325" s="4">
        <f t="shared" si="34"/>
        <v>41400</v>
      </c>
      <c r="L1325" s="4">
        <f t="shared" si="35"/>
        <v>10350</v>
      </c>
      <c r="M1325" s="3">
        <v>0.25</v>
      </c>
    </row>
    <row r="1326" spans="2:13" x14ac:dyDescent="0.3">
      <c r="B1326" t="s">
        <v>60</v>
      </c>
      <c r="C1326" s="1" t="s">
        <v>63</v>
      </c>
      <c r="D1326" s="2">
        <v>45004</v>
      </c>
      <c r="E1326" s="8" t="s">
        <v>6</v>
      </c>
      <c r="F1326" s="8" t="s">
        <v>21</v>
      </c>
      <c r="G1326" s="8" t="s">
        <v>21</v>
      </c>
      <c r="H1326" t="s">
        <v>12</v>
      </c>
      <c r="I1326" s="4">
        <v>500</v>
      </c>
      <c r="J1326" s="8">
        <v>7</v>
      </c>
      <c r="K1326" s="4">
        <f t="shared" si="34"/>
        <v>3500</v>
      </c>
      <c r="L1326" s="4">
        <f t="shared" si="35"/>
        <v>875</v>
      </c>
      <c r="M1326" s="3">
        <v>0.25</v>
      </c>
    </row>
    <row r="1327" spans="2:13" x14ac:dyDescent="0.3">
      <c r="B1327" t="s">
        <v>62</v>
      </c>
      <c r="C1327" s="1" t="s">
        <v>63</v>
      </c>
      <c r="D1327" s="2">
        <v>45004</v>
      </c>
      <c r="E1327" s="8" t="s">
        <v>6</v>
      </c>
      <c r="F1327" s="8" t="s">
        <v>21</v>
      </c>
      <c r="G1327" s="8" t="s">
        <v>21</v>
      </c>
      <c r="H1327" t="s">
        <v>9</v>
      </c>
      <c r="I1327" s="4">
        <v>1500</v>
      </c>
      <c r="J1327" s="8">
        <v>7</v>
      </c>
      <c r="K1327" s="4">
        <f t="shared" si="34"/>
        <v>10500</v>
      </c>
      <c r="L1327" s="4">
        <f t="shared" si="35"/>
        <v>4200</v>
      </c>
      <c r="M1327" s="3">
        <v>0.4</v>
      </c>
    </row>
    <row r="1328" spans="2:13" x14ac:dyDescent="0.3">
      <c r="B1328" t="s">
        <v>66</v>
      </c>
      <c r="C1328" s="1" t="s">
        <v>64</v>
      </c>
      <c r="D1328" s="2">
        <v>45004</v>
      </c>
      <c r="E1328" s="8" t="s">
        <v>6</v>
      </c>
      <c r="F1328" s="8" t="s">
        <v>21</v>
      </c>
      <c r="G1328" s="8" t="s">
        <v>21</v>
      </c>
      <c r="H1328" t="s">
        <v>18</v>
      </c>
      <c r="I1328" s="4">
        <v>4600</v>
      </c>
      <c r="J1328" s="8">
        <v>7</v>
      </c>
      <c r="K1328" s="4">
        <f t="shared" si="34"/>
        <v>32200</v>
      </c>
      <c r="L1328" s="4">
        <f t="shared" si="35"/>
        <v>8050</v>
      </c>
      <c r="M1328" s="3">
        <v>0.25</v>
      </c>
    </row>
    <row r="1329" spans="2:13" x14ac:dyDescent="0.3">
      <c r="B1329" t="s">
        <v>65</v>
      </c>
      <c r="C1329" s="1" t="s">
        <v>63</v>
      </c>
      <c r="D1329" s="2">
        <v>45011</v>
      </c>
      <c r="E1329" s="8" t="s">
        <v>6</v>
      </c>
      <c r="F1329" s="8" t="s">
        <v>21</v>
      </c>
      <c r="G1329" s="8" t="s">
        <v>21</v>
      </c>
      <c r="H1329" t="s">
        <v>10</v>
      </c>
      <c r="I1329" s="4">
        <v>1700</v>
      </c>
      <c r="J1329" s="8">
        <v>5</v>
      </c>
      <c r="K1329" s="4">
        <f t="shared" si="34"/>
        <v>8500</v>
      </c>
      <c r="L1329" s="4">
        <f t="shared" si="35"/>
        <v>4250</v>
      </c>
      <c r="M1329" s="3">
        <v>0.5</v>
      </c>
    </row>
    <row r="1330" spans="2:13" x14ac:dyDescent="0.3">
      <c r="B1330" t="s">
        <v>66</v>
      </c>
      <c r="C1330" s="1" t="s">
        <v>63</v>
      </c>
      <c r="D1330" s="2">
        <v>45011</v>
      </c>
      <c r="E1330" s="8" t="s">
        <v>6</v>
      </c>
      <c r="F1330" s="8" t="s">
        <v>21</v>
      </c>
      <c r="G1330" s="8" t="s">
        <v>21</v>
      </c>
      <c r="H1330" t="s">
        <v>19</v>
      </c>
      <c r="I1330" s="4">
        <v>5340</v>
      </c>
      <c r="J1330" s="8">
        <v>8</v>
      </c>
      <c r="K1330" s="4">
        <f t="shared" si="34"/>
        <v>42720</v>
      </c>
      <c r="L1330" s="4">
        <f t="shared" si="35"/>
        <v>12816</v>
      </c>
      <c r="M1330" s="3">
        <v>0.3</v>
      </c>
    </row>
    <row r="1331" spans="2:13" x14ac:dyDescent="0.3">
      <c r="B1331" t="s">
        <v>65</v>
      </c>
      <c r="C1331" s="1" t="s">
        <v>63</v>
      </c>
      <c r="D1331" s="2">
        <v>45011</v>
      </c>
      <c r="E1331" s="8" t="s">
        <v>6</v>
      </c>
      <c r="F1331" s="8" t="s">
        <v>21</v>
      </c>
      <c r="G1331" s="8" t="s">
        <v>21</v>
      </c>
      <c r="H1331" t="s">
        <v>14</v>
      </c>
      <c r="I1331" s="4">
        <v>4500</v>
      </c>
      <c r="J1331" s="8">
        <v>10</v>
      </c>
      <c r="K1331" s="4">
        <f t="shared" si="34"/>
        <v>45000</v>
      </c>
      <c r="L1331" s="4">
        <f t="shared" si="35"/>
        <v>11250</v>
      </c>
      <c r="M1331" s="3">
        <v>0.25</v>
      </c>
    </row>
    <row r="1332" spans="2:13" x14ac:dyDescent="0.3">
      <c r="B1332" t="s">
        <v>66</v>
      </c>
      <c r="C1332" s="1" t="s">
        <v>64</v>
      </c>
      <c r="D1332" s="2">
        <v>45018</v>
      </c>
      <c r="E1332" s="8" t="s">
        <v>6</v>
      </c>
      <c r="F1332" s="8" t="s">
        <v>21</v>
      </c>
      <c r="G1332" s="8" t="s">
        <v>21</v>
      </c>
      <c r="H1332" t="s">
        <v>8</v>
      </c>
      <c r="I1332" s="4">
        <v>1200</v>
      </c>
      <c r="J1332" s="8">
        <v>1</v>
      </c>
      <c r="K1332" s="4">
        <f t="shared" si="34"/>
        <v>1200</v>
      </c>
      <c r="L1332" s="4">
        <f t="shared" si="35"/>
        <v>360</v>
      </c>
      <c r="M1332" s="3">
        <v>0.3</v>
      </c>
    </row>
    <row r="1333" spans="2:13" x14ac:dyDescent="0.3">
      <c r="B1333" t="s">
        <v>60</v>
      </c>
      <c r="C1333" s="1" t="s">
        <v>63</v>
      </c>
      <c r="D1333" s="2">
        <v>45018</v>
      </c>
      <c r="E1333" s="8" t="s">
        <v>6</v>
      </c>
      <c r="F1333" s="8" t="s">
        <v>21</v>
      </c>
      <c r="G1333" s="8" t="s">
        <v>21</v>
      </c>
      <c r="H1333" t="s">
        <v>10</v>
      </c>
      <c r="I1333" s="4">
        <v>1700</v>
      </c>
      <c r="J1333" s="8">
        <v>1</v>
      </c>
      <c r="K1333" s="4">
        <f t="shared" si="34"/>
        <v>1700</v>
      </c>
      <c r="L1333" s="4">
        <f t="shared" si="35"/>
        <v>850</v>
      </c>
      <c r="M1333" s="3">
        <v>0.5</v>
      </c>
    </row>
    <row r="1334" spans="2:13" x14ac:dyDescent="0.3">
      <c r="B1334" t="s">
        <v>60</v>
      </c>
      <c r="C1334" s="1" t="s">
        <v>64</v>
      </c>
      <c r="D1334" s="2">
        <v>45018</v>
      </c>
      <c r="E1334" s="8" t="s">
        <v>6</v>
      </c>
      <c r="F1334" s="8" t="s">
        <v>21</v>
      </c>
      <c r="G1334" s="8" t="s">
        <v>21</v>
      </c>
      <c r="H1334" t="s">
        <v>12</v>
      </c>
      <c r="I1334" s="4">
        <v>500</v>
      </c>
      <c r="J1334" s="8">
        <v>9</v>
      </c>
      <c r="K1334" s="4">
        <f t="shared" si="34"/>
        <v>4500</v>
      </c>
      <c r="L1334" s="4">
        <f t="shared" si="35"/>
        <v>1125</v>
      </c>
      <c r="M1334" s="3">
        <v>0.25</v>
      </c>
    </row>
    <row r="1335" spans="2:13" x14ac:dyDescent="0.3">
      <c r="B1335" t="s">
        <v>65</v>
      </c>
      <c r="C1335" s="1" t="s">
        <v>63</v>
      </c>
      <c r="D1335" s="2">
        <v>45025</v>
      </c>
      <c r="E1335" s="8" t="s">
        <v>6</v>
      </c>
      <c r="F1335" s="8" t="s">
        <v>21</v>
      </c>
      <c r="G1335" s="8" t="s">
        <v>21</v>
      </c>
      <c r="H1335" t="s">
        <v>12</v>
      </c>
      <c r="I1335" s="4">
        <v>500</v>
      </c>
      <c r="J1335" s="8">
        <v>6</v>
      </c>
      <c r="K1335" s="4">
        <f t="shared" si="34"/>
        <v>3000</v>
      </c>
      <c r="L1335" s="4">
        <f t="shared" si="35"/>
        <v>750</v>
      </c>
      <c r="M1335" s="3">
        <v>0.25</v>
      </c>
    </row>
    <row r="1336" spans="2:13" x14ac:dyDescent="0.3">
      <c r="B1336" t="s">
        <v>66</v>
      </c>
      <c r="C1336" s="1" t="s">
        <v>64</v>
      </c>
      <c r="D1336" s="2">
        <v>45025</v>
      </c>
      <c r="E1336" s="8" t="s">
        <v>6</v>
      </c>
      <c r="F1336" s="8" t="s">
        <v>21</v>
      </c>
      <c r="G1336" s="8" t="s">
        <v>21</v>
      </c>
      <c r="H1336" t="s">
        <v>15</v>
      </c>
      <c r="I1336" s="4">
        <v>5300</v>
      </c>
      <c r="J1336" s="8">
        <v>3</v>
      </c>
      <c r="K1336" s="4">
        <f t="shared" si="34"/>
        <v>15900</v>
      </c>
      <c r="L1336" s="4">
        <f t="shared" si="35"/>
        <v>4770</v>
      </c>
      <c r="M1336" s="3">
        <v>0.3</v>
      </c>
    </row>
    <row r="1337" spans="2:13" x14ac:dyDescent="0.3">
      <c r="B1337" t="s">
        <v>65</v>
      </c>
      <c r="C1337" s="1" t="s">
        <v>63</v>
      </c>
      <c r="D1337" s="2">
        <v>45025</v>
      </c>
      <c r="E1337" s="8" t="s">
        <v>6</v>
      </c>
      <c r="F1337" s="8" t="s">
        <v>21</v>
      </c>
      <c r="G1337" s="8" t="s">
        <v>21</v>
      </c>
      <c r="H1337" t="s">
        <v>14</v>
      </c>
      <c r="I1337" s="4">
        <v>4500</v>
      </c>
      <c r="J1337" s="8">
        <v>7</v>
      </c>
      <c r="K1337" s="4">
        <f t="shared" si="34"/>
        <v>31500</v>
      </c>
      <c r="L1337" s="4">
        <f t="shared" si="35"/>
        <v>7875</v>
      </c>
      <c r="M1337" s="3">
        <v>0.25</v>
      </c>
    </row>
    <row r="1338" spans="2:13" x14ac:dyDescent="0.3">
      <c r="B1338" t="s">
        <v>65</v>
      </c>
      <c r="C1338" s="1" t="s">
        <v>63</v>
      </c>
      <c r="D1338" s="2">
        <v>45032</v>
      </c>
      <c r="E1338" s="8" t="s">
        <v>6</v>
      </c>
      <c r="F1338" s="8" t="s">
        <v>21</v>
      </c>
      <c r="G1338" s="8" t="s">
        <v>21</v>
      </c>
      <c r="H1338" t="s">
        <v>12</v>
      </c>
      <c r="I1338" s="4">
        <v>500</v>
      </c>
      <c r="J1338" s="8">
        <v>1</v>
      </c>
      <c r="K1338" s="4">
        <f t="shared" si="34"/>
        <v>500</v>
      </c>
      <c r="L1338" s="4">
        <f t="shared" si="35"/>
        <v>125</v>
      </c>
      <c r="M1338" s="3">
        <v>0.25</v>
      </c>
    </row>
    <row r="1339" spans="2:13" x14ac:dyDescent="0.3">
      <c r="B1339" t="s">
        <v>61</v>
      </c>
      <c r="C1339" s="1" t="s">
        <v>63</v>
      </c>
      <c r="D1339" s="2">
        <v>45032</v>
      </c>
      <c r="E1339" s="8" t="s">
        <v>6</v>
      </c>
      <c r="F1339" s="8" t="s">
        <v>21</v>
      </c>
      <c r="G1339" s="8" t="s">
        <v>21</v>
      </c>
      <c r="H1339" t="s">
        <v>9</v>
      </c>
      <c r="I1339" s="4">
        <v>1500</v>
      </c>
      <c r="J1339" s="8">
        <v>5</v>
      </c>
      <c r="K1339" s="4">
        <f t="shared" si="34"/>
        <v>7500</v>
      </c>
      <c r="L1339" s="4">
        <f t="shared" si="35"/>
        <v>3000</v>
      </c>
      <c r="M1339" s="3">
        <v>0.4</v>
      </c>
    </row>
    <row r="1340" spans="2:13" x14ac:dyDescent="0.3">
      <c r="B1340" t="s">
        <v>60</v>
      </c>
      <c r="C1340" s="1" t="s">
        <v>64</v>
      </c>
      <c r="D1340" s="2">
        <v>45032</v>
      </c>
      <c r="E1340" s="8" t="s">
        <v>6</v>
      </c>
      <c r="F1340" s="8" t="s">
        <v>21</v>
      </c>
      <c r="G1340" s="8" t="s">
        <v>21</v>
      </c>
      <c r="H1340" t="s">
        <v>20</v>
      </c>
      <c r="I1340" s="4">
        <v>8902</v>
      </c>
      <c r="J1340" s="8">
        <v>12</v>
      </c>
      <c r="K1340" s="4">
        <f t="shared" si="34"/>
        <v>106824</v>
      </c>
      <c r="L1340" s="4">
        <f t="shared" si="35"/>
        <v>37388.399999999994</v>
      </c>
      <c r="M1340" s="3">
        <v>0.35</v>
      </c>
    </row>
    <row r="1341" spans="2:13" x14ac:dyDescent="0.3">
      <c r="B1341" t="s">
        <v>60</v>
      </c>
      <c r="C1341" s="1" t="s">
        <v>63</v>
      </c>
      <c r="D1341" s="2">
        <v>45039</v>
      </c>
      <c r="E1341" s="8" t="s">
        <v>6</v>
      </c>
      <c r="F1341" s="8" t="s">
        <v>21</v>
      </c>
      <c r="G1341" s="8" t="s">
        <v>21</v>
      </c>
      <c r="H1341" t="s">
        <v>10</v>
      </c>
      <c r="I1341" s="4">
        <v>1700</v>
      </c>
      <c r="J1341" s="8">
        <v>1</v>
      </c>
      <c r="K1341" s="4">
        <f t="shared" si="34"/>
        <v>1700</v>
      </c>
      <c r="L1341" s="4">
        <f t="shared" si="35"/>
        <v>850</v>
      </c>
      <c r="M1341" s="3">
        <v>0.5</v>
      </c>
    </row>
    <row r="1342" spans="2:13" x14ac:dyDescent="0.3">
      <c r="B1342" t="s">
        <v>60</v>
      </c>
      <c r="C1342" s="1" t="s">
        <v>64</v>
      </c>
      <c r="D1342" s="2">
        <v>45039</v>
      </c>
      <c r="E1342" s="8" t="s">
        <v>6</v>
      </c>
      <c r="F1342" s="8" t="s">
        <v>21</v>
      </c>
      <c r="G1342" s="8" t="s">
        <v>21</v>
      </c>
      <c r="H1342" t="s">
        <v>16</v>
      </c>
      <c r="I1342" s="4">
        <v>3400</v>
      </c>
      <c r="J1342" s="8">
        <v>2</v>
      </c>
      <c r="K1342" s="4">
        <f t="shared" si="34"/>
        <v>6800</v>
      </c>
      <c r="L1342" s="4">
        <f t="shared" si="35"/>
        <v>2380</v>
      </c>
      <c r="M1342" s="3">
        <v>0.35</v>
      </c>
    </row>
    <row r="1343" spans="2:13" x14ac:dyDescent="0.3">
      <c r="B1343" t="s">
        <v>65</v>
      </c>
      <c r="C1343" s="1" t="s">
        <v>63</v>
      </c>
      <c r="D1343" s="2">
        <v>45039</v>
      </c>
      <c r="E1343" s="8" t="s">
        <v>6</v>
      </c>
      <c r="F1343" s="8" t="s">
        <v>21</v>
      </c>
      <c r="G1343" s="8" t="s">
        <v>21</v>
      </c>
      <c r="H1343" t="s">
        <v>15</v>
      </c>
      <c r="I1343" s="4">
        <v>5300</v>
      </c>
      <c r="J1343" s="8">
        <v>9</v>
      </c>
      <c r="K1343" s="4">
        <f t="shared" si="34"/>
        <v>47700</v>
      </c>
      <c r="L1343" s="4">
        <f t="shared" si="35"/>
        <v>14310</v>
      </c>
      <c r="M1343" s="3">
        <v>0.3</v>
      </c>
    </row>
    <row r="1344" spans="2:13" x14ac:dyDescent="0.3">
      <c r="B1344" t="s">
        <v>60</v>
      </c>
      <c r="C1344" s="1" t="s">
        <v>63</v>
      </c>
      <c r="D1344" s="2">
        <v>45046</v>
      </c>
      <c r="E1344" s="8" t="s">
        <v>6</v>
      </c>
      <c r="F1344" s="8" t="s">
        <v>21</v>
      </c>
      <c r="G1344" s="8" t="s">
        <v>21</v>
      </c>
      <c r="H1344" t="s">
        <v>14</v>
      </c>
      <c r="I1344" s="4">
        <v>4500</v>
      </c>
      <c r="J1344" s="8">
        <v>1</v>
      </c>
      <c r="K1344" s="4">
        <f t="shared" si="34"/>
        <v>4500</v>
      </c>
      <c r="L1344" s="4">
        <f t="shared" si="35"/>
        <v>1125</v>
      </c>
      <c r="M1344" s="3">
        <v>0.25</v>
      </c>
    </row>
    <row r="1345" spans="2:13" x14ac:dyDescent="0.3">
      <c r="B1345" t="s">
        <v>62</v>
      </c>
      <c r="C1345" s="1" t="s">
        <v>63</v>
      </c>
      <c r="D1345" s="2">
        <v>45046</v>
      </c>
      <c r="E1345" s="8" t="s">
        <v>6</v>
      </c>
      <c r="F1345" s="8" t="s">
        <v>21</v>
      </c>
      <c r="G1345" s="8" t="s">
        <v>21</v>
      </c>
      <c r="H1345" t="s">
        <v>8</v>
      </c>
      <c r="I1345" s="4">
        <v>1200</v>
      </c>
      <c r="J1345" s="8">
        <v>4</v>
      </c>
      <c r="K1345" s="4">
        <f t="shared" si="34"/>
        <v>4800</v>
      </c>
      <c r="L1345" s="4">
        <f t="shared" si="35"/>
        <v>1440</v>
      </c>
      <c r="M1345" s="3">
        <v>0.3</v>
      </c>
    </row>
    <row r="1346" spans="2:13" x14ac:dyDescent="0.3">
      <c r="B1346" t="s">
        <v>60</v>
      </c>
      <c r="C1346" s="1" t="s">
        <v>63</v>
      </c>
      <c r="D1346" s="2">
        <v>45046</v>
      </c>
      <c r="E1346" s="8" t="s">
        <v>6</v>
      </c>
      <c r="F1346" s="8" t="s">
        <v>21</v>
      </c>
      <c r="G1346" s="8" t="s">
        <v>21</v>
      </c>
      <c r="H1346" t="s">
        <v>9</v>
      </c>
      <c r="I1346" s="4">
        <v>1500</v>
      </c>
      <c r="J1346" s="8">
        <v>7</v>
      </c>
      <c r="K1346" s="4">
        <f t="shared" si="34"/>
        <v>10500</v>
      </c>
      <c r="L1346" s="4">
        <f t="shared" si="35"/>
        <v>4200</v>
      </c>
      <c r="M1346" s="3">
        <v>0.4</v>
      </c>
    </row>
    <row r="1347" spans="2:13" x14ac:dyDescent="0.3">
      <c r="B1347" t="s">
        <v>65</v>
      </c>
      <c r="C1347" s="1" t="s">
        <v>64</v>
      </c>
      <c r="D1347" s="2">
        <v>45053</v>
      </c>
      <c r="E1347" s="8" t="s">
        <v>6</v>
      </c>
      <c r="F1347" s="8" t="s">
        <v>21</v>
      </c>
      <c r="G1347" s="8" t="s">
        <v>21</v>
      </c>
      <c r="H1347" t="s">
        <v>11</v>
      </c>
      <c r="I1347" s="4">
        <v>300</v>
      </c>
      <c r="J1347" s="8">
        <v>12</v>
      </c>
      <c r="K1347" s="4">
        <f t="shared" si="34"/>
        <v>3600</v>
      </c>
      <c r="L1347" s="4">
        <f t="shared" si="35"/>
        <v>540</v>
      </c>
      <c r="M1347" s="3">
        <v>0.15</v>
      </c>
    </row>
    <row r="1348" spans="2:13" x14ac:dyDescent="0.3">
      <c r="B1348" t="s">
        <v>61</v>
      </c>
      <c r="C1348" s="1" t="s">
        <v>63</v>
      </c>
      <c r="D1348" s="2">
        <v>45053</v>
      </c>
      <c r="E1348" s="8" t="s">
        <v>6</v>
      </c>
      <c r="F1348" s="8" t="s">
        <v>21</v>
      </c>
      <c r="G1348" s="8" t="s">
        <v>21</v>
      </c>
      <c r="H1348" t="s">
        <v>10</v>
      </c>
      <c r="I1348" s="4">
        <v>1700</v>
      </c>
      <c r="J1348" s="8">
        <v>12</v>
      </c>
      <c r="K1348" s="4">
        <f t="shared" si="34"/>
        <v>20400</v>
      </c>
      <c r="L1348" s="4">
        <f t="shared" si="35"/>
        <v>10200</v>
      </c>
      <c r="M1348" s="3">
        <v>0.5</v>
      </c>
    </row>
    <row r="1349" spans="2:13" x14ac:dyDescent="0.3">
      <c r="B1349" t="s">
        <v>60</v>
      </c>
      <c r="C1349" s="1" t="s">
        <v>63</v>
      </c>
      <c r="D1349" s="2">
        <v>45053</v>
      </c>
      <c r="E1349" s="8" t="s">
        <v>6</v>
      </c>
      <c r="F1349" s="8" t="s">
        <v>21</v>
      </c>
      <c r="G1349" s="8" t="s">
        <v>21</v>
      </c>
      <c r="H1349" t="s">
        <v>19</v>
      </c>
      <c r="I1349" s="4">
        <v>5340</v>
      </c>
      <c r="J1349" s="8">
        <v>4</v>
      </c>
      <c r="K1349" s="4">
        <f t="shared" si="34"/>
        <v>21360</v>
      </c>
      <c r="L1349" s="4">
        <f t="shared" si="35"/>
        <v>6408</v>
      </c>
      <c r="M1349" s="3">
        <v>0.3</v>
      </c>
    </row>
    <row r="1350" spans="2:13" x14ac:dyDescent="0.3">
      <c r="B1350" t="s">
        <v>61</v>
      </c>
      <c r="C1350" s="1" t="s">
        <v>63</v>
      </c>
      <c r="D1350" s="2">
        <v>45060</v>
      </c>
      <c r="E1350" s="8" t="s">
        <v>6</v>
      </c>
      <c r="F1350" s="8" t="s">
        <v>21</v>
      </c>
      <c r="G1350" s="8" t="s">
        <v>21</v>
      </c>
      <c r="H1350" t="s">
        <v>10</v>
      </c>
      <c r="I1350" s="4">
        <v>1700</v>
      </c>
      <c r="J1350" s="8">
        <v>11</v>
      </c>
      <c r="K1350" s="4">
        <f t="shared" si="34"/>
        <v>18700</v>
      </c>
      <c r="L1350" s="4">
        <f t="shared" si="35"/>
        <v>9350</v>
      </c>
      <c r="M1350" s="3">
        <v>0.5</v>
      </c>
    </row>
    <row r="1351" spans="2:13" x14ac:dyDescent="0.3">
      <c r="B1351" t="s">
        <v>60</v>
      </c>
      <c r="C1351" s="1" t="s">
        <v>64</v>
      </c>
      <c r="D1351" s="2">
        <v>45060</v>
      </c>
      <c r="E1351" s="8" t="s">
        <v>6</v>
      </c>
      <c r="F1351" s="8" t="s">
        <v>21</v>
      </c>
      <c r="G1351" s="8" t="s">
        <v>21</v>
      </c>
      <c r="H1351" t="s">
        <v>19</v>
      </c>
      <c r="I1351" s="4">
        <v>5340</v>
      </c>
      <c r="J1351" s="8">
        <v>4</v>
      </c>
      <c r="K1351" s="4">
        <f t="shared" si="34"/>
        <v>21360</v>
      </c>
      <c r="L1351" s="4">
        <f t="shared" si="35"/>
        <v>6408</v>
      </c>
      <c r="M1351" s="3">
        <v>0.3</v>
      </c>
    </row>
    <row r="1352" spans="2:13" x14ac:dyDescent="0.3">
      <c r="B1352" t="s">
        <v>60</v>
      </c>
      <c r="C1352" s="1" t="s">
        <v>63</v>
      </c>
      <c r="D1352" s="2">
        <v>45060</v>
      </c>
      <c r="E1352" s="8" t="s">
        <v>6</v>
      </c>
      <c r="F1352" s="8" t="s">
        <v>21</v>
      </c>
      <c r="G1352" s="8" t="s">
        <v>21</v>
      </c>
      <c r="H1352" t="s">
        <v>16</v>
      </c>
      <c r="I1352" s="4">
        <v>3400</v>
      </c>
      <c r="J1352" s="8">
        <v>9</v>
      </c>
      <c r="K1352" s="4">
        <f t="shared" si="34"/>
        <v>30600</v>
      </c>
      <c r="L1352" s="4">
        <f t="shared" si="35"/>
        <v>10710</v>
      </c>
      <c r="M1352" s="3">
        <v>0.35</v>
      </c>
    </row>
    <row r="1353" spans="2:13" x14ac:dyDescent="0.3">
      <c r="B1353" t="s">
        <v>62</v>
      </c>
      <c r="C1353" s="1" t="s">
        <v>63</v>
      </c>
      <c r="D1353" s="2">
        <v>45067</v>
      </c>
      <c r="E1353" s="8" t="s">
        <v>6</v>
      </c>
      <c r="F1353" s="8" t="s">
        <v>21</v>
      </c>
      <c r="G1353" s="8" t="s">
        <v>21</v>
      </c>
      <c r="H1353" t="s">
        <v>18</v>
      </c>
      <c r="I1353" s="4">
        <v>4600</v>
      </c>
      <c r="J1353" s="8">
        <v>2</v>
      </c>
      <c r="K1353" s="4">
        <f t="shared" si="34"/>
        <v>9200</v>
      </c>
      <c r="L1353" s="4">
        <f t="shared" si="35"/>
        <v>2300</v>
      </c>
      <c r="M1353" s="3">
        <v>0.25</v>
      </c>
    </row>
    <row r="1354" spans="2:13" x14ac:dyDescent="0.3">
      <c r="B1354" t="s">
        <v>62</v>
      </c>
      <c r="C1354" s="1" t="s">
        <v>63</v>
      </c>
      <c r="D1354" s="2">
        <v>45067</v>
      </c>
      <c r="E1354" s="8" t="s">
        <v>6</v>
      </c>
      <c r="F1354" s="8" t="s">
        <v>21</v>
      </c>
      <c r="G1354" s="8" t="s">
        <v>21</v>
      </c>
      <c r="H1354" t="s">
        <v>19</v>
      </c>
      <c r="I1354" s="4">
        <v>5340</v>
      </c>
      <c r="J1354" s="8">
        <v>5</v>
      </c>
      <c r="K1354" s="4">
        <f t="shared" si="34"/>
        <v>26700</v>
      </c>
      <c r="L1354" s="4">
        <f t="shared" si="35"/>
        <v>8010</v>
      </c>
      <c r="M1354" s="3">
        <v>0.3</v>
      </c>
    </row>
    <row r="1355" spans="2:13" x14ac:dyDescent="0.3">
      <c r="B1355" t="s">
        <v>61</v>
      </c>
      <c r="C1355" s="1" t="s">
        <v>64</v>
      </c>
      <c r="D1355" s="2">
        <v>45067</v>
      </c>
      <c r="E1355" s="8" t="s">
        <v>6</v>
      </c>
      <c r="F1355" s="8" t="s">
        <v>21</v>
      </c>
      <c r="G1355" s="8" t="s">
        <v>21</v>
      </c>
      <c r="H1355" t="s">
        <v>17</v>
      </c>
      <c r="I1355" s="4">
        <v>5130</v>
      </c>
      <c r="J1355" s="8">
        <v>12</v>
      </c>
      <c r="K1355" s="4">
        <f t="shared" si="34"/>
        <v>61560</v>
      </c>
      <c r="L1355" s="4">
        <f t="shared" si="35"/>
        <v>24624</v>
      </c>
      <c r="M1355" s="3">
        <v>0.4</v>
      </c>
    </row>
    <row r="1356" spans="2:13" x14ac:dyDescent="0.3">
      <c r="B1356" t="s">
        <v>65</v>
      </c>
      <c r="C1356" s="1" t="s">
        <v>63</v>
      </c>
      <c r="D1356" s="2">
        <v>45074</v>
      </c>
      <c r="E1356" s="8" t="s">
        <v>6</v>
      </c>
      <c r="F1356" s="8" t="s">
        <v>21</v>
      </c>
      <c r="G1356" s="8" t="s">
        <v>21</v>
      </c>
      <c r="H1356" t="s">
        <v>9</v>
      </c>
      <c r="I1356" s="4">
        <v>1500</v>
      </c>
      <c r="J1356" s="8">
        <v>2</v>
      </c>
      <c r="K1356" s="4">
        <f t="shared" si="34"/>
        <v>3000</v>
      </c>
      <c r="L1356" s="4">
        <f t="shared" si="35"/>
        <v>1200</v>
      </c>
      <c r="M1356" s="3">
        <v>0.4</v>
      </c>
    </row>
    <row r="1357" spans="2:13" x14ac:dyDescent="0.3">
      <c r="B1357" t="s">
        <v>65</v>
      </c>
      <c r="C1357" s="1" t="s">
        <v>64</v>
      </c>
      <c r="D1357" s="2">
        <v>45074</v>
      </c>
      <c r="E1357" s="8" t="s">
        <v>6</v>
      </c>
      <c r="F1357" s="8" t="s">
        <v>21</v>
      </c>
      <c r="G1357" s="8" t="s">
        <v>21</v>
      </c>
      <c r="H1357" t="s">
        <v>10</v>
      </c>
      <c r="I1357" s="4">
        <v>1700</v>
      </c>
      <c r="J1357" s="8">
        <v>5</v>
      </c>
      <c r="K1357" s="4">
        <f t="shared" si="34"/>
        <v>8500</v>
      </c>
      <c r="L1357" s="4">
        <f t="shared" si="35"/>
        <v>4250</v>
      </c>
      <c r="M1357" s="3">
        <v>0.5</v>
      </c>
    </row>
    <row r="1358" spans="2:13" x14ac:dyDescent="0.3">
      <c r="B1358" t="s">
        <v>65</v>
      </c>
      <c r="C1358" s="1" t="s">
        <v>64</v>
      </c>
      <c r="D1358" s="2">
        <v>45074</v>
      </c>
      <c r="E1358" s="8" t="s">
        <v>6</v>
      </c>
      <c r="F1358" s="8" t="s">
        <v>21</v>
      </c>
      <c r="G1358" s="8" t="s">
        <v>21</v>
      </c>
      <c r="H1358" t="s">
        <v>10</v>
      </c>
      <c r="I1358" s="4">
        <v>1700</v>
      </c>
      <c r="J1358" s="8">
        <v>10</v>
      </c>
      <c r="K1358" s="4">
        <f t="shared" si="34"/>
        <v>17000</v>
      </c>
      <c r="L1358" s="4">
        <f t="shared" si="35"/>
        <v>8500</v>
      </c>
      <c r="M1358" s="3">
        <v>0.5</v>
      </c>
    </row>
    <row r="1359" spans="2:13" x14ac:dyDescent="0.3">
      <c r="B1359" t="s">
        <v>60</v>
      </c>
      <c r="C1359" s="1" t="s">
        <v>63</v>
      </c>
      <c r="D1359" s="2">
        <v>45081</v>
      </c>
      <c r="E1359" s="8" t="s">
        <v>6</v>
      </c>
      <c r="F1359" s="8" t="s">
        <v>21</v>
      </c>
      <c r="G1359" s="8" t="s">
        <v>21</v>
      </c>
      <c r="H1359" t="s">
        <v>8</v>
      </c>
      <c r="I1359" s="4">
        <v>1200</v>
      </c>
      <c r="J1359" s="8">
        <v>4</v>
      </c>
      <c r="K1359" s="4">
        <f t="shared" si="34"/>
        <v>4800</v>
      </c>
      <c r="L1359" s="4">
        <f t="shared" si="35"/>
        <v>1440</v>
      </c>
      <c r="M1359" s="3">
        <v>0.3</v>
      </c>
    </row>
    <row r="1360" spans="2:13" x14ac:dyDescent="0.3">
      <c r="B1360" t="s">
        <v>65</v>
      </c>
      <c r="C1360" s="1" t="s">
        <v>63</v>
      </c>
      <c r="D1360" s="2">
        <v>45081</v>
      </c>
      <c r="E1360" s="8" t="s">
        <v>6</v>
      </c>
      <c r="F1360" s="8" t="s">
        <v>21</v>
      </c>
      <c r="G1360" s="8" t="s">
        <v>21</v>
      </c>
      <c r="H1360" t="s">
        <v>18</v>
      </c>
      <c r="I1360" s="4">
        <v>4600</v>
      </c>
      <c r="J1360" s="8">
        <v>3</v>
      </c>
      <c r="K1360" s="4">
        <f t="shared" si="34"/>
        <v>13800</v>
      </c>
      <c r="L1360" s="4">
        <f t="shared" si="35"/>
        <v>3450</v>
      </c>
      <c r="M1360" s="3">
        <v>0.25</v>
      </c>
    </row>
    <row r="1361" spans="2:13" x14ac:dyDescent="0.3">
      <c r="B1361" t="s">
        <v>60</v>
      </c>
      <c r="C1361" s="1" t="s">
        <v>64</v>
      </c>
      <c r="D1361" s="2">
        <v>45081</v>
      </c>
      <c r="E1361" s="8" t="s">
        <v>6</v>
      </c>
      <c r="F1361" s="8" t="s">
        <v>21</v>
      </c>
      <c r="G1361" s="8" t="s">
        <v>21</v>
      </c>
      <c r="H1361" t="s">
        <v>9</v>
      </c>
      <c r="I1361" s="4">
        <v>1500</v>
      </c>
      <c r="J1361" s="8">
        <v>10</v>
      </c>
      <c r="K1361" s="4">
        <f t="shared" si="34"/>
        <v>15000</v>
      </c>
      <c r="L1361" s="4">
        <f t="shared" si="35"/>
        <v>6000</v>
      </c>
      <c r="M1361" s="3">
        <v>0.4</v>
      </c>
    </row>
    <row r="1362" spans="2:13" x14ac:dyDescent="0.3">
      <c r="B1362" t="s">
        <v>66</v>
      </c>
      <c r="C1362" s="1" t="s">
        <v>64</v>
      </c>
      <c r="D1362" s="2">
        <v>45088</v>
      </c>
      <c r="E1362" s="8" t="s">
        <v>6</v>
      </c>
      <c r="F1362" s="8" t="s">
        <v>21</v>
      </c>
      <c r="G1362" s="8" t="s">
        <v>21</v>
      </c>
      <c r="H1362" t="s">
        <v>10</v>
      </c>
      <c r="I1362" s="4">
        <v>1700</v>
      </c>
      <c r="J1362" s="8">
        <v>12</v>
      </c>
      <c r="K1362" s="4">
        <f t="shared" si="34"/>
        <v>20400</v>
      </c>
      <c r="L1362" s="4">
        <f t="shared" si="35"/>
        <v>10200</v>
      </c>
      <c r="M1362" s="3">
        <v>0.5</v>
      </c>
    </row>
    <row r="1363" spans="2:13" x14ac:dyDescent="0.3">
      <c r="B1363" t="s">
        <v>60</v>
      </c>
      <c r="C1363" s="1" t="s">
        <v>63</v>
      </c>
      <c r="D1363" s="2">
        <v>45088</v>
      </c>
      <c r="E1363" s="8" t="s">
        <v>6</v>
      </c>
      <c r="F1363" s="8" t="s">
        <v>21</v>
      </c>
      <c r="G1363" s="8" t="s">
        <v>21</v>
      </c>
      <c r="H1363" t="s">
        <v>16</v>
      </c>
      <c r="I1363" s="4">
        <v>3400</v>
      </c>
      <c r="J1363" s="8">
        <v>9</v>
      </c>
      <c r="K1363" s="4">
        <f t="shared" si="34"/>
        <v>30600</v>
      </c>
      <c r="L1363" s="4">
        <f t="shared" si="35"/>
        <v>10710</v>
      </c>
      <c r="M1363" s="3">
        <v>0.35</v>
      </c>
    </row>
    <row r="1364" spans="2:13" x14ac:dyDescent="0.3">
      <c r="B1364" t="s">
        <v>60</v>
      </c>
      <c r="C1364" s="1" t="s">
        <v>64</v>
      </c>
      <c r="D1364" s="2">
        <v>45088</v>
      </c>
      <c r="E1364" s="8" t="s">
        <v>6</v>
      </c>
      <c r="F1364" s="8" t="s">
        <v>21</v>
      </c>
      <c r="G1364" s="8" t="s">
        <v>21</v>
      </c>
      <c r="H1364" t="s">
        <v>16</v>
      </c>
      <c r="I1364" s="4">
        <v>3400</v>
      </c>
      <c r="J1364" s="8">
        <v>10</v>
      </c>
      <c r="K1364" s="4">
        <f t="shared" si="34"/>
        <v>34000</v>
      </c>
      <c r="L1364" s="4">
        <f t="shared" si="35"/>
        <v>11900</v>
      </c>
      <c r="M1364" s="3">
        <v>0.35</v>
      </c>
    </row>
    <row r="1365" spans="2:13" x14ac:dyDescent="0.3">
      <c r="B1365" t="s">
        <v>60</v>
      </c>
      <c r="C1365" s="1" t="s">
        <v>64</v>
      </c>
      <c r="D1365" s="2">
        <v>45095</v>
      </c>
      <c r="E1365" s="8" t="s">
        <v>6</v>
      </c>
      <c r="F1365" s="8" t="s">
        <v>21</v>
      </c>
      <c r="G1365" s="8" t="s">
        <v>21</v>
      </c>
      <c r="H1365" t="s">
        <v>12</v>
      </c>
      <c r="I1365" s="4">
        <v>500</v>
      </c>
      <c r="J1365" s="8">
        <v>7</v>
      </c>
      <c r="K1365" s="4">
        <f t="shared" si="34"/>
        <v>3500</v>
      </c>
      <c r="L1365" s="4">
        <f t="shared" si="35"/>
        <v>875</v>
      </c>
      <c r="M1365" s="3">
        <v>0.25</v>
      </c>
    </row>
    <row r="1366" spans="2:13" x14ac:dyDescent="0.3">
      <c r="B1366" t="s">
        <v>65</v>
      </c>
      <c r="C1366" s="1" t="s">
        <v>63</v>
      </c>
      <c r="D1366" s="2">
        <v>45095</v>
      </c>
      <c r="E1366" s="8" t="s">
        <v>6</v>
      </c>
      <c r="F1366" s="8" t="s">
        <v>21</v>
      </c>
      <c r="G1366" s="8" t="s">
        <v>21</v>
      </c>
      <c r="H1366" t="s">
        <v>10</v>
      </c>
      <c r="I1366" s="4">
        <v>1700</v>
      </c>
      <c r="J1366" s="8">
        <v>5</v>
      </c>
      <c r="K1366" s="4">
        <f t="shared" si="34"/>
        <v>8500</v>
      </c>
      <c r="L1366" s="4">
        <f t="shared" si="35"/>
        <v>4250</v>
      </c>
      <c r="M1366" s="3">
        <v>0.5</v>
      </c>
    </row>
    <row r="1367" spans="2:13" x14ac:dyDescent="0.3">
      <c r="B1367" t="s">
        <v>65</v>
      </c>
      <c r="C1367" s="1" t="s">
        <v>63</v>
      </c>
      <c r="D1367" s="2">
        <v>45095</v>
      </c>
      <c r="E1367" s="8" t="s">
        <v>6</v>
      </c>
      <c r="F1367" s="8" t="s">
        <v>21</v>
      </c>
      <c r="G1367" s="8" t="s">
        <v>21</v>
      </c>
      <c r="H1367" t="s">
        <v>19</v>
      </c>
      <c r="I1367" s="4">
        <v>5340</v>
      </c>
      <c r="J1367" s="8">
        <v>13</v>
      </c>
      <c r="K1367" s="4">
        <f t="shared" si="34"/>
        <v>69420</v>
      </c>
      <c r="L1367" s="4">
        <f t="shared" si="35"/>
        <v>20826</v>
      </c>
      <c r="M1367" s="3">
        <v>0.3</v>
      </c>
    </row>
    <row r="1368" spans="2:13" x14ac:dyDescent="0.3">
      <c r="B1368" t="s">
        <v>65</v>
      </c>
      <c r="C1368" s="1" t="s">
        <v>64</v>
      </c>
      <c r="D1368" s="2">
        <v>45102</v>
      </c>
      <c r="E1368" s="8" t="s">
        <v>6</v>
      </c>
      <c r="F1368" s="8" t="s">
        <v>21</v>
      </c>
      <c r="G1368" s="8" t="s">
        <v>21</v>
      </c>
      <c r="H1368" t="s">
        <v>10</v>
      </c>
      <c r="I1368" s="4">
        <v>1700</v>
      </c>
      <c r="J1368" s="8">
        <v>3</v>
      </c>
      <c r="K1368" s="4">
        <f t="shared" si="34"/>
        <v>5100</v>
      </c>
      <c r="L1368" s="4">
        <f t="shared" si="35"/>
        <v>2550</v>
      </c>
      <c r="M1368" s="3">
        <v>0.5</v>
      </c>
    </row>
    <row r="1369" spans="2:13" x14ac:dyDescent="0.3">
      <c r="B1369" t="s">
        <v>60</v>
      </c>
      <c r="C1369" s="1" t="s">
        <v>63</v>
      </c>
      <c r="D1369" s="2">
        <v>45102</v>
      </c>
      <c r="E1369" s="8" t="s">
        <v>6</v>
      </c>
      <c r="F1369" s="8" t="s">
        <v>21</v>
      </c>
      <c r="G1369" s="8" t="s">
        <v>21</v>
      </c>
      <c r="H1369" t="s">
        <v>8</v>
      </c>
      <c r="I1369" s="4">
        <v>1200</v>
      </c>
      <c r="J1369" s="8">
        <v>7</v>
      </c>
      <c r="K1369" s="4">
        <f t="shared" si="34"/>
        <v>8400</v>
      </c>
      <c r="L1369" s="4">
        <f t="shared" si="35"/>
        <v>2520</v>
      </c>
      <c r="M1369" s="3">
        <v>0.3</v>
      </c>
    </row>
    <row r="1370" spans="2:13" x14ac:dyDescent="0.3">
      <c r="B1370" t="s">
        <v>65</v>
      </c>
      <c r="C1370" s="1" t="s">
        <v>63</v>
      </c>
      <c r="D1370" s="2">
        <v>45102</v>
      </c>
      <c r="E1370" s="8" t="s">
        <v>6</v>
      </c>
      <c r="F1370" s="8" t="s">
        <v>21</v>
      </c>
      <c r="G1370" s="8" t="s">
        <v>21</v>
      </c>
      <c r="H1370" t="s">
        <v>18</v>
      </c>
      <c r="I1370" s="4">
        <v>4600</v>
      </c>
      <c r="J1370" s="8">
        <v>5</v>
      </c>
      <c r="K1370" s="4">
        <f t="shared" ref="K1370:K1433" si="36">I1370*J1370</f>
        <v>23000</v>
      </c>
      <c r="L1370" s="4">
        <f t="shared" ref="L1370:L1433" si="37">K1370*M1370</f>
        <v>5750</v>
      </c>
      <c r="M1370" s="3">
        <v>0.25</v>
      </c>
    </row>
    <row r="1371" spans="2:13" x14ac:dyDescent="0.3">
      <c r="B1371" t="s">
        <v>60</v>
      </c>
      <c r="C1371" s="1" t="s">
        <v>64</v>
      </c>
      <c r="D1371" s="2">
        <v>45109</v>
      </c>
      <c r="E1371" s="8" t="s">
        <v>6</v>
      </c>
      <c r="F1371" s="8" t="s">
        <v>21</v>
      </c>
      <c r="G1371" s="8" t="s">
        <v>21</v>
      </c>
      <c r="H1371" t="s">
        <v>19</v>
      </c>
      <c r="I1371" s="4">
        <v>5340</v>
      </c>
      <c r="J1371" s="8">
        <v>10</v>
      </c>
      <c r="K1371" s="4">
        <f t="shared" si="36"/>
        <v>53400</v>
      </c>
      <c r="L1371" s="4">
        <f t="shared" si="37"/>
        <v>16020</v>
      </c>
      <c r="M1371" s="3">
        <v>0.3</v>
      </c>
    </row>
    <row r="1372" spans="2:13" x14ac:dyDescent="0.3">
      <c r="B1372" t="s">
        <v>65</v>
      </c>
      <c r="C1372" s="1" t="s">
        <v>63</v>
      </c>
      <c r="D1372" s="2">
        <v>45109</v>
      </c>
      <c r="E1372" s="8" t="s">
        <v>6</v>
      </c>
      <c r="F1372" s="8" t="s">
        <v>21</v>
      </c>
      <c r="G1372" s="8" t="s">
        <v>21</v>
      </c>
      <c r="H1372" t="s">
        <v>19</v>
      </c>
      <c r="I1372" s="4">
        <v>5340</v>
      </c>
      <c r="J1372" s="8">
        <v>10</v>
      </c>
      <c r="K1372" s="4">
        <f t="shared" si="36"/>
        <v>53400</v>
      </c>
      <c r="L1372" s="4">
        <f t="shared" si="37"/>
        <v>16020</v>
      </c>
      <c r="M1372" s="3">
        <v>0.3</v>
      </c>
    </row>
    <row r="1373" spans="2:13" x14ac:dyDescent="0.3">
      <c r="B1373" t="s">
        <v>65</v>
      </c>
      <c r="C1373" s="1" t="s">
        <v>63</v>
      </c>
      <c r="D1373" s="2">
        <v>45109</v>
      </c>
      <c r="E1373" s="8" t="s">
        <v>6</v>
      </c>
      <c r="F1373" s="8" t="s">
        <v>21</v>
      </c>
      <c r="G1373" s="8" t="s">
        <v>21</v>
      </c>
      <c r="H1373" t="s">
        <v>15</v>
      </c>
      <c r="I1373" s="4">
        <v>5300</v>
      </c>
      <c r="J1373" s="8">
        <v>12</v>
      </c>
      <c r="K1373" s="4">
        <f t="shared" si="36"/>
        <v>63600</v>
      </c>
      <c r="L1373" s="4">
        <f t="shared" si="37"/>
        <v>19080</v>
      </c>
      <c r="M1373" s="3">
        <v>0.3</v>
      </c>
    </row>
    <row r="1374" spans="2:13" x14ac:dyDescent="0.3">
      <c r="B1374" t="s">
        <v>65</v>
      </c>
      <c r="C1374" s="1" t="s">
        <v>63</v>
      </c>
      <c r="D1374" s="2">
        <v>45116</v>
      </c>
      <c r="E1374" s="8" t="s">
        <v>6</v>
      </c>
      <c r="F1374" s="8" t="s">
        <v>21</v>
      </c>
      <c r="G1374" s="8" t="s">
        <v>21</v>
      </c>
      <c r="H1374" t="s">
        <v>13</v>
      </c>
      <c r="I1374" s="4">
        <v>3200</v>
      </c>
      <c r="J1374" s="8">
        <v>3</v>
      </c>
      <c r="K1374" s="4">
        <f t="shared" si="36"/>
        <v>9600</v>
      </c>
      <c r="L1374" s="4">
        <f t="shared" si="37"/>
        <v>1920</v>
      </c>
      <c r="M1374" s="3">
        <v>0.2</v>
      </c>
    </row>
    <row r="1375" spans="2:13" x14ac:dyDescent="0.3">
      <c r="B1375" t="s">
        <v>60</v>
      </c>
      <c r="C1375" s="1" t="s">
        <v>64</v>
      </c>
      <c r="D1375" s="2">
        <v>45116</v>
      </c>
      <c r="E1375" s="8" t="s">
        <v>6</v>
      </c>
      <c r="F1375" s="8" t="s">
        <v>21</v>
      </c>
      <c r="G1375" s="8" t="s">
        <v>21</v>
      </c>
      <c r="H1375" t="s">
        <v>9</v>
      </c>
      <c r="I1375" s="4">
        <v>1500</v>
      </c>
      <c r="J1375" s="8">
        <v>7</v>
      </c>
      <c r="K1375" s="4">
        <f t="shared" si="36"/>
        <v>10500</v>
      </c>
      <c r="L1375" s="4">
        <f t="shared" si="37"/>
        <v>4200</v>
      </c>
      <c r="M1375" s="3">
        <v>0.4</v>
      </c>
    </row>
    <row r="1376" spans="2:13" x14ac:dyDescent="0.3">
      <c r="B1376" t="s">
        <v>65</v>
      </c>
      <c r="C1376" s="1" t="s">
        <v>64</v>
      </c>
      <c r="D1376" s="2">
        <v>45116</v>
      </c>
      <c r="E1376" s="8" t="s">
        <v>6</v>
      </c>
      <c r="F1376" s="8" t="s">
        <v>21</v>
      </c>
      <c r="G1376" s="8" t="s">
        <v>21</v>
      </c>
      <c r="H1376" t="s">
        <v>15</v>
      </c>
      <c r="I1376" s="4">
        <v>5300</v>
      </c>
      <c r="J1376" s="8">
        <v>5</v>
      </c>
      <c r="K1376" s="4">
        <f t="shared" si="36"/>
        <v>26500</v>
      </c>
      <c r="L1376" s="4">
        <f t="shared" si="37"/>
        <v>7950</v>
      </c>
      <c r="M1376" s="3">
        <v>0.3</v>
      </c>
    </row>
    <row r="1377" spans="2:13" x14ac:dyDescent="0.3">
      <c r="B1377" t="s">
        <v>61</v>
      </c>
      <c r="C1377" s="1" t="s">
        <v>63</v>
      </c>
      <c r="D1377" s="2">
        <v>45123</v>
      </c>
      <c r="E1377" s="8" t="s">
        <v>6</v>
      </c>
      <c r="F1377" s="8" t="s">
        <v>21</v>
      </c>
      <c r="G1377" s="8" t="s">
        <v>21</v>
      </c>
      <c r="H1377" t="s">
        <v>17</v>
      </c>
      <c r="I1377" s="4">
        <v>5130</v>
      </c>
      <c r="J1377" s="8">
        <v>3</v>
      </c>
      <c r="K1377" s="4">
        <f t="shared" si="36"/>
        <v>15390</v>
      </c>
      <c r="L1377" s="4">
        <f t="shared" si="37"/>
        <v>6156</v>
      </c>
      <c r="M1377" s="3">
        <v>0.4</v>
      </c>
    </row>
    <row r="1378" spans="2:13" x14ac:dyDescent="0.3">
      <c r="B1378" t="s">
        <v>60</v>
      </c>
      <c r="C1378" s="1" t="s">
        <v>63</v>
      </c>
      <c r="D1378" s="2">
        <v>45123</v>
      </c>
      <c r="E1378" s="8" t="s">
        <v>6</v>
      </c>
      <c r="F1378" s="8" t="s">
        <v>21</v>
      </c>
      <c r="G1378" s="8" t="s">
        <v>21</v>
      </c>
      <c r="H1378" t="s">
        <v>14</v>
      </c>
      <c r="I1378" s="4">
        <v>4500</v>
      </c>
      <c r="J1378" s="8">
        <v>4</v>
      </c>
      <c r="K1378" s="4">
        <f t="shared" si="36"/>
        <v>18000</v>
      </c>
      <c r="L1378" s="4">
        <f t="shared" si="37"/>
        <v>4500</v>
      </c>
      <c r="M1378" s="3">
        <v>0.25</v>
      </c>
    </row>
    <row r="1379" spans="2:13" x14ac:dyDescent="0.3">
      <c r="B1379" t="s">
        <v>65</v>
      </c>
      <c r="C1379" s="1" t="s">
        <v>63</v>
      </c>
      <c r="D1379" s="2">
        <v>45123</v>
      </c>
      <c r="E1379" s="8" t="s">
        <v>6</v>
      </c>
      <c r="F1379" s="8" t="s">
        <v>21</v>
      </c>
      <c r="G1379" s="8" t="s">
        <v>21</v>
      </c>
      <c r="H1379" t="s">
        <v>19</v>
      </c>
      <c r="I1379" s="4">
        <v>5340</v>
      </c>
      <c r="J1379" s="8">
        <v>7</v>
      </c>
      <c r="K1379" s="4">
        <f t="shared" si="36"/>
        <v>37380</v>
      </c>
      <c r="L1379" s="4">
        <f t="shared" si="37"/>
        <v>11214</v>
      </c>
      <c r="M1379" s="3">
        <v>0.3</v>
      </c>
    </row>
    <row r="1380" spans="2:13" x14ac:dyDescent="0.3">
      <c r="B1380" t="s">
        <v>66</v>
      </c>
      <c r="C1380" s="1" t="s">
        <v>63</v>
      </c>
      <c r="D1380" s="2">
        <v>45130</v>
      </c>
      <c r="E1380" s="8" t="s">
        <v>6</v>
      </c>
      <c r="F1380" s="8" t="s">
        <v>21</v>
      </c>
      <c r="G1380" s="8" t="s">
        <v>21</v>
      </c>
      <c r="H1380" t="s">
        <v>16</v>
      </c>
      <c r="I1380" s="4">
        <v>3400</v>
      </c>
      <c r="J1380" s="8">
        <v>1</v>
      </c>
      <c r="K1380" s="4">
        <f t="shared" si="36"/>
        <v>3400</v>
      </c>
      <c r="L1380" s="4">
        <f t="shared" si="37"/>
        <v>1190</v>
      </c>
      <c r="M1380" s="3">
        <v>0.35</v>
      </c>
    </row>
    <row r="1381" spans="2:13" x14ac:dyDescent="0.3">
      <c r="B1381" t="s">
        <v>65</v>
      </c>
      <c r="C1381" s="1" t="s">
        <v>63</v>
      </c>
      <c r="D1381" s="2">
        <v>45130</v>
      </c>
      <c r="E1381" s="8" t="s">
        <v>6</v>
      </c>
      <c r="F1381" s="8" t="s">
        <v>21</v>
      </c>
      <c r="G1381" s="8" t="s">
        <v>21</v>
      </c>
      <c r="H1381" t="s">
        <v>14</v>
      </c>
      <c r="I1381" s="4">
        <v>4500</v>
      </c>
      <c r="J1381" s="8">
        <v>9</v>
      </c>
      <c r="K1381" s="4">
        <f t="shared" si="36"/>
        <v>40500</v>
      </c>
      <c r="L1381" s="4">
        <f t="shared" si="37"/>
        <v>10125</v>
      </c>
      <c r="M1381" s="3">
        <v>0.25</v>
      </c>
    </row>
    <row r="1382" spans="2:13" x14ac:dyDescent="0.3">
      <c r="B1382" t="s">
        <v>61</v>
      </c>
      <c r="C1382" s="1" t="s">
        <v>63</v>
      </c>
      <c r="D1382" s="2">
        <v>45130</v>
      </c>
      <c r="E1382" s="8" t="s">
        <v>6</v>
      </c>
      <c r="F1382" s="8" t="s">
        <v>21</v>
      </c>
      <c r="G1382" s="8" t="s">
        <v>21</v>
      </c>
      <c r="H1382" t="s">
        <v>15</v>
      </c>
      <c r="I1382" s="4">
        <v>5300</v>
      </c>
      <c r="J1382" s="8">
        <v>12</v>
      </c>
      <c r="K1382" s="4">
        <f t="shared" si="36"/>
        <v>63600</v>
      </c>
      <c r="L1382" s="4">
        <f t="shared" si="37"/>
        <v>19080</v>
      </c>
      <c r="M1382" s="3">
        <v>0.3</v>
      </c>
    </row>
    <row r="1383" spans="2:13" x14ac:dyDescent="0.3">
      <c r="B1383" t="s">
        <v>65</v>
      </c>
      <c r="C1383" s="1" t="s">
        <v>63</v>
      </c>
      <c r="D1383" s="2">
        <v>45137</v>
      </c>
      <c r="E1383" s="8" t="s">
        <v>6</v>
      </c>
      <c r="F1383" s="8" t="s">
        <v>21</v>
      </c>
      <c r="G1383" s="8" t="s">
        <v>21</v>
      </c>
      <c r="H1383" t="s">
        <v>10</v>
      </c>
      <c r="I1383" s="4">
        <v>1700</v>
      </c>
      <c r="J1383" s="8">
        <v>5</v>
      </c>
      <c r="K1383" s="4">
        <f t="shared" si="36"/>
        <v>8500</v>
      </c>
      <c r="L1383" s="4">
        <f t="shared" si="37"/>
        <v>4250</v>
      </c>
      <c r="M1383" s="3">
        <v>0.5</v>
      </c>
    </row>
    <row r="1384" spans="2:13" x14ac:dyDescent="0.3">
      <c r="B1384" t="s">
        <v>60</v>
      </c>
      <c r="C1384" s="1" t="s">
        <v>63</v>
      </c>
      <c r="D1384" s="2">
        <v>45137</v>
      </c>
      <c r="E1384" s="8" t="s">
        <v>6</v>
      </c>
      <c r="F1384" s="8" t="s">
        <v>21</v>
      </c>
      <c r="G1384" s="8" t="s">
        <v>21</v>
      </c>
      <c r="H1384" t="s">
        <v>13</v>
      </c>
      <c r="I1384" s="4">
        <v>3200</v>
      </c>
      <c r="J1384" s="8">
        <v>10</v>
      </c>
      <c r="K1384" s="4">
        <f t="shared" si="36"/>
        <v>32000</v>
      </c>
      <c r="L1384" s="4">
        <f t="shared" si="37"/>
        <v>6400</v>
      </c>
      <c r="M1384" s="3">
        <v>0.2</v>
      </c>
    </row>
    <row r="1385" spans="2:13" x14ac:dyDescent="0.3">
      <c r="B1385" t="s">
        <v>65</v>
      </c>
      <c r="C1385" s="1" t="s">
        <v>64</v>
      </c>
      <c r="D1385" s="2">
        <v>45137</v>
      </c>
      <c r="E1385" s="8" t="s">
        <v>6</v>
      </c>
      <c r="F1385" s="8" t="s">
        <v>21</v>
      </c>
      <c r="G1385" s="8" t="s">
        <v>21</v>
      </c>
      <c r="H1385" t="s">
        <v>16</v>
      </c>
      <c r="I1385" s="4">
        <v>3400</v>
      </c>
      <c r="J1385" s="8">
        <v>12</v>
      </c>
      <c r="K1385" s="4">
        <f t="shared" si="36"/>
        <v>40800</v>
      </c>
      <c r="L1385" s="4">
        <f t="shared" si="37"/>
        <v>14280</v>
      </c>
      <c r="M1385" s="3">
        <v>0.35</v>
      </c>
    </row>
    <row r="1386" spans="2:13" x14ac:dyDescent="0.3">
      <c r="B1386" t="s">
        <v>65</v>
      </c>
      <c r="C1386" s="1" t="s">
        <v>63</v>
      </c>
      <c r="D1386" s="2">
        <v>45144</v>
      </c>
      <c r="E1386" s="8" t="s">
        <v>6</v>
      </c>
      <c r="F1386" s="8" t="s">
        <v>21</v>
      </c>
      <c r="G1386" s="8" t="s">
        <v>21</v>
      </c>
      <c r="H1386" t="s">
        <v>10</v>
      </c>
      <c r="I1386" s="4">
        <v>1700</v>
      </c>
      <c r="J1386" s="8">
        <v>8</v>
      </c>
      <c r="K1386" s="4">
        <f t="shared" si="36"/>
        <v>13600</v>
      </c>
      <c r="L1386" s="4">
        <f t="shared" si="37"/>
        <v>6800</v>
      </c>
      <c r="M1386" s="3">
        <v>0.5</v>
      </c>
    </row>
    <row r="1387" spans="2:13" x14ac:dyDescent="0.3">
      <c r="B1387" t="s">
        <v>65</v>
      </c>
      <c r="C1387" s="1" t="s">
        <v>63</v>
      </c>
      <c r="D1387" s="2">
        <v>45144</v>
      </c>
      <c r="E1387" s="8" t="s">
        <v>6</v>
      </c>
      <c r="F1387" s="8" t="s">
        <v>21</v>
      </c>
      <c r="G1387" s="8" t="s">
        <v>21</v>
      </c>
      <c r="H1387" t="s">
        <v>16</v>
      </c>
      <c r="I1387" s="4">
        <v>3400</v>
      </c>
      <c r="J1387" s="8">
        <v>5</v>
      </c>
      <c r="K1387" s="4">
        <f t="shared" si="36"/>
        <v>17000</v>
      </c>
      <c r="L1387" s="4">
        <f t="shared" si="37"/>
        <v>5950</v>
      </c>
      <c r="M1387" s="3">
        <v>0.35</v>
      </c>
    </row>
    <row r="1388" spans="2:13" x14ac:dyDescent="0.3">
      <c r="B1388" t="s">
        <v>65</v>
      </c>
      <c r="C1388" s="1" t="s">
        <v>64</v>
      </c>
      <c r="D1388" s="2">
        <v>45144</v>
      </c>
      <c r="E1388" s="8" t="s">
        <v>6</v>
      </c>
      <c r="F1388" s="8" t="s">
        <v>21</v>
      </c>
      <c r="G1388" s="8" t="s">
        <v>21</v>
      </c>
      <c r="H1388" t="s">
        <v>18</v>
      </c>
      <c r="I1388" s="4">
        <v>4600</v>
      </c>
      <c r="J1388" s="8">
        <v>4</v>
      </c>
      <c r="K1388" s="4">
        <f t="shared" si="36"/>
        <v>18400</v>
      </c>
      <c r="L1388" s="4">
        <f t="shared" si="37"/>
        <v>4600</v>
      </c>
      <c r="M1388" s="3">
        <v>0.25</v>
      </c>
    </row>
    <row r="1389" spans="2:13" x14ac:dyDescent="0.3">
      <c r="B1389" t="s">
        <v>60</v>
      </c>
      <c r="C1389" s="1" t="s">
        <v>64</v>
      </c>
      <c r="D1389" s="2">
        <v>45151</v>
      </c>
      <c r="E1389" s="8" t="s">
        <v>6</v>
      </c>
      <c r="F1389" s="8" t="s">
        <v>21</v>
      </c>
      <c r="G1389" s="8" t="s">
        <v>21</v>
      </c>
      <c r="H1389" t="s">
        <v>9</v>
      </c>
      <c r="I1389" s="4">
        <v>1500</v>
      </c>
      <c r="J1389" s="8">
        <v>7</v>
      </c>
      <c r="K1389" s="4">
        <f t="shared" si="36"/>
        <v>10500</v>
      </c>
      <c r="L1389" s="4">
        <f t="shared" si="37"/>
        <v>4200</v>
      </c>
      <c r="M1389" s="3">
        <v>0.4</v>
      </c>
    </row>
    <row r="1390" spans="2:13" x14ac:dyDescent="0.3">
      <c r="B1390" t="s">
        <v>62</v>
      </c>
      <c r="C1390" s="1" t="s">
        <v>63</v>
      </c>
      <c r="D1390" s="2">
        <v>45151</v>
      </c>
      <c r="E1390" s="8" t="s">
        <v>6</v>
      </c>
      <c r="F1390" s="8" t="s">
        <v>21</v>
      </c>
      <c r="G1390" s="8" t="s">
        <v>21</v>
      </c>
      <c r="H1390" t="s">
        <v>13</v>
      </c>
      <c r="I1390" s="4">
        <v>3200</v>
      </c>
      <c r="J1390" s="8">
        <v>4</v>
      </c>
      <c r="K1390" s="4">
        <f t="shared" si="36"/>
        <v>12800</v>
      </c>
      <c r="L1390" s="4">
        <f t="shared" si="37"/>
        <v>2560</v>
      </c>
      <c r="M1390" s="3">
        <v>0.2</v>
      </c>
    </row>
    <row r="1391" spans="2:13" x14ac:dyDescent="0.3">
      <c r="B1391" t="s">
        <v>65</v>
      </c>
      <c r="C1391" s="1" t="s">
        <v>63</v>
      </c>
      <c r="D1391" s="2">
        <v>45151</v>
      </c>
      <c r="E1391" s="8" t="s">
        <v>6</v>
      </c>
      <c r="F1391" s="8" t="s">
        <v>21</v>
      </c>
      <c r="G1391" s="8" t="s">
        <v>21</v>
      </c>
      <c r="H1391" t="s">
        <v>19</v>
      </c>
      <c r="I1391" s="4">
        <v>5340</v>
      </c>
      <c r="J1391" s="8">
        <v>3</v>
      </c>
      <c r="K1391" s="4">
        <f t="shared" si="36"/>
        <v>16020</v>
      </c>
      <c r="L1391" s="4">
        <f t="shared" si="37"/>
        <v>4806</v>
      </c>
      <c r="M1391" s="3">
        <v>0.3</v>
      </c>
    </row>
    <row r="1392" spans="2:13" x14ac:dyDescent="0.3">
      <c r="B1392" t="s">
        <v>60</v>
      </c>
      <c r="C1392" s="1" t="s">
        <v>63</v>
      </c>
      <c r="D1392" s="2">
        <v>45158</v>
      </c>
      <c r="E1392" s="8" t="s">
        <v>6</v>
      </c>
      <c r="F1392" s="8" t="s">
        <v>21</v>
      </c>
      <c r="G1392" s="8" t="s">
        <v>21</v>
      </c>
      <c r="H1392" t="s">
        <v>9</v>
      </c>
      <c r="I1392" s="4">
        <v>1500</v>
      </c>
      <c r="J1392" s="8">
        <v>7</v>
      </c>
      <c r="K1392" s="4">
        <f t="shared" si="36"/>
        <v>10500</v>
      </c>
      <c r="L1392" s="4">
        <f t="shared" si="37"/>
        <v>4200</v>
      </c>
      <c r="M1392" s="3">
        <v>0.4</v>
      </c>
    </row>
    <row r="1393" spans="2:13" x14ac:dyDescent="0.3">
      <c r="B1393" t="s">
        <v>61</v>
      </c>
      <c r="C1393" s="1" t="s">
        <v>63</v>
      </c>
      <c r="D1393" s="2">
        <v>45158</v>
      </c>
      <c r="E1393" s="8" t="s">
        <v>6</v>
      </c>
      <c r="F1393" s="8" t="s">
        <v>21</v>
      </c>
      <c r="G1393" s="8" t="s">
        <v>21</v>
      </c>
      <c r="H1393" t="s">
        <v>10</v>
      </c>
      <c r="I1393" s="4">
        <v>1700</v>
      </c>
      <c r="J1393" s="8">
        <v>15</v>
      </c>
      <c r="K1393" s="4">
        <f t="shared" si="36"/>
        <v>25500</v>
      </c>
      <c r="L1393" s="4">
        <f t="shared" si="37"/>
        <v>12750</v>
      </c>
      <c r="M1393" s="3">
        <v>0.5</v>
      </c>
    </row>
    <row r="1394" spans="2:13" x14ac:dyDescent="0.3">
      <c r="B1394" t="s">
        <v>61</v>
      </c>
      <c r="C1394" s="1" t="s">
        <v>64</v>
      </c>
      <c r="D1394" s="2">
        <v>45158</v>
      </c>
      <c r="E1394" s="8" t="s">
        <v>6</v>
      </c>
      <c r="F1394" s="8" t="s">
        <v>21</v>
      </c>
      <c r="G1394" s="8" t="s">
        <v>21</v>
      </c>
      <c r="H1394" t="s">
        <v>17</v>
      </c>
      <c r="I1394" s="4">
        <v>5130</v>
      </c>
      <c r="J1394" s="8">
        <v>12</v>
      </c>
      <c r="K1394" s="4">
        <f t="shared" si="36"/>
        <v>61560</v>
      </c>
      <c r="L1394" s="4">
        <f t="shared" si="37"/>
        <v>24624</v>
      </c>
      <c r="M1394" s="3">
        <v>0.4</v>
      </c>
    </row>
    <row r="1395" spans="2:13" x14ac:dyDescent="0.3">
      <c r="B1395" t="s">
        <v>60</v>
      </c>
      <c r="C1395" s="1" t="s">
        <v>64</v>
      </c>
      <c r="D1395" s="2">
        <v>45165</v>
      </c>
      <c r="E1395" s="8" t="s">
        <v>6</v>
      </c>
      <c r="F1395" s="8" t="s">
        <v>21</v>
      </c>
      <c r="G1395" s="8" t="s">
        <v>21</v>
      </c>
      <c r="H1395" t="s">
        <v>10</v>
      </c>
      <c r="I1395" s="4">
        <v>1700</v>
      </c>
      <c r="J1395" s="8">
        <v>1</v>
      </c>
      <c r="K1395" s="4">
        <f t="shared" si="36"/>
        <v>1700</v>
      </c>
      <c r="L1395" s="4">
        <f t="shared" si="37"/>
        <v>850</v>
      </c>
      <c r="M1395" s="3">
        <v>0.5</v>
      </c>
    </row>
    <row r="1396" spans="2:13" x14ac:dyDescent="0.3">
      <c r="B1396" t="s">
        <v>60</v>
      </c>
      <c r="C1396" s="1" t="s">
        <v>63</v>
      </c>
      <c r="D1396" s="2">
        <v>45165</v>
      </c>
      <c r="E1396" s="8" t="s">
        <v>6</v>
      </c>
      <c r="F1396" s="8" t="s">
        <v>21</v>
      </c>
      <c r="G1396" s="8" t="s">
        <v>21</v>
      </c>
      <c r="H1396" t="s">
        <v>13</v>
      </c>
      <c r="I1396" s="4">
        <v>3200</v>
      </c>
      <c r="J1396" s="8">
        <v>8</v>
      </c>
      <c r="K1396" s="4">
        <f t="shared" si="36"/>
        <v>25600</v>
      </c>
      <c r="L1396" s="4">
        <f t="shared" si="37"/>
        <v>5120</v>
      </c>
      <c r="M1396" s="3">
        <v>0.2</v>
      </c>
    </row>
    <row r="1397" spans="2:13" x14ac:dyDescent="0.3">
      <c r="B1397" t="s">
        <v>61</v>
      </c>
      <c r="C1397" s="1" t="s">
        <v>64</v>
      </c>
      <c r="D1397" s="2">
        <v>45165</v>
      </c>
      <c r="E1397" s="8" t="s">
        <v>6</v>
      </c>
      <c r="F1397" s="8" t="s">
        <v>21</v>
      </c>
      <c r="G1397" s="8" t="s">
        <v>21</v>
      </c>
      <c r="H1397" t="s">
        <v>14</v>
      </c>
      <c r="I1397" s="4">
        <v>4500</v>
      </c>
      <c r="J1397" s="8">
        <v>16</v>
      </c>
      <c r="K1397" s="4">
        <f t="shared" si="36"/>
        <v>72000</v>
      </c>
      <c r="L1397" s="4">
        <f t="shared" si="37"/>
        <v>18000</v>
      </c>
      <c r="M1397" s="3">
        <v>0.25</v>
      </c>
    </row>
    <row r="1398" spans="2:13" x14ac:dyDescent="0.3">
      <c r="B1398" t="s">
        <v>60</v>
      </c>
      <c r="C1398" s="1" t="s">
        <v>63</v>
      </c>
      <c r="D1398" s="2">
        <v>44562</v>
      </c>
      <c r="E1398" s="8" t="s">
        <v>6</v>
      </c>
      <c r="F1398" s="8" t="s">
        <v>7</v>
      </c>
      <c r="G1398" s="8" t="s">
        <v>7</v>
      </c>
      <c r="H1398" t="s">
        <v>16</v>
      </c>
      <c r="I1398" s="4">
        <v>3400</v>
      </c>
      <c r="J1398" s="8">
        <v>1</v>
      </c>
      <c r="K1398" s="4">
        <f t="shared" si="36"/>
        <v>3400</v>
      </c>
      <c r="L1398" s="4">
        <f t="shared" si="37"/>
        <v>1190</v>
      </c>
      <c r="M1398" s="3">
        <v>0.35</v>
      </c>
    </row>
    <row r="1399" spans="2:13" x14ac:dyDescent="0.3">
      <c r="B1399" t="s">
        <v>65</v>
      </c>
      <c r="C1399" s="1" t="s">
        <v>63</v>
      </c>
      <c r="D1399" s="2">
        <v>44562</v>
      </c>
      <c r="E1399" s="8" t="s">
        <v>6</v>
      </c>
      <c r="F1399" s="8" t="s">
        <v>7</v>
      </c>
      <c r="G1399" s="8" t="s">
        <v>7</v>
      </c>
      <c r="H1399" t="s">
        <v>12</v>
      </c>
      <c r="I1399" s="4">
        <v>500</v>
      </c>
      <c r="J1399" s="8">
        <v>8</v>
      </c>
      <c r="K1399" s="4">
        <f t="shared" si="36"/>
        <v>4000</v>
      </c>
      <c r="L1399" s="4">
        <f t="shared" si="37"/>
        <v>1000</v>
      </c>
      <c r="M1399" s="3">
        <v>0.25</v>
      </c>
    </row>
    <row r="1400" spans="2:13" x14ac:dyDescent="0.3">
      <c r="B1400" t="s">
        <v>65</v>
      </c>
      <c r="C1400" s="1" t="s">
        <v>63</v>
      </c>
      <c r="D1400" s="2">
        <v>44562</v>
      </c>
      <c r="E1400" s="8" t="s">
        <v>6</v>
      </c>
      <c r="F1400" s="8" t="s">
        <v>7</v>
      </c>
      <c r="G1400" s="8" t="s">
        <v>7</v>
      </c>
      <c r="H1400" t="s">
        <v>17</v>
      </c>
      <c r="I1400" s="4">
        <v>5130</v>
      </c>
      <c r="J1400" s="8">
        <v>9</v>
      </c>
      <c r="K1400" s="4">
        <f t="shared" si="36"/>
        <v>46170</v>
      </c>
      <c r="L1400" s="4">
        <f t="shared" si="37"/>
        <v>18468</v>
      </c>
      <c r="M1400" s="3">
        <v>0.4</v>
      </c>
    </row>
    <row r="1401" spans="2:13" x14ac:dyDescent="0.3">
      <c r="B1401" t="s">
        <v>66</v>
      </c>
      <c r="C1401" s="1" t="s">
        <v>64</v>
      </c>
      <c r="D1401" s="2">
        <v>44562</v>
      </c>
      <c r="E1401" s="8" t="s">
        <v>6</v>
      </c>
      <c r="F1401" s="8" t="s">
        <v>7</v>
      </c>
      <c r="G1401" s="8" t="s">
        <v>7</v>
      </c>
      <c r="H1401" t="s">
        <v>14</v>
      </c>
      <c r="I1401" s="4">
        <v>4500</v>
      </c>
      <c r="J1401" s="8">
        <v>12</v>
      </c>
      <c r="K1401" s="4">
        <f t="shared" si="36"/>
        <v>54000</v>
      </c>
      <c r="L1401" s="4">
        <f t="shared" si="37"/>
        <v>13500</v>
      </c>
      <c r="M1401" s="3">
        <v>0.25</v>
      </c>
    </row>
    <row r="1402" spans="2:13" x14ac:dyDescent="0.3">
      <c r="B1402" t="s">
        <v>66</v>
      </c>
      <c r="C1402" s="1" t="s">
        <v>63</v>
      </c>
      <c r="D1402" s="2">
        <v>44577</v>
      </c>
      <c r="E1402" s="8" t="s">
        <v>6</v>
      </c>
      <c r="F1402" s="8" t="s">
        <v>7</v>
      </c>
      <c r="G1402" s="8" t="s">
        <v>7</v>
      </c>
      <c r="H1402" t="s">
        <v>11</v>
      </c>
      <c r="I1402" s="4">
        <v>300</v>
      </c>
      <c r="J1402" s="8">
        <v>10</v>
      </c>
      <c r="K1402" s="4">
        <f t="shared" si="36"/>
        <v>3000</v>
      </c>
      <c r="L1402" s="4">
        <f t="shared" si="37"/>
        <v>450</v>
      </c>
      <c r="M1402" s="3">
        <v>0.15</v>
      </c>
    </row>
    <row r="1403" spans="2:13" x14ac:dyDescent="0.3">
      <c r="B1403" t="s">
        <v>60</v>
      </c>
      <c r="C1403" s="1" t="s">
        <v>63</v>
      </c>
      <c r="D1403" s="2">
        <v>44577</v>
      </c>
      <c r="E1403" s="8" t="s">
        <v>6</v>
      </c>
      <c r="F1403" s="8" t="s">
        <v>7</v>
      </c>
      <c r="G1403" s="8" t="s">
        <v>7</v>
      </c>
      <c r="H1403" t="s">
        <v>8</v>
      </c>
      <c r="I1403" s="4">
        <v>1200</v>
      </c>
      <c r="J1403" s="8">
        <v>8</v>
      </c>
      <c r="K1403" s="4">
        <f t="shared" si="36"/>
        <v>9600</v>
      </c>
      <c r="L1403" s="4">
        <f t="shared" si="37"/>
        <v>2880</v>
      </c>
      <c r="M1403" s="3">
        <v>0.3</v>
      </c>
    </row>
    <row r="1404" spans="2:13" x14ac:dyDescent="0.3">
      <c r="B1404" t="s">
        <v>62</v>
      </c>
      <c r="C1404" s="1" t="s">
        <v>63</v>
      </c>
      <c r="D1404" s="2">
        <v>44577</v>
      </c>
      <c r="E1404" s="8" t="s">
        <v>6</v>
      </c>
      <c r="F1404" s="8" t="s">
        <v>7</v>
      </c>
      <c r="G1404" s="8" t="s">
        <v>7</v>
      </c>
      <c r="H1404" t="s">
        <v>16</v>
      </c>
      <c r="I1404" s="4">
        <v>3400</v>
      </c>
      <c r="J1404" s="8">
        <v>10</v>
      </c>
      <c r="K1404" s="4">
        <f t="shared" si="36"/>
        <v>34000</v>
      </c>
      <c r="L1404" s="4">
        <f t="shared" si="37"/>
        <v>11900</v>
      </c>
      <c r="M1404" s="3">
        <v>0.35</v>
      </c>
    </row>
    <row r="1405" spans="2:13" x14ac:dyDescent="0.3">
      <c r="B1405" t="s">
        <v>62</v>
      </c>
      <c r="C1405" s="1" t="s">
        <v>63</v>
      </c>
      <c r="D1405" s="2">
        <v>44577</v>
      </c>
      <c r="E1405" s="8" t="s">
        <v>6</v>
      </c>
      <c r="F1405" s="8" t="s">
        <v>7</v>
      </c>
      <c r="G1405" s="8" t="s">
        <v>7</v>
      </c>
      <c r="H1405" t="s">
        <v>20</v>
      </c>
      <c r="I1405" s="4">
        <v>8902</v>
      </c>
      <c r="J1405" s="8">
        <v>12</v>
      </c>
      <c r="K1405" s="4">
        <f t="shared" si="36"/>
        <v>106824</v>
      </c>
      <c r="L1405" s="4">
        <f t="shared" si="37"/>
        <v>37388.399999999994</v>
      </c>
      <c r="M1405" s="3">
        <v>0.35</v>
      </c>
    </row>
    <row r="1406" spans="2:13" x14ac:dyDescent="0.3">
      <c r="B1406" t="s">
        <v>62</v>
      </c>
      <c r="C1406" s="1" t="s">
        <v>63</v>
      </c>
      <c r="D1406" s="2">
        <v>44584</v>
      </c>
      <c r="E1406" s="8" t="s">
        <v>6</v>
      </c>
      <c r="F1406" s="8" t="s">
        <v>7</v>
      </c>
      <c r="G1406" s="8" t="s">
        <v>7</v>
      </c>
      <c r="H1406" t="s">
        <v>14</v>
      </c>
      <c r="I1406" s="4">
        <v>4500</v>
      </c>
      <c r="J1406" s="8">
        <v>1</v>
      </c>
      <c r="K1406" s="4">
        <f t="shared" si="36"/>
        <v>4500</v>
      </c>
      <c r="L1406" s="4">
        <f t="shared" si="37"/>
        <v>1125</v>
      </c>
      <c r="M1406" s="3">
        <v>0.25</v>
      </c>
    </row>
    <row r="1407" spans="2:13" x14ac:dyDescent="0.3">
      <c r="B1407" t="s">
        <v>62</v>
      </c>
      <c r="C1407" s="1" t="s">
        <v>64</v>
      </c>
      <c r="D1407" s="2">
        <v>44584</v>
      </c>
      <c r="E1407" s="8" t="s">
        <v>6</v>
      </c>
      <c r="F1407" s="8" t="s">
        <v>7</v>
      </c>
      <c r="G1407" s="8" t="s">
        <v>7</v>
      </c>
      <c r="H1407" t="s">
        <v>16</v>
      </c>
      <c r="I1407" s="4">
        <v>3400</v>
      </c>
      <c r="J1407" s="8">
        <v>4</v>
      </c>
      <c r="K1407" s="4">
        <f t="shared" si="36"/>
        <v>13600</v>
      </c>
      <c r="L1407" s="4">
        <f t="shared" si="37"/>
        <v>4760</v>
      </c>
      <c r="M1407" s="3">
        <v>0.35</v>
      </c>
    </row>
    <row r="1408" spans="2:13" x14ac:dyDescent="0.3">
      <c r="B1408" t="s">
        <v>66</v>
      </c>
      <c r="C1408" s="1" t="s">
        <v>63</v>
      </c>
      <c r="D1408" s="2">
        <v>44584</v>
      </c>
      <c r="E1408" s="8" t="s">
        <v>6</v>
      </c>
      <c r="F1408" s="8" t="s">
        <v>7</v>
      </c>
      <c r="G1408" s="8" t="s">
        <v>7</v>
      </c>
      <c r="H1408" t="s">
        <v>19</v>
      </c>
      <c r="I1408" s="4">
        <v>5340</v>
      </c>
      <c r="J1408" s="8">
        <v>4</v>
      </c>
      <c r="K1408" s="4">
        <f t="shared" si="36"/>
        <v>21360</v>
      </c>
      <c r="L1408" s="4">
        <f t="shared" si="37"/>
        <v>6408</v>
      </c>
      <c r="M1408" s="3">
        <v>0.3</v>
      </c>
    </row>
    <row r="1409" spans="2:13" x14ac:dyDescent="0.3">
      <c r="B1409" t="s">
        <v>62</v>
      </c>
      <c r="C1409" s="1" t="s">
        <v>63</v>
      </c>
      <c r="D1409" s="2">
        <v>44584</v>
      </c>
      <c r="E1409" s="8" t="s">
        <v>6</v>
      </c>
      <c r="F1409" s="8" t="s">
        <v>7</v>
      </c>
      <c r="G1409" s="8" t="s">
        <v>7</v>
      </c>
      <c r="H1409" t="s">
        <v>18</v>
      </c>
      <c r="I1409" s="4">
        <v>4600</v>
      </c>
      <c r="J1409" s="8">
        <v>9</v>
      </c>
      <c r="K1409" s="4">
        <f t="shared" si="36"/>
        <v>41400</v>
      </c>
      <c r="L1409" s="4">
        <f t="shared" si="37"/>
        <v>10350</v>
      </c>
      <c r="M1409" s="3">
        <v>0.25</v>
      </c>
    </row>
    <row r="1410" spans="2:13" x14ac:dyDescent="0.3">
      <c r="B1410" t="s">
        <v>62</v>
      </c>
      <c r="C1410" s="1" t="s">
        <v>63</v>
      </c>
      <c r="D1410" s="2">
        <v>44591</v>
      </c>
      <c r="E1410" s="8" t="s">
        <v>6</v>
      </c>
      <c r="F1410" s="8" t="s">
        <v>7</v>
      </c>
      <c r="G1410" s="8" t="s">
        <v>7</v>
      </c>
      <c r="H1410" t="s">
        <v>12</v>
      </c>
      <c r="I1410" s="4">
        <v>500</v>
      </c>
      <c r="J1410" s="8">
        <v>3</v>
      </c>
      <c r="K1410" s="4">
        <f t="shared" si="36"/>
        <v>1500</v>
      </c>
      <c r="L1410" s="4">
        <f t="shared" si="37"/>
        <v>375</v>
      </c>
      <c r="M1410" s="3">
        <v>0.25</v>
      </c>
    </row>
    <row r="1411" spans="2:13" x14ac:dyDescent="0.3">
      <c r="B1411" t="s">
        <v>66</v>
      </c>
      <c r="C1411" s="1" t="s">
        <v>63</v>
      </c>
      <c r="D1411" s="2">
        <v>44591</v>
      </c>
      <c r="E1411" s="8" t="s">
        <v>6</v>
      </c>
      <c r="F1411" s="8" t="s">
        <v>7</v>
      </c>
      <c r="G1411" s="8" t="s">
        <v>7</v>
      </c>
      <c r="H1411" t="s">
        <v>13</v>
      </c>
      <c r="I1411" s="4">
        <v>3200</v>
      </c>
      <c r="J1411" s="8">
        <v>6</v>
      </c>
      <c r="K1411" s="4">
        <f t="shared" si="36"/>
        <v>19200</v>
      </c>
      <c r="L1411" s="4">
        <f t="shared" si="37"/>
        <v>3840</v>
      </c>
      <c r="M1411" s="3">
        <v>0.2</v>
      </c>
    </row>
    <row r="1412" spans="2:13" x14ac:dyDescent="0.3">
      <c r="B1412" t="s">
        <v>65</v>
      </c>
      <c r="C1412" s="1" t="s">
        <v>63</v>
      </c>
      <c r="D1412" s="2">
        <v>44591</v>
      </c>
      <c r="E1412" s="8" t="s">
        <v>6</v>
      </c>
      <c r="F1412" s="8" t="s">
        <v>7</v>
      </c>
      <c r="G1412" s="8" t="s">
        <v>7</v>
      </c>
      <c r="H1412" t="s">
        <v>18</v>
      </c>
      <c r="I1412" s="4">
        <v>4600</v>
      </c>
      <c r="J1412" s="8">
        <v>7</v>
      </c>
      <c r="K1412" s="4">
        <f t="shared" si="36"/>
        <v>32200</v>
      </c>
      <c r="L1412" s="4">
        <f t="shared" si="37"/>
        <v>8050</v>
      </c>
      <c r="M1412" s="3">
        <v>0.25</v>
      </c>
    </row>
    <row r="1413" spans="2:13" x14ac:dyDescent="0.3">
      <c r="B1413" t="s">
        <v>62</v>
      </c>
      <c r="C1413" s="1" t="s">
        <v>63</v>
      </c>
      <c r="D1413" s="2">
        <v>44591</v>
      </c>
      <c r="E1413" s="8" t="s">
        <v>6</v>
      </c>
      <c r="F1413" s="8" t="s">
        <v>7</v>
      </c>
      <c r="G1413" s="8" t="s">
        <v>7</v>
      </c>
      <c r="H1413" t="s">
        <v>15</v>
      </c>
      <c r="I1413" s="4">
        <v>5300</v>
      </c>
      <c r="J1413" s="8">
        <v>10</v>
      </c>
      <c r="K1413" s="4">
        <f t="shared" si="36"/>
        <v>53000</v>
      </c>
      <c r="L1413" s="4">
        <f t="shared" si="37"/>
        <v>15900</v>
      </c>
      <c r="M1413" s="3">
        <v>0.3</v>
      </c>
    </row>
    <row r="1414" spans="2:13" x14ac:dyDescent="0.3">
      <c r="B1414" t="s">
        <v>65</v>
      </c>
      <c r="C1414" s="1" t="s">
        <v>63</v>
      </c>
      <c r="D1414" s="2">
        <v>44598</v>
      </c>
      <c r="E1414" s="8" t="s">
        <v>6</v>
      </c>
      <c r="F1414" s="8" t="s">
        <v>7</v>
      </c>
      <c r="G1414" s="8" t="s">
        <v>7</v>
      </c>
      <c r="H1414" t="s">
        <v>17</v>
      </c>
      <c r="I1414" s="4">
        <v>5130</v>
      </c>
      <c r="J1414" s="8">
        <v>3</v>
      </c>
      <c r="K1414" s="4">
        <f t="shared" si="36"/>
        <v>15390</v>
      </c>
      <c r="L1414" s="4">
        <f t="shared" si="37"/>
        <v>6156</v>
      </c>
      <c r="M1414" s="3">
        <v>0.4</v>
      </c>
    </row>
    <row r="1415" spans="2:13" x14ac:dyDescent="0.3">
      <c r="B1415" t="s">
        <v>62</v>
      </c>
      <c r="C1415" s="1" t="s">
        <v>63</v>
      </c>
      <c r="D1415" s="2">
        <v>44598</v>
      </c>
      <c r="E1415" s="8" t="s">
        <v>6</v>
      </c>
      <c r="F1415" s="8" t="s">
        <v>7</v>
      </c>
      <c r="G1415" s="8" t="s">
        <v>7</v>
      </c>
      <c r="H1415" t="s">
        <v>16</v>
      </c>
      <c r="I1415" s="4">
        <v>3400</v>
      </c>
      <c r="J1415" s="8">
        <v>5</v>
      </c>
      <c r="K1415" s="4">
        <f t="shared" si="36"/>
        <v>17000</v>
      </c>
      <c r="L1415" s="4">
        <f t="shared" si="37"/>
        <v>5950</v>
      </c>
      <c r="M1415" s="3">
        <v>0.35</v>
      </c>
    </row>
    <row r="1416" spans="2:13" x14ac:dyDescent="0.3">
      <c r="B1416" t="s">
        <v>66</v>
      </c>
      <c r="C1416" s="1" t="s">
        <v>64</v>
      </c>
      <c r="D1416" s="2">
        <v>44598</v>
      </c>
      <c r="E1416" s="8" t="s">
        <v>6</v>
      </c>
      <c r="F1416" s="8" t="s">
        <v>7</v>
      </c>
      <c r="G1416" s="8" t="s">
        <v>7</v>
      </c>
      <c r="H1416" t="s">
        <v>20</v>
      </c>
      <c r="I1416" s="4">
        <v>8902</v>
      </c>
      <c r="J1416" s="8">
        <v>5</v>
      </c>
      <c r="K1416" s="4">
        <f t="shared" si="36"/>
        <v>44510</v>
      </c>
      <c r="L1416" s="4">
        <f t="shared" si="37"/>
        <v>15578.499999999998</v>
      </c>
      <c r="M1416" s="3">
        <v>0.35</v>
      </c>
    </row>
    <row r="1417" spans="2:13" x14ac:dyDescent="0.3">
      <c r="B1417" t="s">
        <v>65</v>
      </c>
      <c r="C1417" s="1" t="s">
        <v>63</v>
      </c>
      <c r="D1417" s="2">
        <v>44598</v>
      </c>
      <c r="E1417" s="8" t="s">
        <v>6</v>
      </c>
      <c r="F1417" s="8" t="s">
        <v>7</v>
      </c>
      <c r="G1417" s="8" t="s">
        <v>7</v>
      </c>
      <c r="H1417" t="s">
        <v>19</v>
      </c>
      <c r="I1417" s="4">
        <v>5340</v>
      </c>
      <c r="J1417" s="8">
        <v>9</v>
      </c>
      <c r="K1417" s="4">
        <f t="shared" si="36"/>
        <v>48060</v>
      </c>
      <c r="L1417" s="4">
        <f t="shared" si="37"/>
        <v>14418</v>
      </c>
      <c r="M1417" s="3">
        <v>0.3</v>
      </c>
    </row>
    <row r="1418" spans="2:13" x14ac:dyDescent="0.3">
      <c r="B1418" t="s">
        <v>65</v>
      </c>
      <c r="C1418" s="1" t="s">
        <v>63</v>
      </c>
      <c r="D1418" s="2">
        <v>44605</v>
      </c>
      <c r="E1418" s="8" t="s">
        <v>6</v>
      </c>
      <c r="F1418" s="8" t="s">
        <v>7</v>
      </c>
      <c r="G1418" s="8" t="s">
        <v>7</v>
      </c>
      <c r="H1418" t="s">
        <v>17</v>
      </c>
      <c r="I1418" s="4">
        <v>5130</v>
      </c>
      <c r="J1418" s="8">
        <v>3</v>
      </c>
      <c r="K1418" s="4">
        <f t="shared" si="36"/>
        <v>15390</v>
      </c>
      <c r="L1418" s="4">
        <f t="shared" si="37"/>
        <v>6156</v>
      </c>
      <c r="M1418" s="3">
        <v>0.4</v>
      </c>
    </row>
    <row r="1419" spans="2:13" x14ac:dyDescent="0.3">
      <c r="B1419" t="s">
        <v>65</v>
      </c>
      <c r="C1419" s="1" t="s">
        <v>63</v>
      </c>
      <c r="D1419" s="2">
        <v>44605</v>
      </c>
      <c r="E1419" s="8" t="s">
        <v>6</v>
      </c>
      <c r="F1419" s="8" t="s">
        <v>7</v>
      </c>
      <c r="G1419" s="8" t="s">
        <v>7</v>
      </c>
      <c r="H1419" t="s">
        <v>18</v>
      </c>
      <c r="I1419" s="4">
        <v>4600</v>
      </c>
      <c r="J1419" s="8">
        <v>7</v>
      </c>
      <c r="K1419" s="4">
        <f t="shared" si="36"/>
        <v>32200</v>
      </c>
      <c r="L1419" s="4">
        <f t="shared" si="37"/>
        <v>8050</v>
      </c>
      <c r="M1419" s="3">
        <v>0.25</v>
      </c>
    </row>
    <row r="1420" spans="2:13" x14ac:dyDescent="0.3">
      <c r="B1420" t="s">
        <v>60</v>
      </c>
      <c r="C1420" s="1" t="s">
        <v>64</v>
      </c>
      <c r="D1420" s="2">
        <v>44605</v>
      </c>
      <c r="E1420" s="8" t="s">
        <v>6</v>
      </c>
      <c r="F1420" s="8" t="s">
        <v>7</v>
      </c>
      <c r="G1420" s="8" t="s">
        <v>7</v>
      </c>
      <c r="H1420" t="s">
        <v>19</v>
      </c>
      <c r="I1420" s="4">
        <v>5340</v>
      </c>
      <c r="J1420" s="8">
        <v>10</v>
      </c>
      <c r="K1420" s="4">
        <f t="shared" si="36"/>
        <v>53400</v>
      </c>
      <c r="L1420" s="4">
        <f t="shared" si="37"/>
        <v>16020</v>
      </c>
      <c r="M1420" s="3">
        <v>0.3</v>
      </c>
    </row>
    <row r="1421" spans="2:13" x14ac:dyDescent="0.3">
      <c r="B1421" t="s">
        <v>65</v>
      </c>
      <c r="C1421" s="1" t="s">
        <v>63</v>
      </c>
      <c r="D1421" s="2">
        <v>44605</v>
      </c>
      <c r="E1421" s="8" t="s">
        <v>6</v>
      </c>
      <c r="F1421" s="8" t="s">
        <v>7</v>
      </c>
      <c r="G1421" s="8" t="s">
        <v>7</v>
      </c>
      <c r="H1421" t="s">
        <v>18</v>
      </c>
      <c r="I1421" s="4">
        <v>4600</v>
      </c>
      <c r="J1421" s="8">
        <v>12</v>
      </c>
      <c r="K1421" s="4">
        <f t="shared" si="36"/>
        <v>55200</v>
      </c>
      <c r="L1421" s="4">
        <f t="shared" si="37"/>
        <v>13800</v>
      </c>
      <c r="M1421" s="3">
        <v>0.25</v>
      </c>
    </row>
    <row r="1422" spans="2:13" x14ac:dyDescent="0.3">
      <c r="B1422" t="s">
        <v>60</v>
      </c>
      <c r="C1422" s="1" t="s">
        <v>63</v>
      </c>
      <c r="D1422" s="2">
        <v>44612</v>
      </c>
      <c r="E1422" s="8" t="s">
        <v>6</v>
      </c>
      <c r="F1422" s="8" t="s">
        <v>7</v>
      </c>
      <c r="G1422" s="8" t="s">
        <v>7</v>
      </c>
      <c r="H1422" t="s">
        <v>9</v>
      </c>
      <c r="I1422" s="4">
        <v>1500</v>
      </c>
      <c r="J1422" s="8">
        <v>3</v>
      </c>
      <c r="K1422" s="4">
        <f t="shared" si="36"/>
        <v>4500</v>
      </c>
      <c r="L1422" s="4">
        <f t="shared" si="37"/>
        <v>1800</v>
      </c>
      <c r="M1422" s="3">
        <v>0.4</v>
      </c>
    </row>
    <row r="1423" spans="2:13" x14ac:dyDescent="0.3">
      <c r="B1423" t="s">
        <v>60</v>
      </c>
      <c r="C1423" s="1" t="s">
        <v>63</v>
      </c>
      <c r="D1423" s="2">
        <v>44612</v>
      </c>
      <c r="E1423" s="8" t="s">
        <v>6</v>
      </c>
      <c r="F1423" s="8" t="s">
        <v>7</v>
      </c>
      <c r="G1423" s="8" t="s">
        <v>7</v>
      </c>
      <c r="H1423" t="s">
        <v>10</v>
      </c>
      <c r="I1423" s="4">
        <v>1700</v>
      </c>
      <c r="J1423" s="8">
        <v>8</v>
      </c>
      <c r="K1423" s="4">
        <f t="shared" si="36"/>
        <v>13600</v>
      </c>
      <c r="L1423" s="4">
        <f t="shared" si="37"/>
        <v>6800</v>
      </c>
      <c r="M1423" s="3">
        <v>0.5</v>
      </c>
    </row>
    <row r="1424" spans="2:13" x14ac:dyDescent="0.3">
      <c r="B1424" t="s">
        <v>62</v>
      </c>
      <c r="C1424" s="1" t="s">
        <v>64</v>
      </c>
      <c r="D1424" s="2">
        <v>44612</v>
      </c>
      <c r="E1424" s="8" t="s">
        <v>6</v>
      </c>
      <c r="F1424" s="8" t="s">
        <v>7</v>
      </c>
      <c r="G1424" s="8" t="s">
        <v>7</v>
      </c>
      <c r="H1424" t="s">
        <v>13</v>
      </c>
      <c r="I1424" s="4">
        <v>3200</v>
      </c>
      <c r="J1424" s="8">
        <v>5</v>
      </c>
      <c r="K1424" s="4">
        <f t="shared" si="36"/>
        <v>16000</v>
      </c>
      <c r="L1424" s="4">
        <f t="shared" si="37"/>
        <v>3200</v>
      </c>
      <c r="M1424" s="3">
        <v>0.2</v>
      </c>
    </row>
    <row r="1425" spans="2:13" x14ac:dyDescent="0.3">
      <c r="B1425" t="s">
        <v>65</v>
      </c>
      <c r="C1425" s="1" t="s">
        <v>64</v>
      </c>
      <c r="D1425" s="2">
        <v>44612</v>
      </c>
      <c r="E1425" s="8" t="s">
        <v>6</v>
      </c>
      <c r="F1425" s="8" t="s">
        <v>7</v>
      </c>
      <c r="G1425" s="8" t="s">
        <v>7</v>
      </c>
      <c r="H1425" t="s">
        <v>18</v>
      </c>
      <c r="I1425" s="4">
        <v>4600</v>
      </c>
      <c r="J1425" s="8">
        <v>4</v>
      </c>
      <c r="K1425" s="4">
        <f t="shared" si="36"/>
        <v>18400</v>
      </c>
      <c r="L1425" s="4">
        <f t="shared" si="37"/>
        <v>4600</v>
      </c>
      <c r="M1425" s="3">
        <v>0.25</v>
      </c>
    </row>
    <row r="1426" spans="2:13" x14ac:dyDescent="0.3">
      <c r="B1426" t="s">
        <v>60</v>
      </c>
      <c r="C1426" s="1" t="s">
        <v>64</v>
      </c>
      <c r="D1426" s="2">
        <v>44619</v>
      </c>
      <c r="E1426" s="8" t="s">
        <v>6</v>
      </c>
      <c r="F1426" s="8" t="s">
        <v>7</v>
      </c>
      <c r="G1426" s="8" t="s">
        <v>7</v>
      </c>
      <c r="H1426" t="s">
        <v>12</v>
      </c>
      <c r="I1426" s="4">
        <v>500</v>
      </c>
      <c r="J1426" s="8">
        <v>1</v>
      </c>
      <c r="K1426" s="4">
        <f t="shared" si="36"/>
        <v>500</v>
      </c>
      <c r="L1426" s="4">
        <f t="shared" si="37"/>
        <v>125</v>
      </c>
      <c r="M1426" s="3">
        <v>0.25</v>
      </c>
    </row>
    <row r="1427" spans="2:13" x14ac:dyDescent="0.3">
      <c r="B1427" t="s">
        <v>62</v>
      </c>
      <c r="C1427" s="1" t="s">
        <v>63</v>
      </c>
      <c r="D1427" s="2">
        <v>44619</v>
      </c>
      <c r="E1427" s="8" t="s">
        <v>6</v>
      </c>
      <c r="F1427" s="8" t="s">
        <v>7</v>
      </c>
      <c r="G1427" s="8" t="s">
        <v>7</v>
      </c>
      <c r="H1427" t="s">
        <v>12</v>
      </c>
      <c r="I1427" s="4">
        <v>500</v>
      </c>
      <c r="J1427" s="8">
        <v>2</v>
      </c>
      <c r="K1427" s="4">
        <f t="shared" si="36"/>
        <v>1000</v>
      </c>
      <c r="L1427" s="4">
        <f t="shared" si="37"/>
        <v>250</v>
      </c>
      <c r="M1427" s="3">
        <v>0.25</v>
      </c>
    </row>
    <row r="1428" spans="2:13" x14ac:dyDescent="0.3">
      <c r="B1428" t="s">
        <v>61</v>
      </c>
      <c r="C1428" s="1" t="s">
        <v>63</v>
      </c>
      <c r="D1428" s="2">
        <v>44619</v>
      </c>
      <c r="E1428" s="8" t="s">
        <v>6</v>
      </c>
      <c r="F1428" s="8" t="s">
        <v>7</v>
      </c>
      <c r="G1428" s="8" t="s">
        <v>7</v>
      </c>
      <c r="H1428" t="s">
        <v>20</v>
      </c>
      <c r="I1428" s="4">
        <v>8902</v>
      </c>
      <c r="J1428" s="8">
        <v>1</v>
      </c>
      <c r="K1428" s="4">
        <f t="shared" si="36"/>
        <v>8902</v>
      </c>
      <c r="L1428" s="4">
        <f t="shared" si="37"/>
        <v>3115.7</v>
      </c>
      <c r="M1428" s="3">
        <v>0.35</v>
      </c>
    </row>
    <row r="1429" spans="2:13" x14ac:dyDescent="0.3">
      <c r="B1429" t="s">
        <v>62</v>
      </c>
      <c r="C1429" s="1" t="s">
        <v>64</v>
      </c>
      <c r="D1429" s="2">
        <v>44619</v>
      </c>
      <c r="E1429" s="8" t="s">
        <v>6</v>
      </c>
      <c r="F1429" s="8" t="s">
        <v>7</v>
      </c>
      <c r="G1429" s="8" t="s">
        <v>7</v>
      </c>
      <c r="H1429" t="s">
        <v>9</v>
      </c>
      <c r="I1429" s="4">
        <v>1500</v>
      </c>
      <c r="J1429" s="8">
        <v>10</v>
      </c>
      <c r="K1429" s="4">
        <f t="shared" si="36"/>
        <v>15000</v>
      </c>
      <c r="L1429" s="4">
        <f t="shared" si="37"/>
        <v>6000</v>
      </c>
      <c r="M1429" s="3">
        <v>0.4</v>
      </c>
    </row>
    <row r="1430" spans="2:13" x14ac:dyDescent="0.3">
      <c r="B1430" t="s">
        <v>61</v>
      </c>
      <c r="C1430" s="1" t="s">
        <v>63</v>
      </c>
      <c r="D1430" s="2">
        <v>44626</v>
      </c>
      <c r="E1430" s="8" t="s">
        <v>6</v>
      </c>
      <c r="F1430" s="8" t="s">
        <v>7</v>
      </c>
      <c r="G1430" s="8" t="s">
        <v>7</v>
      </c>
      <c r="H1430" t="s">
        <v>11</v>
      </c>
      <c r="I1430" s="4">
        <v>300</v>
      </c>
      <c r="J1430" s="8">
        <v>11</v>
      </c>
      <c r="K1430" s="4">
        <f t="shared" si="36"/>
        <v>3300</v>
      </c>
      <c r="L1430" s="4">
        <f t="shared" si="37"/>
        <v>495</v>
      </c>
      <c r="M1430" s="3">
        <v>0.15</v>
      </c>
    </row>
    <row r="1431" spans="2:13" x14ac:dyDescent="0.3">
      <c r="B1431" t="s">
        <v>60</v>
      </c>
      <c r="C1431" s="1" t="s">
        <v>64</v>
      </c>
      <c r="D1431" s="2">
        <v>44626</v>
      </c>
      <c r="E1431" s="8" t="s">
        <v>6</v>
      </c>
      <c r="F1431" s="8" t="s">
        <v>7</v>
      </c>
      <c r="G1431" s="8" t="s">
        <v>7</v>
      </c>
      <c r="H1431" t="s">
        <v>16</v>
      </c>
      <c r="I1431" s="4">
        <v>3400</v>
      </c>
      <c r="J1431" s="8">
        <v>6</v>
      </c>
      <c r="K1431" s="4">
        <f t="shared" si="36"/>
        <v>20400</v>
      </c>
      <c r="L1431" s="4">
        <f t="shared" si="37"/>
        <v>7140</v>
      </c>
      <c r="M1431" s="3">
        <v>0.35</v>
      </c>
    </row>
    <row r="1432" spans="2:13" x14ac:dyDescent="0.3">
      <c r="B1432" t="s">
        <v>60</v>
      </c>
      <c r="C1432" s="1" t="s">
        <v>63</v>
      </c>
      <c r="D1432" s="2">
        <v>44626</v>
      </c>
      <c r="E1432" s="8" t="s">
        <v>6</v>
      </c>
      <c r="F1432" s="8" t="s">
        <v>7</v>
      </c>
      <c r="G1432" s="8" t="s">
        <v>7</v>
      </c>
      <c r="H1432" t="s">
        <v>17</v>
      </c>
      <c r="I1432" s="4">
        <v>5130</v>
      </c>
      <c r="J1432" s="8">
        <v>6</v>
      </c>
      <c r="K1432" s="4">
        <f t="shared" si="36"/>
        <v>30780</v>
      </c>
      <c r="L1432" s="4">
        <f t="shared" si="37"/>
        <v>12312</v>
      </c>
      <c r="M1432" s="3">
        <v>0.4</v>
      </c>
    </row>
    <row r="1433" spans="2:13" x14ac:dyDescent="0.3">
      <c r="B1433" t="s">
        <v>66</v>
      </c>
      <c r="C1433" s="1" t="s">
        <v>63</v>
      </c>
      <c r="D1433" s="2">
        <v>44626</v>
      </c>
      <c r="E1433" s="8" t="s">
        <v>6</v>
      </c>
      <c r="F1433" s="8" t="s">
        <v>7</v>
      </c>
      <c r="G1433" s="8" t="s">
        <v>7</v>
      </c>
      <c r="H1433" t="s">
        <v>19</v>
      </c>
      <c r="I1433" s="4">
        <v>5340</v>
      </c>
      <c r="J1433" s="8">
        <v>12</v>
      </c>
      <c r="K1433" s="4">
        <f t="shared" si="36"/>
        <v>64080</v>
      </c>
      <c r="L1433" s="4">
        <f t="shared" si="37"/>
        <v>19224</v>
      </c>
      <c r="M1433" s="3">
        <v>0.3</v>
      </c>
    </row>
    <row r="1434" spans="2:13" x14ac:dyDescent="0.3">
      <c r="B1434" t="s">
        <v>65</v>
      </c>
      <c r="C1434" s="1" t="s">
        <v>63</v>
      </c>
      <c r="D1434" s="2">
        <v>44633</v>
      </c>
      <c r="E1434" s="8" t="s">
        <v>6</v>
      </c>
      <c r="F1434" s="8" t="s">
        <v>7</v>
      </c>
      <c r="G1434" s="8" t="s">
        <v>7</v>
      </c>
      <c r="H1434" t="s">
        <v>8</v>
      </c>
      <c r="I1434" s="4">
        <v>1200</v>
      </c>
      <c r="J1434" s="8">
        <v>2</v>
      </c>
      <c r="K1434" s="4">
        <f t="shared" ref="K1434:K1497" si="38">I1434*J1434</f>
        <v>2400</v>
      </c>
      <c r="L1434" s="4">
        <f t="shared" ref="L1434:L1497" si="39">K1434*M1434</f>
        <v>720</v>
      </c>
      <c r="M1434" s="3">
        <v>0.3</v>
      </c>
    </row>
    <row r="1435" spans="2:13" x14ac:dyDescent="0.3">
      <c r="B1435" t="s">
        <v>65</v>
      </c>
      <c r="C1435" s="1" t="s">
        <v>63</v>
      </c>
      <c r="D1435" s="2">
        <v>44633</v>
      </c>
      <c r="E1435" s="8" t="s">
        <v>6</v>
      </c>
      <c r="F1435" s="8" t="s">
        <v>7</v>
      </c>
      <c r="G1435" s="8" t="s">
        <v>7</v>
      </c>
      <c r="H1435" t="s">
        <v>15</v>
      </c>
      <c r="I1435" s="4">
        <v>5300</v>
      </c>
      <c r="J1435" s="8">
        <v>1</v>
      </c>
      <c r="K1435" s="4">
        <f t="shared" si="38"/>
        <v>5300</v>
      </c>
      <c r="L1435" s="4">
        <f t="shared" si="39"/>
        <v>1590</v>
      </c>
      <c r="M1435" s="3">
        <v>0.3</v>
      </c>
    </row>
    <row r="1436" spans="2:13" x14ac:dyDescent="0.3">
      <c r="B1436" t="s">
        <v>65</v>
      </c>
      <c r="C1436" s="1" t="s">
        <v>64</v>
      </c>
      <c r="D1436" s="2">
        <v>44633</v>
      </c>
      <c r="E1436" s="8" t="s">
        <v>6</v>
      </c>
      <c r="F1436" s="8" t="s">
        <v>7</v>
      </c>
      <c r="G1436" s="8" t="s">
        <v>7</v>
      </c>
      <c r="H1436" t="s">
        <v>16</v>
      </c>
      <c r="I1436" s="4">
        <v>3400</v>
      </c>
      <c r="J1436" s="8">
        <v>11</v>
      </c>
      <c r="K1436" s="4">
        <f t="shared" si="38"/>
        <v>37400</v>
      </c>
      <c r="L1436" s="4">
        <f t="shared" si="39"/>
        <v>13090</v>
      </c>
      <c r="M1436" s="3">
        <v>0.35</v>
      </c>
    </row>
    <row r="1437" spans="2:13" x14ac:dyDescent="0.3">
      <c r="B1437" t="s">
        <v>65</v>
      </c>
      <c r="C1437" s="1" t="s">
        <v>64</v>
      </c>
      <c r="D1437" s="2">
        <v>44633</v>
      </c>
      <c r="E1437" s="8" t="s">
        <v>6</v>
      </c>
      <c r="F1437" s="8" t="s">
        <v>7</v>
      </c>
      <c r="G1437" s="8" t="s">
        <v>7</v>
      </c>
      <c r="H1437" t="s">
        <v>20</v>
      </c>
      <c r="I1437" s="4">
        <v>8902</v>
      </c>
      <c r="J1437" s="8">
        <v>10</v>
      </c>
      <c r="K1437" s="4">
        <f t="shared" si="38"/>
        <v>89020</v>
      </c>
      <c r="L1437" s="4">
        <f t="shared" si="39"/>
        <v>31156.999999999996</v>
      </c>
      <c r="M1437" s="3">
        <v>0.35</v>
      </c>
    </row>
    <row r="1438" spans="2:13" x14ac:dyDescent="0.3">
      <c r="B1438" t="s">
        <v>65</v>
      </c>
      <c r="C1438" s="1" t="s">
        <v>63</v>
      </c>
      <c r="D1438" s="2">
        <v>44640</v>
      </c>
      <c r="E1438" s="8" t="s">
        <v>6</v>
      </c>
      <c r="F1438" s="8" t="s">
        <v>7</v>
      </c>
      <c r="G1438" s="8" t="s">
        <v>7</v>
      </c>
      <c r="H1438" t="s">
        <v>13</v>
      </c>
      <c r="I1438" s="4">
        <v>3200</v>
      </c>
      <c r="J1438" s="8">
        <v>1</v>
      </c>
      <c r="K1438" s="4">
        <f t="shared" si="38"/>
        <v>3200</v>
      </c>
      <c r="L1438" s="4">
        <f t="shared" si="39"/>
        <v>640</v>
      </c>
      <c r="M1438" s="3">
        <v>0.2</v>
      </c>
    </row>
    <row r="1439" spans="2:13" x14ac:dyDescent="0.3">
      <c r="B1439" t="s">
        <v>65</v>
      </c>
      <c r="C1439" s="1" t="s">
        <v>63</v>
      </c>
      <c r="D1439" s="2">
        <v>44640</v>
      </c>
      <c r="E1439" s="8" t="s">
        <v>6</v>
      </c>
      <c r="F1439" s="8" t="s">
        <v>7</v>
      </c>
      <c r="G1439" s="8" t="s">
        <v>7</v>
      </c>
      <c r="H1439" t="s">
        <v>18</v>
      </c>
      <c r="I1439" s="4">
        <v>4600</v>
      </c>
      <c r="J1439" s="8">
        <v>6</v>
      </c>
      <c r="K1439" s="4">
        <f t="shared" si="38"/>
        <v>27600</v>
      </c>
      <c r="L1439" s="4">
        <f t="shared" si="39"/>
        <v>6900</v>
      </c>
      <c r="M1439" s="3">
        <v>0.25</v>
      </c>
    </row>
    <row r="1440" spans="2:13" x14ac:dyDescent="0.3">
      <c r="B1440" t="s">
        <v>61</v>
      </c>
      <c r="C1440" s="1" t="s">
        <v>64</v>
      </c>
      <c r="D1440" s="2">
        <v>44640</v>
      </c>
      <c r="E1440" s="8" t="s">
        <v>6</v>
      </c>
      <c r="F1440" s="8" t="s">
        <v>7</v>
      </c>
      <c r="G1440" s="8" t="s">
        <v>7</v>
      </c>
      <c r="H1440" t="s">
        <v>17</v>
      </c>
      <c r="I1440" s="4">
        <v>5130</v>
      </c>
      <c r="J1440" s="8">
        <v>9</v>
      </c>
      <c r="K1440" s="4">
        <f t="shared" si="38"/>
        <v>46170</v>
      </c>
      <c r="L1440" s="4">
        <f t="shared" si="39"/>
        <v>18468</v>
      </c>
      <c r="M1440" s="3">
        <v>0.4</v>
      </c>
    </row>
    <row r="1441" spans="2:13" x14ac:dyDescent="0.3">
      <c r="B1441" t="s">
        <v>60</v>
      </c>
      <c r="C1441" s="1" t="s">
        <v>63</v>
      </c>
      <c r="D1441" s="2">
        <v>44640</v>
      </c>
      <c r="E1441" s="8" t="s">
        <v>6</v>
      </c>
      <c r="F1441" s="8" t="s">
        <v>7</v>
      </c>
      <c r="G1441" s="8" t="s">
        <v>7</v>
      </c>
      <c r="H1441" t="s">
        <v>18</v>
      </c>
      <c r="I1441" s="4">
        <v>4600</v>
      </c>
      <c r="J1441" s="8">
        <v>11</v>
      </c>
      <c r="K1441" s="4">
        <f t="shared" si="38"/>
        <v>50600</v>
      </c>
      <c r="L1441" s="4">
        <f t="shared" si="39"/>
        <v>12650</v>
      </c>
      <c r="M1441" s="3">
        <v>0.25</v>
      </c>
    </row>
    <row r="1442" spans="2:13" x14ac:dyDescent="0.3">
      <c r="B1442" t="s">
        <v>60</v>
      </c>
      <c r="C1442" s="1" t="s">
        <v>63</v>
      </c>
      <c r="D1442" s="2">
        <v>44647</v>
      </c>
      <c r="E1442" s="8" t="s">
        <v>6</v>
      </c>
      <c r="F1442" s="8" t="s">
        <v>7</v>
      </c>
      <c r="G1442" s="8" t="s">
        <v>7</v>
      </c>
      <c r="H1442" t="s">
        <v>10</v>
      </c>
      <c r="I1442" s="4">
        <v>1700</v>
      </c>
      <c r="J1442" s="8">
        <v>9</v>
      </c>
      <c r="K1442" s="4">
        <f t="shared" si="38"/>
        <v>15300</v>
      </c>
      <c r="L1442" s="4">
        <f t="shared" si="39"/>
        <v>7650</v>
      </c>
      <c r="M1442" s="3">
        <v>0.5</v>
      </c>
    </row>
    <row r="1443" spans="2:13" x14ac:dyDescent="0.3">
      <c r="B1443" t="s">
        <v>65</v>
      </c>
      <c r="C1443" s="1" t="s">
        <v>63</v>
      </c>
      <c r="D1443" s="2">
        <v>44647</v>
      </c>
      <c r="E1443" s="8" t="s">
        <v>6</v>
      </c>
      <c r="F1443" s="8" t="s">
        <v>7</v>
      </c>
      <c r="G1443" s="8" t="s">
        <v>7</v>
      </c>
      <c r="H1443" t="s">
        <v>18</v>
      </c>
      <c r="I1443" s="4">
        <v>4600</v>
      </c>
      <c r="J1443" s="8">
        <v>4</v>
      </c>
      <c r="K1443" s="4">
        <f t="shared" si="38"/>
        <v>18400</v>
      </c>
      <c r="L1443" s="4">
        <f t="shared" si="39"/>
        <v>4600</v>
      </c>
      <c r="M1443" s="3">
        <v>0.25</v>
      </c>
    </row>
    <row r="1444" spans="2:13" x14ac:dyDescent="0.3">
      <c r="B1444" t="s">
        <v>65</v>
      </c>
      <c r="C1444" s="1" t="s">
        <v>63</v>
      </c>
      <c r="D1444" s="2">
        <v>44647</v>
      </c>
      <c r="E1444" s="8" t="s">
        <v>6</v>
      </c>
      <c r="F1444" s="8" t="s">
        <v>7</v>
      </c>
      <c r="G1444" s="8" t="s">
        <v>7</v>
      </c>
      <c r="H1444" t="s">
        <v>15</v>
      </c>
      <c r="I1444" s="4">
        <v>5300</v>
      </c>
      <c r="J1444" s="8">
        <v>5</v>
      </c>
      <c r="K1444" s="4">
        <f t="shared" si="38"/>
        <v>26500</v>
      </c>
      <c r="L1444" s="4">
        <f t="shared" si="39"/>
        <v>7950</v>
      </c>
      <c r="M1444" s="3">
        <v>0.3</v>
      </c>
    </row>
    <row r="1445" spans="2:13" x14ac:dyDescent="0.3">
      <c r="B1445" t="s">
        <v>66</v>
      </c>
      <c r="C1445" s="1" t="s">
        <v>63</v>
      </c>
      <c r="D1445" s="2">
        <v>44647</v>
      </c>
      <c r="E1445" s="8" t="s">
        <v>6</v>
      </c>
      <c r="F1445" s="8" t="s">
        <v>7</v>
      </c>
      <c r="G1445" s="8" t="s">
        <v>7</v>
      </c>
      <c r="H1445" t="s">
        <v>15</v>
      </c>
      <c r="I1445" s="4">
        <v>5300</v>
      </c>
      <c r="J1445" s="8">
        <v>7</v>
      </c>
      <c r="K1445" s="4">
        <f t="shared" si="38"/>
        <v>37100</v>
      </c>
      <c r="L1445" s="4">
        <f t="shared" si="39"/>
        <v>11130</v>
      </c>
      <c r="M1445" s="3">
        <v>0.3</v>
      </c>
    </row>
    <row r="1446" spans="2:13" x14ac:dyDescent="0.3">
      <c r="B1446" t="s">
        <v>65</v>
      </c>
      <c r="C1446" s="1" t="s">
        <v>63</v>
      </c>
      <c r="D1446" s="2">
        <v>44654</v>
      </c>
      <c r="E1446" s="8" t="s">
        <v>6</v>
      </c>
      <c r="F1446" s="8" t="s">
        <v>7</v>
      </c>
      <c r="G1446" s="8" t="s">
        <v>7</v>
      </c>
      <c r="H1446" t="s">
        <v>8</v>
      </c>
      <c r="I1446" s="4">
        <v>1200</v>
      </c>
      <c r="J1446" s="8">
        <v>1</v>
      </c>
      <c r="K1446" s="4">
        <f t="shared" si="38"/>
        <v>1200</v>
      </c>
      <c r="L1446" s="4">
        <f t="shared" si="39"/>
        <v>360</v>
      </c>
      <c r="M1446" s="3">
        <v>0.3</v>
      </c>
    </row>
    <row r="1447" spans="2:13" x14ac:dyDescent="0.3">
      <c r="B1447" t="s">
        <v>62</v>
      </c>
      <c r="C1447" s="1" t="s">
        <v>63</v>
      </c>
      <c r="D1447" s="2">
        <v>44654</v>
      </c>
      <c r="E1447" s="8" t="s">
        <v>6</v>
      </c>
      <c r="F1447" s="8" t="s">
        <v>7</v>
      </c>
      <c r="G1447" s="8" t="s">
        <v>7</v>
      </c>
      <c r="H1447" t="s">
        <v>10</v>
      </c>
      <c r="I1447" s="4">
        <v>1700</v>
      </c>
      <c r="J1447" s="8">
        <v>6</v>
      </c>
      <c r="K1447" s="4">
        <f t="shared" si="38"/>
        <v>10200</v>
      </c>
      <c r="L1447" s="4">
        <f t="shared" si="39"/>
        <v>5100</v>
      </c>
      <c r="M1447" s="3">
        <v>0.5</v>
      </c>
    </row>
    <row r="1448" spans="2:13" x14ac:dyDescent="0.3">
      <c r="B1448" t="s">
        <v>65</v>
      </c>
      <c r="C1448" s="1" t="s">
        <v>63</v>
      </c>
      <c r="D1448" s="2">
        <v>44654</v>
      </c>
      <c r="E1448" s="8" t="s">
        <v>6</v>
      </c>
      <c r="F1448" s="8" t="s">
        <v>7</v>
      </c>
      <c r="G1448" s="8" t="s">
        <v>7</v>
      </c>
      <c r="H1448" t="s">
        <v>14</v>
      </c>
      <c r="I1448" s="4">
        <v>4500</v>
      </c>
      <c r="J1448" s="8">
        <v>3</v>
      </c>
      <c r="K1448" s="4">
        <f t="shared" si="38"/>
        <v>13500</v>
      </c>
      <c r="L1448" s="4">
        <f t="shared" si="39"/>
        <v>3375</v>
      </c>
      <c r="M1448" s="3">
        <v>0.25</v>
      </c>
    </row>
    <row r="1449" spans="2:13" x14ac:dyDescent="0.3">
      <c r="B1449" t="s">
        <v>65</v>
      </c>
      <c r="C1449" s="1" t="s">
        <v>64</v>
      </c>
      <c r="D1449" s="2">
        <v>44654</v>
      </c>
      <c r="E1449" s="8" t="s">
        <v>6</v>
      </c>
      <c r="F1449" s="8" t="s">
        <v>7</v>
      </c>
      <c r="G1449" s="8" t="s">
        <v>7</v>
      </c>
      <c r="H1449" t="s">
        <v>19</v>
      </c>
      <c r="I1449" s="4">
        <v>5340</v>
      </c>
      <c r="J1449" s="8">
        <v>8</v>
      </c>
      <c r="K1449" s="4">
        <f t="shared" si="38"/>
        <v>42720</v>
      </c>
      <c r="L1449" s="4">
        <f t="shared" si="39"/>
        <v>12816</v>
      </c>
      <c r="M1449" s="3">
        <v>0.3</v>
      </c>
    </row>
    <row r="1450" spans="2:13" x14ac:dyDescent="0.3">
      <c r="B1450" t="s">
        <v>66</v>
      </c>
      <c r="C1450" s="1" t="s">
        <v>63</v>
      </c>
      <c r="D1450" s="2">
        <v>44661</v>
      </c>
      <c r="E1450" s="8" t="s">
        <v>6</v>
      </c>
      <c r="F1450" s="8" t="s">
        <v>7</v>
      </c>
      <c r="G1450" s="8" t="s">
        <v>7</v>
      </c>
      <c r="H1450" t="s">
        <v>10</v>
      </c>
      <c r="I1450" s="4">
        <v>1700</v>
      </c>
      <c r="J1450" s="8">
        <v>1</v>
      </c>
      <c r="K1450" s="4">
        <f t="shared" si="38"/>
        <v>1700</v>
      </c>
      <c r="L1450" s="4">
        <f t="shared" si="39"/>
        <v>850</v>
      </c>
      <c r="M1450" s="3">
        <v>0.5</v>
      </c>
    </row>
    <row r="1451" spans="2:13" x14ac:dyDescent="0.3">
      <c r="B1451" t="s">
        <v>65</v>
      </c>
      <c r="C1451" s="1" t="s">
        <v>63</v>
      </c>
      <c r="D1451" s="2">
        <v>44661</v>
      </c>
      <c r="E1451" s="8" t="s">
        <v>6</v>
      </c>
      <c r="F1451" s="8" t="s">
        <v>7</v>
      </c>
      <c r="G1451" s="8" t="s">
        <v>7</v>
      </c>
      <c r="H1451" t="s">
        <v>11</v>
      </c>
      <c r="I1451" s="4">
        <v>300</v>
      </c>
      <c r="J1451" s="8">
        <v>9</v>
      </c>
      <c r="K1451" s="4">
        <f t="shared" si="38"/>
        <v>2700</v>
      </c>
      <c r="L1451" s="4">
        <f t="shared" si="39"/>
        <v>405</v>
      </c>
      <c r="M1451" s="3">
        <v>0.15</v>
      </c>
    </row>
    <row r="1452" spans="2:13" x14ac:dyDescent="0.3">
      <c r="B1452" t="s">
        <v>66</v>
      </c>
      <c r="C1452" s="1" t="s">
        <v>63</v>
      </c>
      <c r="D1452" s="2">
        <v>44661</v>
      </c>
      <c r="E1452" s="8" t="s">
        <v>6</v>
      </c>
      <c r="F1452" s="8" t="s">
        <v>7</v>
      </c>
      <c r="G1452" s="8" t="s">
        <v>7</v>
      </c>
      <c r="H1452" t="s">
        <v>11</v>
      </c>
      <c r="I1452" s="4">
        <v>300</v>
      </c>
      <c r="J1452" s="8">
        <v>11</v>
      </c>
      <c r="K1452" s="4">
        <f t="shared" si="38"/>
        <v>3300</v>
      </c>
      <c r="L1452" s="4">
        <f t="shared" si="39"/>
        <v>495</v>
      </c>
      <c r="M1452" s="3">
        <v>0.15</v>
      </c>
    </row>
    <row r="1453" spans="2:13" x14ac:dyDescent="0.3">
      <c r="B1453" t="s">
        <v>60</v>
      </c>
      <c r="C1453" s="1" t="s">
        <v>64</v>
      </c>
      <c r="D1453" s="2">
        <v>44661</v>
      </c>
      <c r="E1453" s="8" t="s">
        <v>6</v>
      </c>
      <c r="F1453" s="8" t="s">
        <v>7</v>
      </c>
      <c r="G1453" s="8" t="s">
        <v>7</v>
      </c>
      <c r="H1453" t="s">
        <v>9</v>
      </c>
      <c r="I1453" s="4">
        <v>1500</v>
      </c>
      <c r="J1453" s="8">
        <v>6</v>
      </c>
      <c r="K1453" s="4">
        <f t="shared" si="38"/>
        <v>9000</v>
      </c>
      <c r="L1453" s="4">
        <f t="shared" si="39"/>
        <v>3600</v>
      </c>
      <c r="M1453" s="3">
        <v>0.4</v>
      </c>
    </row>
    <row r="1454" spans="2:13" x14ac:dyDescent="0.3">
      <c r="B1454" t="s">
        <v>60</v>
      </c>
      <c r="C1454" s="1" t="s">
        <v>64</v>
      </c>
      <c r="D1454" s="2">
        <v>44668</v>
      </c>
      <c r="E1454" s="8" t="s">
        <v>6</v>
      </c>
      <c r="F1454" s="8" t="s">
        <v>7</v>
      </c>
      <c r="G1454" s="8" t="s">
        <v>7</v>
      </c>
      <c r="H1454" t="s">
        <v>8</v>
      </c>
      <c r="I1454" s="4">
        <v>1200</v>
      </c>
      <c r="J1454" s="8">
        <v>8</v>
      </c>
      <c r="K1454" s="4">
        <f t="shared" si="38"/>
        <v>9600</v>
      </c>
      <c r="L1454" s="4">
        <f t="shared" si="39"/>
        <v>2880</v>
      </c>
      <c r="M1454" s="3">
        <v>0.3</v>
      </c>
    </row>
    <row r="1455" spans="2:13" x14ac:dyDescent="0.3">
      <c r="B1455" t="s">
        <v>61</v>
      </c>
      <c r="C1455" s="1" t="s">
        <v>63</v>
      </c>
      <c r="D1455" s="2">
        <v>44668</v>
      </c>
      <c r="E1455" s="8" t="s">
        <v>6</v>
      </c>
      <c r="F1455" s="8" t="s">
        <v>7</v>
      </c>
      <c r="G1455" s="8" t="s">
        <v>7</v>
      </c>
      <c r="H1455" t="s">
        <v>9</v>
      </c>
      <c r="I1455" s="4">
        <v>1500</v>
      </c>
      <c r="J1455" s="8">
        <v>7</v>
      </c>
      <c r="K1455" s="4">
        <f t="shared" si="38"/>
        <v>10500</v>
      </c>
      <c r="L1455" s="4">
        <f t="shared" si="39"/>
        <v>4200</v>
      </c>
      <c r="M1455" s="3">
        <v>0.4</v>
      </c>
    </row>
    <row r="1456" spans="2:13" x14ac:dyDescent="0.3">
      <c r="B1456" t="s">
        <v>65</v>
      </c>
      <c r="C1456" s="1" t="s">
        <v>63</v>
      </c>
      <c r="D1456" s="2">
        <v>44668</v>
      </c>
      <c r="E1456" s="8" t="s">
        <v>6</v>
      </c>
      <c r="F1456" s="8" t="s">
        <v>7</v>
      </c>
      <c r="G1456" s="8" t="s">
        <v>7</v>
      </c>
      <c r="H1456" t="s">
        <v>19</v>
      </c>
      <c r="I1456" s="4">
        <v>5340</v>
      </c>
      <c r="J1456" s="8">
        <v>8</v>
      </c>
      <c r="K1456" s="4">
        <f t="shared" si="38"/>
        <v>42720</v>
      </c>
      <c r="L1456" s="4">
        <f t="shared" si="39"/>
        <v>12816</v>
      </c>
      <c r="M1456" s="3">
        <v>0.3</v>
      </c>
    </row>
    <row r="1457" spans="2:13" x14ac:dyDescent="0.3">
      <c r="B1457" t="s">
        <v>66</v>
      </c>
      <c r="C1457" s="1" t="s">
        <v>63</v>
      </c>
      <c r="D1457" s="2">
        <v>44668</v>
      </c>
      <c r="E1457" s="8" t="s">
        <v>6</v>
      </c>
      <c r="F1457" s="8" t="s">
        <v>7</v>
      </c>
      <c r="G1457" s="8" t="s">
        <v>7</v>
      </c>
      <c r="H1457" t="s">
        <v>20</v>
      </c>
      <c r="I1457" s="4">
        <v>8902</v>
      </c>
      <c r="J1457" s="8">
        <v>7</v>
      </c>
      <c r="K1457" s="4">
        <f t="shared" si="38"/>
        <v>62314</v>
      </c>
      <c r="L1457" s="4">
        <f t="shared" si="39"/>
        <v>21809.899999999998</v>
      </c>
      <c r="M1457" s="3">
        <v>0.35</v>
      </c>
    </row>
    <row r="1458" spans="2:13" x14ac:dyDescent="0.3">
      <c r="B1458" t="s">
        <v>62</v>
      </c>
      <c r="C1458" s="1" t="s">
        <v>64</v>
      </c>
      <c r="D1458" s="2">
        <v>44675</v>
      </c>
      <c r="E1458" s="8" t="s">
        <v>6</v>
      </c>
      <c r="F1458" s="8" t="s">
        <v>7</v>
      </c>
      <c r="G1458" s="8" t="s">
        <v>7</v>
      </c>
      <c r="H1458" t="s">
        <v>12</v>
      </c>
      <c r="I1458" s="4">
        <v>500</v>
      </c>
      <c r="J1458" s="8">
        <v>6</v>
      </c>
      <c r="K1458" s="4">
        <f t="shared" si="38"/>
        <v>3000</v>
      </c>
      <c r="L1458" s="4">
        <f t="shared" si="39"/>
        <v>750</v>
      </c>
      <c r="M1458" s="3">
        <v>0.25</v>
      </c>
    </row>
    <row r="1459" spans="2:13" x14ac:dyDescent="0.3">
      <c r="B1459" t="s">
        <v>62</v>
      </c>
      <c r="C1459" s="1" t="s">
        <v>63</v>
      </c>
      <c r="D1459" s="2">
        <v>44675</v>
      </c>
      <c r="E1459" s="8" t="s">
        <v>6</v>
      </c>
      <c r="F1459" s="8" t="s">
        <v>7</v>
      </c>
      <c r="G1459" s="8" t="s">
        <v>7</v>
      </c>
      <c r="H1459" t="s">
        <v>13</v>
      </c>
      <c r="I1459" s="4">
        <v>3200</v>
      </c>
      <c r="J1459" s="8">
        <v>5</v>
      </c>
      <c r="K1459" s="4">
        <f t="shared" si="38"/>
        <v>16000</v>
      </c>
      <c r="L1459" s="4">
        <f t="shared" si="39"/>
        <v>3200</v>
      </c>
      <c r="M1459" s="3">
        <v>0.2</v>
      </c>
    </row>
    <row r="1460" spans="2:13" x14ac:dyDescent="0.3">
      <c r="B1460" t="s">
        <v>60</v>
      </c>
      <c r="C1460" s="1" t="s">
        <v>63</v>
      </c>
      <c r="D1460" s="2">
        <v>44675</v>
      </c>
      <c r="E1460" s="8" t="s">
        <v>6</v>
      </c>
      <c r="F1460" s="8" t="s">
        <v>7</v>
      </c>
      <c r="G1460" s="8" t="s">
        <v>7</v>
      </c>
      <c r="H1460" t="s">
        <v>18</v>
      </c>
      <c r="I1460" s="4">
        <v>4600</v>
      </c>
      <c r="J1460" s="8">
        <v>5</v>
      </c>
      <c r="K1460" s="4">
        <f t="shared" si="38"/>
        <v>23000</v>
      </c>
      <c r="L1460" s="4">
        <f t="shared" si="39"/>
        <v>5750</v>
      </c>
      <c r="M1460" s="3">
        <v>0.25</v>
      </c>
    </row>
    <row r="1461" spans="2:13" x14ac:dyDescent="0.3">
      <c r="B1461" t="s">
        <v>65</v>
      </c>
      <c r="C1461" s="1" t="s">
        <v>63</v>
      </c>
      <c r="D1461" s="2">
        <v>44675</v>
      </c>
      <c r="E1461" s="8" t="s">
        <v>6</v>
      </c>
      <c r="F1461" s="8" t="s">
        <v>7</v>
      </c>
      <c r="G1461" s="8" t="s">
        <v>7</v>
      </c>
      <c r="H1461" t="s">
        <v>18</v>
      </c>
      <c r="I1461" s="4">
        <v>4600</v>
      </c>
      <c r="J1461" s="8">
        <v>10</v>
      </c>
      <c r="K1461" s="4">
        <f t="shared" si="38"/>
        <v>46000</v>
      </c>
      <c r="L1461" s="4">
        <f t="shared" si="39"/>
        <v>11500</v>
      </c>
      <c r="M1461" s="3">
        <v>0.25</v>
      </c>
    </row>
    <row r="1462" spans="2:13" x14ac:dyDescent="0.3">
      <c r="B1462" t="s">
        <v>65</v>
      </c>
      <c r="C1462" s="1" t="s">
        <v>64</v>
      </c>
      <c r="D1462" s="2">
        <v>44682</v>
      </c>
      <c r="E1462" s="8" t="s">
        <v>6</v>
      </c>
      <c r="F1462" s="8" t="s">
        <v>7</v>
      </c>
      <c r="G1462" s="8" t="s">
        <v>7</v>
      </c>
      <c r="H1462" t="s">
        <v>12</v>
      </c>
      <c r="I1462" s="4">
        <v>500</v>
      </c>
      <c r="J1462" s="8">
        <v>4</v>
      </c>
      <c r="K1462" s="4">
        <f t="shared" si="38"/>
        <v>2000</v>
      </c>
      <c r="L1462" s="4">
        <f t="shared" si="39"/>
        <v>500</v>
      </c>
      <c r="M1462" s="3">
        <v>0.25</v>
      </c>
    </row>
    <row r="1463" spans="2:13" x14ac:dyDescent="0.3">
      <c r="B1463" t="s">
        <v>66</v>
      </c>
      <c r="C1463" s="1" t="s">
        <v>63</v>
      </c>
      <c r="D1463" s="2">
        <v>44682</v>
      </c>
      <c r="E1463" s="8" t="s">
        <v>6</v>
      </c>
      <c r="F1463" s="8" t="s">
        <v>7</v>
      </c>
      <c r="G1463" s="8" t="s">
        <v>7</v>
      </c>
      <c r="H1463" t="s">
        <v>13</v>
      </c>
      <c r="I1463" s="4">
        <v>3200</v>
      </c>
      <c r="J1463" s="8">
        <v>4</v>
      </c>
      <c r="K1463" s="4">
        <f t="shared" si="38"/>
        <v>12800</v>
      </c>
      <c r="L1463" s="4">
        <f t="shared" si="39"/>
        <v>2560</v>
      </c>
      <c r="M1463" s="3">
        <v>0.2</v>
      </c>
    </row>
    <row r="1464" spans="2:13" x14ac:dyDescent="0.3">
      <c r="B1464" t="s">
        <v>60</v>
      </c>
      <c r="C1464" s="1" t="s">
        <v>64</v>
      </c>
      <c r="D1464" s="2">
        <v>44682</v>
      </c>
      <c r="E1464" s="8" t="s">
        <v>6</v>
      </c>
      <c r="F1464" s="8" t="s">
        <v>7</v>
      </c>
      <c r="G1464" s="8" t="s">
        <v>7</v>
      </c>
      <c r="H1464" t="s">
        <v>14</v>
      </c>
      <c r="I1464" s="4">
        <v>4500</v>
      </c>
      <c r="J1464" s="8">
        <v>8</v>
      </c>
      <c r="K1464" s="4">
        <f t="shared" si="38"/>
        <v>36000</v>
      </c>
      <c r="L1464" s="4">
        <f t="shared" si="39"/>
        <v>9000</v>
      </c>
      <c r="M1464" s="3">
        <v>0.25</v>
      </c>
    </row>
    <row r="1465" spans="2:13" x14ac:dyDescent="0.3">
      <c r="B1465" t="s">
        <v>61</v>
      </c>
      <c r="C1465" s="1" t="s">
        <v>63</v>
      </c>
      <c r="D1465" s="2">
        <v>44682</v>
      </c>
      <c r="E1465" s="8" t="s">
        <v>6</v>
      </c>
      <c r="F1465" s="8" t="s">
        <v>7</v>
      </c>
      <c r="G1465" s="8" t="s">
        <v>7</v>
      </c>
      <c r="H1465" t="s">
        <v>17</v>
      </c>
      <c r="I1465" s="4">
        <v>5130</v>
      </c>
      <c r="J1465" s="8">
        <v>10</v>
      </c>
      <c r="K1465" s="4">
        <f t="shared" si="38"/>
        <v>51300</v>
      </c>
      <c r="L1465" s="4">
        <f t="shared" si="39"/>
        <v>20520</v>
      </c>
      <c r="M1465" s="3">
        <v>0.4</v>
      </c>
    </row>
    <row r="1466" spans="2:13" x14ac:dyDescent="0.3">
      <c r="B1466" t="s">
        <v>60</v>
      </c>
      <c r="C1466" s="1" t="s">
        <v>63</v>
      </c>
      <c r="D1466" s="2">
        <v>44689</v>
      </c>
      <c r="E1466" s="8" t="s">
        <v>6</v>
      </c>
      <c r="F1466" s="8" t="s">
        <v>7</v>
      </c>
      <c r="G1466" s="8" t="s">
        <v>7</v>
      </c>
      <c r="H1466" t="s">
        <v>12</v>
      </c>
      <c r="I1466" s="4">
        <v>500</v>
      </c>
      <c r="J1466" s="8">
        <v>11</v>
      </c>
      <c r="K1466" s="4">
        <f t="shared" si="38"/>
        <v>5500</v>
      </c>
      <c r="L1466" s="4">
        <f t="shared" si="39"/>
        <v>1375</v>
      </c>
      <c r="M1466" s="3">
        <v>0.25</v>
      </c>
    </row>
    <row r="1467" spans="2:13" x14ac:dyDescent="0.3">
      <c r="B1467" t="s">
        <v>62</v>
      </c>
      <c r="C1467" s="1" t="s">
        <v>63</v>
      </c>
      <c r="D1467" s="2">
        <v>44689</v>
      </c>
      <c r="E1467" s="8" t="s">
        <v>6</v>
      </c>
      <c r="F1467" s="8" t="s">
        <v>7</v>
      </c>
      <c r="G1467" s="8" t="s">
        <v>7</v>
      </c>
      <c r="H1467" t="s">
        <v>13</v>
      </c>
      <c r="I1467" s="4">
        <v>3200</v>
      </c>
      <c r="J1467" s="8">
        <v>6</v>
      </c>
      <c r="K1467" s="4">
        <f t="shared" si="38"/>
        <v>19200</v>
      </c>
      <c r="L1467" s="4">
        <f t="shared" si="39"/>
        <v>3840</v>
      </c>
      <c r="M1467" s="3">
        <v>0.2</v>
      </c>
    </row>
    <row r="1468" spans="2:13" x14ac:dyDescent="0.3">
      <c r="B1468" t="s">
        <v>65</v>
      </c>
      <c r="C1468" s="1" t="s">
        <v>63</v>
      </c>
      <c r="D1468" s="2">
        <v>44689</v>
      </c>
      <c r="E1468" s="8" t="s">
        <v>6</v>
      </c>
      <c r="F1468" s="8" t="s">
        <v>7</v>
      </c>
      <c r="G1468" s="8" t="s">
        <v>7</v>
      </c>
      <c r="H1468" t="s">
        <v>20</v>
      </c>
      <c r="I1468" s="4">
        <v>8902</v>
      </c>
      <c r="J1468" s="8">
        <v>4</v>
      </c>
      <c r="K1468" s="4">
        <f t="shared" si="38"/>
        <v>35608</v>
      </c>
      <c r="L1468" s="4">
        <f t="shared" si="39"/>
        <v>12462.8</v>
      </c>
      <c r="M1468" s="3">
        <v>0.35</v>
      </c>
    </row>
    <row r="1469" spans="2:13" x14ac:dyDescent="0.3">
      <c r="B1469" t="s">
        <v>62</v>
      </c>
      <c r="C1469" s="1" t="s">
        <v>63</v>
      </c>
      <c r="D1469" s="2">
        <v>44689</v>
      </c>
      <c r="E1469" s="8" t="s">
        <v>6</v>
      </c>
      <c r="F1469" s="8" t="s">
        <v>7</v>
      </c>
      <c r="G1469" s="8" t="s">
        <v>7</v>
      </c>
      <c r="H1469" t="s">
        <v>20</v>
      </c>
      <c r="I1469" s="4">
        <v>8902</v>
      </c>
      <c r="J1469" s="8">
        <v>5</v>
      </c>
      <c r="K1469" s="4">
        <f t="shared" si="38"/>
        <v>44510</v>
      </c>
      <c r="L1469" s="4">
        <f t="shared" si="39"/>
        <v>15578.499999999998</v>
      </c>
      <c r="M1469" s="3">
        <v>0.35</v>
      </c>
    </row>
    <row r="1470" spans="2:13" x14ac:dyDescent="0.3">
      <c r="B1470" t="s">
        <v>65</v>
      </c>
      <c r="C1470" s="1" t="s">
        <v>64</v>
      </c>
      <c r="D1470" s="2">
        <v>44696</v>
      </c>
      <c r="E1470" s="8" t="s">
        <v>6</v>
      </c>
      <c r="F1470" s="8" t="s">
        <v>7</v>
      </c>
      <c r="G1470" s="8" t="s">
        <v>7</v>
      </c>
      <c r="H1470" t="s">
        <v>9</v>
      </c>
      <c r="I1470" s="4">
        <v>1500</v>
      </c>
      <c r="J1470" s="8">
        <v>11</v>
      </c>
      <c r="K1470" s="4">
        <f t="shared" si="38"/>
        <v>16500</v>
      </c>
      <c r="L1470" s="4">
        <f t="shared" si="39"/>
        <v>6600</v>
      </c>
      <c r="M1470" s="3">
        <v>0.4</v>
      </c>
    </row>
    <row r="1471" spans="2:13" x14ac:dyDescent="0.3">
      <c r="B1471" t="s">
        <v>61</v>
      </c>
      <c r="C1471" s="1" t="s">
        <v>63</v>
      </c>
      <c r="D1471" s="2">
        <v>44696</v>
      </c>
      <c r="E1471" s="8" t="s">
        <v>6</v>
      </c>
      <c r="F1471" s="8" t="s">
        <v>7</v>
      </c>
      <c r="G1471" s="8" t="s">
        <v>7</v>
      </c>
      <c r="H1471" t="s">
        <v>13</v>
      </c>
      <c r="I1471" s="4">
        <v>3200</v>
      </c>
      <c r="J1471" s="8">
        <v>8</v>
      </c>
      <c r="K1471" s="4">
        <f t="shared" si="38"/>
        <v>25600</v>
      </c>
      <c r="L1471" s="4">
        <f t="shared" si="39"/>
        <v>5120</v>
      </c>
      <c r="M1471" s="3">
        <v>0.2</v>
      </c>
    </row>
    <row r="1472" spans="2:13" x14ac:dyDescent="0.3">
      <c r="B1472" t="s">
        <v>65</v>
      </c>
      <c r="C1472" s="1" t="s">
        <v>63</v>
      </c>
      <c r="D1472" s="2">
        <v>44696</v>
      </c>
      <c r="E1472" s="8" t="s">
        <v>6</v>
      </c>
      <c r="F1472" s="8" t="s">
        <v>7</v>
      </c>
      <c r="G1472" s="8" t="s">
        <v>7</v>
      </c>
      <c r="H1472" t="s">
        <v>14</v>
      </c>
      <c r="I1472" s="4">
        <v>4500</v>
      </c>
      <c r="J1472" s="8">
        <v>6</v>
      </c>
      <c r="K1472" s="4">
        <f t="shared" si="38"/>
        <v>27000</v>
      </c>
      <c r="L1472" s="4">
        <f t="shared" si="39"/>
        <v>6750</v>
      </c>
      <c r="M1472" s="3">
        <v>0.25</v>
      </c>
    </row>
    <row r="1473" spans="2:13" x14ac:dyDescent="0.3">
      <c r="B1473" t="s">
        <v>60</v>
      </c>
      <c r="C1473" s="1" t="s">
        <v>64</v>
      </c>
      <c r="D1473" s="2">
        <v>44696</v>
      </c>
      <c r="E1473" s="8" t="s">
        <v>6</v>
      </c>
      <c r="F1473" s="8" t="s">
        <v>7</v>
      </c>
      <c r="G1473" s="8" t="s">
        <v>7</v>
      </c>
      <c r="H1473" t="s">
        <v>17</v>
      </c>
      <c r="I1473" s="4">
        <v>5130</v>
      </c>
      <c r="J1473" s="8">
        <v>6</v>
      </c>
      <c r="K1473" s="4">
        <f t="shared" si="38"/>
        <v>30780</v>
      </c>
      <c r="L1473" s="4">
        <f t="shared" si="39"/>
        <v>12312</v>
      </c>
      <c r="M1473" s="3">
        <v>0.4</v>
      </c>
    </row>
    <row r="1474" spans="2:13" x14ac:dyDescent="0.3">
      <c r="B1474" t="s">
        <v>65</v>
      </c>
      <c r="C1474" s="1" t="s">
        <v>63</v>
      </c>
      <c r="D1474" s="2">
        <v>44703</v>
      </c>
      <c r="E1474" s="8" t="s">
        <v>6</v>
      </c>
      <c r="F1474" s="8" t="s">
        <v>7</v>
      </c>
      <c r="G1474" s="8" t="s">
        <v>7</v>
      </c>
      <c r="H1474" t="s">
        <v>10</v>
      </c>
      <c r="I1474" s="4">
        <v>1700</v>
      </c>
      <c r="J1474" s="8">
        <v>3</v>
      </c>
      <c r="K1474" s="4">
        <f t="shared" si="38"/>
        <v>5100</v>
      </c>
      <c r="L1474" s="4">
        <f t="shared" si="39"/>
        <v>2550</v>
      </c>
      <c r="M1474" s="3">
        <v>0.5</v>
      </c>
    </row>
    <row r="1475" spans="2:13" x14ac:dyDescent="0.3">
      <c r="B1475" t="s">
        <v>60</v>
      </c>
      <c r="C1475" s="1" t="s">
        <v>63</v>
      </c>
      <c r="D1475" s="2">
        <v>44703</v>
      </c>
      <c r="E1475" s="8" t="s">
        <v>6</v>
      </c>
      <c r="F1475" s="8" t="s">
        <v>7</v>
      </c>
      <c r="G1475" s="8" t="s">
        <v>7</v>
      </c>
      <c r="H1475" t="s">
        <v>14</v>
      </c>
      <c r="I1475" s="4">
        <v>4500</v>
      </c>
      <c r="J1475" s="8">
        <v>2</v>
      </c>
      <c r="K1475" s="4">
        <f t="shared" si="38"/>
        <v>9000</v>
      </c>
      <c r="L1475" s="4">
        <f t="shared" si="39"/>
        <v>2250</v>
      </c>
      <c r="M1475" s="3">
        <v>0.25</v>
      </c>
    </row>
    <row r="1476" spans="2:13" x14ac:dyDescent="0.3">
      <c r="B1476" t="s">
        <v>62</v>
      </c>
      <c r="C1476" s="1" t="s">
        <v>64</v>
      </c>
      <c r="D1476" s="2">
        <v>44703</v>
      </c>
      <c r="E1476" s="8" t="s">
        <v>6</v>
      </c>
      <c r="F1476" s="8" t="s">
        <v>7</v>
      </c>
      <c r="G1476" s="8" t="s">
        <v>7</v>
      </c>
      <c r="H1476" t="s">
        <v>10</v>
      </c>
      <c r="I1476" s="4">
        <v>1700</v>
      </c>
      <c r="J1476" s="8">
        <v>6</v>
      </c>
      <c r="K1476" s="4">
        <f t="shared" si="38"/>
        <v>10200</v>
      </c>
      <c r="L1476" s="4">
        <f t="shared" si="39"/>
        <v>5100</v>
      </c>
      <c r="M1476" s="3">
        <v>0.5</v>
      </c>
    </row>
    <row r="1477" spans="2:13" x14ac:dyDescent="0.3">
      <c r="B1477" t="s">
        <v>61</v>
      </c>
      <c r="C1477" s="1" t="s">
        <v>63</v>
      </c>
      <c r="D1477" s="2">
        <v>44703</v>
      </c>
      <c r="E1477" s="8" t="s">
        <v>6</v>
      </c>
      <c r="F1477" s="8" t="s">
        <v>7</v>
      </c>
      <c r="G1477" s="8" t="s">
        <v>7</v>
      </c>
      <c r="H1477" t="s">
        <v>8</v>
      </c>
      <c r="I1477" s="4">
        <v>1200</v>
      </c>
      <c r="J1477" s="8">
        <v>9</v>
      </c>
      <c r="K1477" s="4">
        <f t="shared" si="38"/>
        <v>10800</v>
      </c>
      <c r="L1477" s="4">
        <f t="shared" si="39"/>
        <v>3240</v>
      </c>
      <c r="M1477" s="3">
        <v>0.3</v>
      </c>
    </row>
    <row r="1478" spans="2:13" x14ac:dyDescent="0.3">
      <c r="B1478" t="s">
        <v>60</v>
      </c>
      <c r="C1478" s="1" t="s">
        <v>64</v>
      </c>
      <c r="D1478" s="2">
        <v>44710</v>
      </c>
      <c r="E1478" s="8" t="s">
        <v>6</v>
      </c>
      <c r="F1478" s="8" t="s">
        <v>7</v>
      </c>
      <c r="G1478" s="8" t="s">
        <v>7</v>
      </c>
      <c r="H1478" t="s">
        <v>9</v>
      </c>
      <c r="I1478" s="4">
        <v>1500</v>
      </c>
      <c r="J1478" s="8">
        <v>1</v>
      </c>
      <c r="K1478" s="4">
        <f t="shared" si="38"/>
        <v>1500</v>
      </c>
      <c r="L1478" s="4">
        <f t="shared" si="39"/>
        <v>600</v>
      </c>
      <c r="M1478" s="3">
        <v>0.4</v>
      </c>
    </row>
    <row r="1479" spans="2:13" x14ac:dyDescent="0.3">
      <c r="B1479" t="s">
        <v>62</v>
      </c>
      <c r="C1479" s="1" t="s">
        <v>63</v>
      </c>
      <c r="D1479" s="2">
        <v>44710</v>
      </c>
      <c r="E1479" s="8" t="s">
        <v>6</v>
      </c>
      <c r="F1479" s="8" t="s">
        <v>7</v>
      </c>
      <c r="G1479" s="8" t="s">
        <v>7</v>
      </c>
      <c r="H1479" t="s">
        <v>9</v>
      </c>
      <c r="I1479" s="4">
        <v>1500</v>
      </c>
      <c r="J1479" s="8">
        <v>2</v>
      </c>
      <c r="K1479" s="4">
        <f t="shared" si="38"/>
        <v>3000</v>
      </c>
      <c r="L1479" s="4">
        <f t="shared" si="39"/>
        <v>1200</v>
      </c>
      <c r="M1479" s="3">
        <v>0.4</v>
      </c>
    </row>
    <row r="1480" spans="2:13" x14ac:dyDescent="0.3">
      <c r="B1480" t="s">
        <v>60</v>
      </c>
      <c r="C1480" s="1" t="s">
        <v>63</v>
      </c>
      <c r="D1480" s="2">
        <v>44710</v>
      </c>
      <c r="E1480" s="8" t="s">
        <v>6</v>
      </c>
      <c r="F1480" s="8" t="s">
        <v>7</v>
      </c>
      <c r="G1480" s="8" t="s">
        <v>7</v>
      </c>
      <c r="H1480" t="s">
        <v>16</v>
      </c>
      <c r="I1480" s="4">
        <v>3400</v>
      </c>
      <c r="J1480" s="8">
        <v>6</v>
      </c>
      <c r="K1480" s="4">
        <f t="shared" si="38"/>
        <v>20400</v>
      </c>
      <c r="L1480" s="4">
        <f t="shared" si="39"/>
        <v>7140</v>
      </c>
      <c r="M1480" s="3">
        <v>0.35</v>
      </c>
    </row>
    <row r="1481" spans="2:13" x14ac:dyDescent="0.3">
      <c r="B1481" t="s">
        <v>62</v>
      </c>
      <c r="C1481" s="1" t="s">
        <v>63</v>
      </c>
      <c r="D1481" s="2">
        <v>44710</v>
      </c>
      <c r="E1481" s="8" t="s">
        <v>6</v>
      </c>
      <c r="F1481" s="8" t="s">
        <v>7</v>
      </c>
      <c r="G1481" s="8" t="s">
        <v>7</v>
      </c>
      <c r="H1481" t="s">
        <v>20</v>
      </c>
      <c r="I1481" s="4">
        <v>8902</v>
      </c>
      <c r="J1481" s="8">
        <v>9</v>
      </c>
      <c r="K1481" s="4">
        <f t="shared" si="38"/>
        <v>80118</v>
      </c>
      <c r="L1481" s="4">
        <f t="shared" si="39"/>
        <v>28041.3</v>
      </c>
      <c r="M1481" s="3">
        <v>0.35</v>
      </c>
    </row>
    <row r="1482" spans="2:13" x14ac:dyDescent="0.3">
      <c r="B1482" t="s">
        <v>62</v>
      </c>
      <c r="C1482" s="1" t="s">
        <v>63</v>
      </c>
      <c r="D1482" s="2">
        <v>44717</v>
      </c>
      <c r="E1482" s="8" t="s">
        <v>6</v>
      </c>
      <c r="F1482" s="8" t="s">
        <v>7</v>
      </c>
      <c r="G1482" s="8" t="s">
        <v>7</v>
      </c>
      <c r="H1482" t="s">
        <v>11</v>
      </c>
      <c r="I1482" s="4">
        <v>300</v>
      </c>
      <c r="J1482" s="8">
        <v>11</v>
      </c>
      <c r="K1482" s="4">
        <f t="shared" si="38"/>
        <v>3300</v>
      </c>
      <c r="L1482" s="4">
        <f t="shared" si="39"/>
        <v>495</v>
      </c>
      <c r="M1482" s="3">
        <v>0.15</v>
      </c>
    </row>
    <row r="1483" spans="2:13" x14ac:dyDescent="0.3">
      <c r="B1483" t="s">
        <v>60</v>
      </c>
      <c r="C1483" s="1" t="s">
        <v>63</v>
      </c>
      <c r="D1483" s="2">
        <v>44717</v>
      </c>
      <c r="E1483" s="8" t="s">
        <v>6</v>
      </c>
      <c r="F1483" s="8" t="s">
        <v>7</v>
      </c>
      <c r="G1483" s="8" t="s">
        <v>7</v>
      </c>
      <c r="H1483" t="s">
        <v>10</v>
      </c>
      <c r="I1483" s="4">
        <v>1700</v>
      </c>
      <c r="J1483" s="8">
        <v>8</v>
      </c>
      <c r="K1483" s="4">
        <f t="shared" si="38"/>
        <v>13600</v>
      </c>
      <c r="L1483" s="4">
        <f t="shared" si="39"/>
        <v>6800</v>
      </c>
      <c r="M1483" s="3">
        <v>0.5</v>
      </c>
    </row>
    <row r="1484" spans="2:13" x14ac:dyDescent="0.3">
      <c r="B1484" t="s">
        <v>60</v>
      </c>
      <c r="C1484" s="1" t="s">
        <v>63</v>
      </c>
      <c r="D1484" s="2">
        <v>44717</v>
      </c>
      <c r="E1484" s="8" t="s">
        <v>6</v>
      </c>
      <c r="F1484" s="8" t="s">
        <v>7</v>
      </c>
      <c r="G1484" s="8" t="s">
        <v>7</v>
      </c>
      <c r="H1484" t="s">
        <v>9</v>
      </c>
      <c r="I1484" s="4">
        <v>1500</v>
      </c>
      <c r="J1484" s="8">
        <v>10</v>
      </c>
      <c r="K1484" s="4">
        <f t="shared" si="38"/>
        <v>15000</v>
      </c>
      <c r="L1484" s="4">
        <f t="shared" si="39"/>
        <v>6000</v>
      </c>
      <c r="M1484" s="3">
        <v>0.4</v>
      </c>
    </row>
    <row r="1485" spans="2:13" x14ac:dyDescent="0.3">
      <c r="B1485" t="s">
        <v>65</v>
      </c>
      <c r="C1485" s="1" t="s">
        <v>63</v>
      </c>
      <c r="D1485" s="2">
        <v>44717</v>
      </c>
      <c r="E1485" s="8" t="s">
        <v>6</v>
      </c>
      <c r="F1485" s="8" t="s">
        <v>7</v>
      </c>
      <c r="G1485" s="8" t="s">
        <v>7</v>
      </c>
      <c r="H1485" t="s">
        <v>17</v>
      </c>
      <c r="I1485" s="4">
        <v>5130</v>
      </c>
      <c r="J1485" s="8">
        <v>8</v>
      </c>
      <c r="K1485" s="4">
        <f t="shared" si="38"/>
        <v>41040</v>
      </c>
      <c r="L1485" s="4">
        <f t="shared" si="39"/>
        <v>16416</v>
      </c>
      <c r="M1485" s="3">
        <v>0.4</v>
      </c>
    </row>
    <row r="1486" spans="2:13" x14ac:dyDescent="0.3">
      <c r="B1486" t="s">
        <v>65</v>
      </c>
      <c r="C1486" s="1" t="s">
        <v>63</v>
      </c>
      <c r="D1486" s="2">
        <v>44724</v>
      </c>
      <c r="E1486" s="8" t="s">
        <v>6</v>
      </c>
      <c r="F1486" s="8" t="s">
        <v>7</v>
      </c>
      <c r="G1486" s="8" t="s">
        <v>7</v>
      </c>
      <c r="H1486" t="s">
        <v>8</v>
      </c>
      <c r="I1486" s="4">
        <v>1200</v>
      </c>
      <c r="J1486" s="8">
        <v>2</v>
      </c>
      <c r="K1486" s="4">
        <f t="shared" si="38"/>
        <v>2400</v>
      </c>
      <c r="L1486" s="4">
        <f t="shared" si="39"/>
        <v>720</v>
      </c>
      <c r="M1486" s="3">
        <v>0.3</v>
      </c>
    </row>
    <row r="1487" spans="2:13" x14ac:dyDescent="0.3">
      <c r="B1487" t="s">
        <v>62</v>
      </c>
      <c r="C1487" s="1" t="s">
        <v>63</v>
      </c>
      <c r="D1487" s="2">
        <v>44724</v>
      </c>
      <c r="E1487" s="8" t="s">
        <v>6</v>
      </c>
      <c r="F1487" s="8" t="s">
        <v>7</v>
      </c>
      <c r="G1487" s="8" t="s">
        <v>7</v>
      </c>
      <c r="H1487" t="s">
        <v>16</v>
      </c>
      <c r="I1487" s="4">
        <v>3400</v>
      </c>
      <c r="J1487" s="8">
        <v>2</v>
      </c>
      <c r="K1487" s="4">
        <f t="shared" si="38"/>
        <v>6800</v>
      </c>
      <c r="L1487" s="4">
        <f t="shared" si="39"/>
        <v>2380</v>
      </c>
      <c r="M1487" s="3">
        <v>0.35</v>
      </c>
    </row>
    <row r="1488" spans="2:13" x14ac:dyDescent="0.3">
      <c r="B1488" t="s">
        <v>62</v>
      </c>
      <c r="C1488" s="1" t="s">
        <v>63</v>
      </c>
      <c r="D1488" s="2">
        <v>44724</v>
      </c>
      <c r="E1488" s="8" t="s">
        <v>6</v>
      </c>
      <c r="F1488" s="8" t="s">
        <v>7</v>
      </c>
      <c r="G1488" s="8" t="s">
        <v>7</v>
      </c>
      <c r="H1488" t="s">
        <v>16</v>
      </c>
      <c r="I1488" s="4">
        <v>3400</v>
      </c>
      <c r="J1488" s="8">
        <v>3</v>
      </c>
      <c r="K1488" s="4">
        <f t="shared" si="38"/>
        <v>10200</v>
      </c>
      <c r="L1488" s="4">
        <f t="shared" si="39"/>
        <v>3570</v>
      </c>
      <c r="M1488" s="3">
        <v>0.35</v>
      </c>
    </row>
    <row r="1489" spans="2:13" x14ac:dyDescent="0.3">
      <c r="B1489" t="s">
        <v>60</v>
      </c>
      <c r="C1489" s="1" t="s">
        <v>64</v>
      </c>
      <c r="D1489" s="2">
        <v>44724</v>
      </c>
      <c r="E1489" s="8" t="s">
        <v>6</v>
      </c>
      <c r="F1489" s="8" t="s">
        <v>7</v>
      </c>
      <c r="G1489" s="8" t="s">
        <v>7</v>
      </c>
      <c r="H1489" t="s">
        <v>14</v>
      </c>
      <c r="I1489" s="4">
        <v>4500</v>
      </c>
      <c r="J1489" s="8">
        <v>9</v>
      </c>
      <c r="K1489" s="4">
        <f t="shared" si="38"/>
        <v>40500</v>
      </c>
      <c r="L1489" s="4">
        <f t="shared" si="39"/>
        <v>10125</v>
      </c>
      <c r="M1489" s="3">
        <v>0.25</v>
      </c>
    </row>
    <row r="1490" spans="2:13" x14ac:dyDescent="0.3">
      <c r="B1490" t="s">
        <v>65</v>
      </c>
      <c r="C1490" s="1" t="s">
        <v>64</v>
      </c>
      <c r="D1490" s="2">
        <v>44731</v>
      </c>
      <c r="E1490" s="8" t="s">
        <v>6</v>
      </c>
      <c r="F1490" s="8" t="s">
        <v>7</v>
      </c>
      <c r="G1490" s="8" t="s">
        <v>7</v>
      </c>
      <c r="H1490" t="s">
        <v>8</v>
      </c>
      <c r="I1490" s="4">
        <v>1200</v>
      </c>
      <c r="J1490" s="8">
        <v>2</v>
      </c>
      <c r="K1490" s="4">
        <f t="shared" si="38"/>
        <v>2400</v>
      </c>
      <c r="L1490" s="4">
        <f t="shared" si="39"/>
        <v>720</v>
      </c>
      <c r="M1490" s="3">
        <v>0.3</v>
      </c>
    </row>
    <row r="1491" spans="2:13" x14ac:dyDescent="0.3">
      <c r="B1491" t="s">
        <v>66</v>
      </c>
      <c r="C1491" s="1" t="s">
        <v>63</v>
      </c>
      <c r="D1491" s="2">
        <v>44731</v>
      </c>
      <c r="E1491" s="8" t="s">
        <v>6</v>
      </c>
      <c r="F1491" s="8" t="s">
        <v>7</v>
      </c>
      <c r="G1491" s="8" t="s">
        <v>7</v>
      </c>
      <c r="H1491" t="s">
        <v>13</v>
      </c>
      <c r="I1491" s="4">
        <v>3200</v>
      </c>
      <c r="J1491" s="8">
        <v>4</v>
      </c>
      <c r="K1491" s="4">
        <f t="shared" si="38"/>
        <v>12800</v>
      </c>
      <c r="L1491" s="4">
        <f t="shared" si="39"/>
        <v>2560</v>
      </c>
      <c r="M1491" s="3">
        <v>0.2</v>
      </c>
    </row>
    <row r="1492" spans="2:13" x14ac:dyDescent="0.3">
      <c r="B1492" t="s">
        <v>60</v>
      </c>
      <c r="C1492" s="1" t="s">
        <v>63</v>
      </c>
      <c r="D1492" s="2">
        <v>44731</v>
      </c>
      <c r="E1492" s="8" t="s">
        <v>6</v>
      </c>
      <c r="F1492" s="8" t="s">
        <v>7</v>
      </c>
      <c r="G1492" s="8" t="s">
        <v>7</v>
      </c>
      <c r="H1492" t="s">
        <v>17</v>
      </c>
      <c r="I1492" s="4">
        <v>5130</v>
      </c>
      <c r="J1492" s="8">
        <v>4</v>
      </c>
      <c r="K1492" s="4">
        <f t="shared" si="38"/>
        <v>20520</v>
      </c>
      <c r="L1492" s="4">
        <f t="shared" si="39"/>
        <v>8208</v>
      </c>
      <c r="M1492" s="3">
        <v>0.4</v>
      </c>
    </row>
    <row r="1493" spans="2:13" x14ac:dyDescent="0.3">
      <c r="B1493" t="s">
        <v>62</v>
      </c>
      <c r="C1493" s="1" t="s">
        <v>63</v>
      </c>
      <c r="D1493" s="2">
        <v>44731</v>
      </c>
      <c r="E1493" s="8" t="s">
        <v>6</v>
      </c>
      <c r="F1493" s="8" t="s">
        <v>7</v>
      </c>
      <c r="G1493" s="8" t="s">
        <v>7</v>
      </c>
      <c r="H1493" t="s">
        <v>15</v>
      </c>
      <c r="I1493" s="4">
        <v>5300</v>
      </c>
      <c r="J1493" s="8">
        <v>11</v>
      </c>
      <c r="K1493" s="4">
        <f t="shared" si="38"/>
        <v>58300</v>
      </c>
      <c r="L1493" s="4">
        <f t="shared" si="39"/>
        <v>17490</v>
      </c>
      <c r="M1493" s="3">
        <v>0.3</v>
      </c>
    </row>
    <row r="1494" spans="2:13" x14ac:dyDescent="0.3">
      <c r="B1494" t="s">
        <v>61</v>
      </c>
      <c r="C1494" s="1" t="s">
        <v>64</v>
      </c>
      <c r="D1494" s="2">
        <v>44738</v>
      </c>
      <c r="E1494" s="8" t="s">
        <v>6</v>
      </c>
      <c r="F1494" s="8" t="s">
        <v>7</v>
      </c>
      <c r="G1494" s="8" t="s">
        <v>7</v>
      </c>
      <c r="H1494" t="s">
        <v>12</v>
      </c>
      <c r="I1494" s="4">
        <v>500</v>
      </c>
      <c r="J1494" s="8">
        <v>8</v>
      </c>
      <c r="K1494" s="4">
        <f t="shared" si="38"/>
        <v>4000</v>
      </c>
      <c r="L1494" s="4">
        <f t="shared" si="39"/>
        <v>1000</v>
      </c>
      <c r="M1494" s="3">
        <v>0.25</v>
      </c>
    </row>
    <row r="1495" spans="2:13" x14ac:dyDescent="0.3">
      <c r="B1495" t="s">
        <v>65</v>
      </c>
      <c r="C1495" s="1" t="s">
        <v>63</v>
      </c>
      <c r="D1495" s="2">
        <v>44738</v>
      </c>
      <c r="E1495" s="8" t="s">
        <v>6</v>
      </c>
      <c r="F1495" s="8" t="s">
        <v>7</v>
      </c>
      <c r="G1495" s="8" t="s">
        <v>7</v>
      </c>
      <c r="H1495" t="s">
        <v>18</v>
      </c>
      <c r="I1495" s="4">
        <v>4600</v>
      </c>
      <c r="J1495" s="8">
        <v>1</v>
      </c>
      <c r="K1495" s="4">
        <f t="shared" si="38"/>
        <v>4600</v>
      </c>
      <c r="L1495" s="4">
        <f t="shared" si="39"/>
        <v>1150</v>
      </c>
      <c r="M1495" s="3">
        <v>0.25</v>
      </c>
    </row>
    <row r="1496" spans="2:13" x14ac:dyDescent="0.3">
      <c r="B1496" t="s">
        <v>65</v>
      </c>
      <c r="C1496" s="1" t="s">
        <v>64</v>
      </c>
      <c r="D1496" s="2">
        <v>44738</v>
      </c>
      <c r="E1496" s="8" t="s">
        <v>6</v>
      </c>
      <c r="F1496" s="8" t="s">
        <v>7</v>
      </c>
      <c r="G1496" s="8" t="s">
        <v>7</v>
      </c>
      <c r="H1496" t="s">
        <v>15</v>
      </c>
      <c r="I1496" s="4">
        <v>5300</v>
      </c>
      <c r="J1496" s="8">
        <v>4</v>
      </c>
      <c r="K1496" s="4">
        <f t="shared" si="38"/>
        <v>21200</v>
      </c>
      <c r="L1496" s="4">
        <f t="shared" si="39"/>
        <v>6360</v>
      </c>
      <c r="M1496" s="3">
        <v>0.3</v>
      </c>
    </row>
    <row r="1497" spans="2:13" x14ac:dyDescent="0.3">
      <c r="B1497" t="s">
        <v>65</v>
      </c>
      <c r="C1497" s="1" t="s">
        <v>64</v>
      </c>
      <c r="D1497" s="2">
        <v>44738</v>
      </c>
      <c r="E1497" s="8" t="s">
        <v>6</v>
      </c>
      <c r="F1497" s="8" t="s">
        <v>7</v>
      </c>
      <c r="G1497" s="8" t="s">
        <v>7</v>
      </c>
      <c r="H1497" t="s">
        <v>13</v>
      </c>
      <c r="I1497" s="4">
        <v>3200</v>
      </c>
      <c r="J1497" s="8">
        <v>7</v>
      </c>
      <c r="K1497" s="4">
        <f t="shared" si="38"/>
        <v>22400</v>
      </c>
      <c r="L1497" s="4">
        <f t="shared" si="39"/>
        <v>4480</v>
      </c>
      <c r="M1497" s="3">
        <v>0.2</v>
      </c>
    </row>
    <row r="1498" spans="2:13" x14ac:dyDescent="0.3">
      <c r="B1498" t="s">
        <v>65</v>
      </c>
      <c r="C1498" s="1" t="s">
        <v>64</v>
      </c>
      <c r="D1498" s="2">
        <v>44745</v>
      </c>
      <c r="E1498" s="8" t="s">
        <v>6</v>
      </c>
      <c r="F1498" s="8" t="s">
        <v>7</v>
      </c>
      <c r="G1498" s="8" t="s">
        <v>7</v>
      </c>
      <c r="H1498" t="s">
        <v>8</v>
      </c>
      <c r="I1498" s="4">
        <v>1200</v>
      </c>
      <c r="J1498" s="8">
        <v>2</v>
      </c>
      <c r="K1498" s="4">
        <f t="shared" ref="K1498:K1561" si="40">I1498*J1498</f>
        <v>2400</v>
      </c>
      <c r="L1498" s="4">
        <f t="shared" ref="L1498:L1561" si="41">K1498*M1498</f>
        <v>720</v>
      </c>
      <c r="M1498" s="3">
        <v>0.3</v>
      </c>
    </row>
    <row r="1499" spans="2:13" x14ac:dyDescent="0.3">
      <c r="B1499" t="s">
        <v>65</v>
      </c>
      <c r="C1499" s="1" t="s">
        <v>63</v>
      </c>
      <c r="D1499" s="2">
        <v>44745</v>
      </c>
      <c r="E1499" s="8" t="s">
        <v>6</v>
      </c>
      <c r="F1499" s="8" t="s">
        <v>7</v>
      </c>
      <c r="G1499" s="8" t="s">
        <v>7</v>
      </c>
      <c r="H1499" t="s">
        <v>14</v>
      </c>
      <c r="I1499" s="4">
        <v>4500</v>
      </c>
      <c r="J1499" s="8">
        <v>1</v>
      </c>
      <c r="K1499" s="4">
        <f t="shared" si="40"/>
        <v>4500</v>
      </c>
      <c r="L1499" s="4">
        <f t="shared" si="41"/>
        <v>1125</v>
      </c>
      <c r="M1499" s="3">
        <v>0.25</v>
      </c>
    </row>
    <row r="1500" spans="2:13" x14ac:dyDescent="0.3">
      <c r="B1500" t="s">
        <v>65</v>
      </c>
      <c r="C1500" s="1" t="s">
        <v>64</v>
      </c>
      <c r="D1500" s="2">
        <v>44745</v>
      </c>
      <c r="E1500" s="8" t="s">
        <v>6</v>
      </c>
      <c r="F1500" s="8" t="s">
        <v>7</v>
      </c>
      <c r="G1500" s="8" t="s">
        <v>7</v>
      </c>
      <c r="H1500" t="s">
        <v>9</v>
      </c>
      <c r="I1500" s="4">
        <v>1500</v>
      </c>
      <c r="J1500" s="8">
        <v>8</v>
      </c>
      <c r="K1500" s="4">
        <f t="shared" si="40"/>
        <v>12000</v>
      </c>
      <c r="L1500" s="4">
        <f t="shared" si="41"/>
        <v>4800</v>
      </c>
      <c r="M1500" s="3">
        <v>0.4</v>
      </c>
    </row>
    <row r="1501" spans="2:13" x14ac:dyDescent="0.3">
      <c r="B1501" t="s">
        <v>62</v>
      </c>
      <c r="C1501" s="1" t="s">
        <v>63</v>
      </c>
      <c r="D1501" s="2">
        <v>44745</v>
      </c>
      <c r="E1501" s="8" t="s">
        <v>6</v>
      </c>
      <c r="F1501" s="8" t="s">
        <v>7</v>
      </c>
      <c r="G1501" s="8" t="s">
        <v>7</v>
      </c>
      <c r="H1501" t="s">
        <v>19</v>
      </c>
      <c r="I1501" s="4">
        <v>5340</v>
      </c>
      <c r="J1501" s="8">
        <v>4</v>
      </c>
      <c r="K1501" s="4">
        <f t="shared" si="40"/>
        <v>21360</v>
      </c>
      <c r="L1501" s="4">
        <f t="shared" si="41"/>
        <v>6408</v>
      </c>
      <c r="M1501" s="3">
        <v>0.3</v>
      </c>
    </row>
    <row r="1502" spans="2:13" x14ac:dyDescent="0.3">
      <c r="B1502" t="s">
        <v>60</v>
      </c>
      <c r="C1502" s="1" t="s">
        <v>63</v>
      </c>
      <c r="D1502" s="2">
        <v>44752</v>
      </c>
      <c r="E1502" s="8" t="s">
        <v>6</v>
      </c>
      <c r="F1502" s="8" t="s">
        <v>7</v>
      </c>
      <c r="G1502" s="8" t="s">
        <v>7</v>
      </c>
      <c r="H1502" t="s">
        <v>11</v>
      </c>
      <c r="I1502" s="4">
        <v>300</v>
      </c>
      <c r="J1502" s="8">
        <v>5</v>
      </c>
      <c r="K1502" s="4">
        <f t="shared" si="40"/>
        <v>1500</v>
      </c>
      <c r="L1502" s="4">
        <f t="shared" si="41"/>
        <v>225</v>
      </c>
      <c r="M1502" s="3">
        <v>0.15</v>
      </c>
    </row>
    <row r="1503" spans="2:13" x14ac:dyDescent="0.3">
      <c r="B1503" t="s">
        <v>60</v>
      </c>
      <c r="C1503" s="1" t="s">
        <v>63</v>
      </c>
      <c r="D1503" s="2">
        <v>44752</v>
      </c>
      <c r="E1503" s="8" t="s">
        <v>6</v>
      </c>
      <c r="F1503" s="8" t="s">
        <v>7</v>
      </c>
      <c r="G1503" s="8" t="s">
        <v>7</v>
      </c>
      <c r="H1503" t="s">
        <v>14</v>
      </c>
      <c r="I1503" s="4">
        <v>4500</v>
      </c>
      <c r="J1503" s="8">
        <v>8</v>
      </c>
      <c r="K1503" s="4">
        <f t="shared" si="40"/>
        <v>36000</v>
      </c>
      <c r="L1503" s="4">
        <f t="shared" si="41"/>
        <v>9000</v>
      </c>
      <c r="M1503" s="3">
        <v>0.25</v>
      </c>
    </row>
    <row r="1504" spans="2:13" x14ac:dyDescent="0.3">
      <c r="B1504" t="s">
        <v>65</v>
      </c>
      <c r="C1504" s="1" t="s">
        <v>64</v>
      </c>
      <c r="D1504" s="2">
        <v>44752</v>
      </c>
      <c r="E1504" s="8" t="s">
        <v>6</v>
      </c>
      <c r="F1504" s="8" t="s">
        <v>7</v>
      </c>
      <c r="G1504" s="8" t="s">
        <v>7</v>
      </c>
      <c r="H1504" t="s">
        <v>16</v>
      </c>
      <c r="I1504" s="4">
        <v>3400</v>
      </c>
      <c r="J1504" s="8">
        <v>11</v>
      </c>
      <c r="K1504" s="4">
        <f t="shared" si="40"/>
        <v>37400</v>
      </c>
      <c r="L1504" s="4">
        <f t="shared" si="41"/>
        <v>13090</v>
      </c>
      <c r="M1504" s="3">
        <v>0.35</v>
      </c>
    </row>
    <row r="1505" spans="2:13" x14ac:dyDescent="0.3">
      <c r="B1505" t="s">
        <v>65</v>
      </c>
      <c r="C1505" s="1" t="s">
        <v>63</v>
      </c>
      <c r="D1505" s="2">
        <v>44752</v>
      </c>
      <c r="E1505" s="8" t="s">
        <v>6</v>
      </c>
      <c r="F1505" s="8" t="s">
        <v>7</v>
      </c>
      <c r="G1505" s="8" t="s">
        <v>7</v>
      </c>
      <c r="H1505" t="s">
        <v>18</v>
      </c>
      <c r="I1505" s="4">
        <v>4600</v>
      </c>
      <c r="J1505" s="8">
        <v>12</v>
      </c>
      <c r="K1505" s="4">
        <f t="shared" si="40"/>
        <v>55200</v>
      </c>
      <c r="L1505" s="4">
        <f t="shared" si="41"/>
        <v>13800</v>
      </c>
      <c r="M1505" s="3">
        <v>0.25</v>
      </c>
    </row>
    <row r="1506" spans="2:13" x14ac:dyDescent="0.3">
      <c r="B1506" t="s">
        <v>65</v>
      </c>
      <c r="C1506" s="1" t="s">
        <v>64</v>
      </c>
      <c r="D1506" s="2">
        <v>44759</v>
      </c>
      <c r="E1506" s="8" t="s">
        <v>6</v>
      </c>
      <c r="F1506" s="8" t="s">
        <v>7</v>
      </c>
      <c r="G1506" s="8" t="s">
        <v>7</v>
      </c>
      <c r="H1506" t="s">
        <v>9</v>
      </c>
      <c r="I1506" s="4">
        <v>1500</v>
      </c>
      <c r="J1506" s="8">
        <v>9</v>
      </c>
      <c r="K1506" s="4">
        <f t="shared" si="40"/>
        <v>13500</v>
      </c>
      <c r="L1506" s="4">
        <f t="shared" si="41"/>
        <v>5400</v>
      </c>
      <c r="M1506" s="3">
        <v>0.4</v>
      </c>
    </row>
    <row r="1507" spans="2:13" x14ac:dyDescent="0.3">
      <c r="B1507" t="s">
        <v>65</v>
      </c>
      <c r="C1507" s="1" t="s">
        <v>63</v>
      </c>
      <c r="D1507" s="2">
        <v>44759</v>
      </c>
      <c r="E1507" s="8" t="s">
        <v>6</v>
      </c>
      <c r="F1507" s="8" t="s">
        <v>7</v>
      </c>
      <c r="G1507" s="8" t="s">
        <v>7</v>
      </c>
      <c r="H1507" t="s">
        <v>19</v>
      </c>
      <c r="I1507" s="4">
        <v>5340</v>
      </c>
      <c r="J1507" s="8">
        <v>3</v>
      </c>
      <c r="K1507" s="4">
        <f t="shared" si="40"/>
        <v>16020</v>
      </c>
      <c r="L1507" s="4">
        <f t="shared" si="41"/>
        <v>4806</v>
      </c>
      <c r="M1507" s="3">
        <v>0.3</v>
      </c>
    </row>
    <row r="1508" spans="2:13" x14ac:dyDescent="0.3">
      <c r="B1508" t="s">
        <v>65</v>
      </c>
      <c r="C1508" s="1" t="s">
        <v>63</v>
      </c>
      <c r="D1508" s="2">
        <v>44759</v>
      </c>
      <c r="E1508" s="8" t="s">
        <v>6</v>
      </c>
      <c r="F1508" s="8" t="s">
        <v>7</v>
      </c>
      <c r="G1508" s="8" t="s">
        <v>7</v>
      </c>
      <c r="H1508" t="s">
        <v>15</v>
      </c>
      <c r="I1508" s="4">
        <v>5300</v>
      </c>
      <c r="J1508" s="8">
        <v>5</v>
      </c>
      <c r="K1508" s="4">
        <f t="shared" si="40"/>
        <v>26500</v>
      </c>
      <c r="L1508" s="4">
        <f t="shared" si="41"/>
        <v>7950</v>
      </c>
      <c r="M1508" s="3">
        <v>0.3</v>
      </c>
    </row>
    <row r="1509" spans="2:13" x14ac:dyDescent="0.3">
      <c r="B1509" t="s">
        <v>62</v>
      </c>
      <c r="C1509" s="1" t="s">
        <v>63</v>
      </c>
      <c r="D1509" s="2">
        <v>44759</v>
      </c>
      <c r="E1509" s="8" t="s">
        <v>6</v>
      </c>
      <c r="F1509" s="8" t="s">
        <v>7</v>
      </c>
      <c r="G1509" s="8" t="s">
        <v>7</v>
      </c>
      <c r="H1509" t="s">
        <v>14</v>
      </c>
      <c r="I1509" s="4">
        <v>4500</v>
      </c>
      <c r="J1509" s="8">
        <v>12</v>
      </c>
      <c r="K1509" s="4">
        <f t="shared" si="40"/>
        <v>54000</v>
      </c>
      <c r="L1509" s="4">
        <f t="shared" si="41"/>
        <v>13500</v>
      </c>
      <c r="M1509" s="3">
        <v>0.25</v>
      </c>
    </row>
    <row r="1510" spans="2:13" x14ac:dyDescent="0.3">
      <c r="B1510" t="s">
        <v>62</v>
      </c>
      <c r="C1510" s="1" t="s">
        <v>63</v>
      </c>
      <c r="D1510" s="2">
        <v>44766</v>
      </c>
      <c r="E1510" s="8" t="s">
        <v>6</v>
      </c>
      <c r="F1510" s="8" t="s">
        <v>7</v>
      </c>
      <c r="G1510" s="8" t="s">
        <v>7</v>
      </c>
      <c r="H1510" t="s">
        <v>11</v>
      </c>
      <c r="I1510" s="4">
        <v>300</v>
      </c>
      <c r="J1510" s="8">
        <v>1</v>
      </c>
      <c r="K1510" s="4">
        <f t="shared" si="40"/>
        <v>300</v>
      </c>
      <c r="L1510" s="4">
        <f t="shared" si="41"/>
        <v>45</v>
      </c>
      <c r="M1510" s="3">
        <v>0.15</v>
      </c>
    </row>
    <row r="1511" spans="2:13" x14ac:dyDescent="0.3">
      <c r="B1511" t="s">
        <v>60</v>
      </c>
      <c r="C1511" s="1" t="s">
        <v>63</v>
      </c>
      <c r="D1511" s="2">
        <v>44766</v>
      </c>
      <c r="E1511" s="8" t="s">
        <v>6</v>
      </c>
      <c r="F1511" s="8" t="s">
        <v>7</v>
      </c>
      <c r="G1511" s="8" t="s">
        <v>7</v>
      </c>
      <c r="H1511" t="s">
        <v>10</v>
      </c>
      <c r="I1511" s="4">
        <v>1700</v>
      </c>
      <c r="J1511" s="8">
        <v>2</v>
      </c>
      <c r="K1511" s="4">
        <f t="shared" si="40"/>
        <v>3400</v>
      </c>
      <c r="L1511" s="4">
        <f t="shared" si="41"/>
        <v>1700</v>
      </c>
      <c r="M1511" s="3">
        <v>0.5</v>
      </c>
    </row>
    <row r="1512" spans="2:13" x14ac:dyDescent="0.3">
      <c r="B1512" t="s">
        <v>65</v>
      </c>
      <c r="C1512" s="1" t="s">
        <v>63</v>
      </c>
      <c r="D1512" s="2">
        <v>44766</v>
      </c>
      <c r="E1512" s="8" t="s">
        <v>6</v>
      </c>
      <c r="F1512" s="8" t="s">
        <v>7</v>
      </c>
      <c r="G1512" s="8" t="s">
        <v>7</v>
      </c>
      <c r="H1512" t="s">
        <v>15</v>
      </c>
      <c r="I1512" s="4">
        <v>5300</v>
      </c>
      <c r="J1512" s="8">
        <v>1</v>
      </c>
      <c r="K1512" s="4">
        <f t="shared" si="40"/>
        <v>5300</v>
      </c>
      <c r="L1512" s="4">
        <f t="shared" si="41"/>
        <v>1590</v>
      </c>
      <c r="M1512" s="3">
        <v>0.3</v>
      </c>
    </row>
    <row r="1513" spans="2:13" x14ac:dyDescent="0.3">
      <c r="B1513" t="s">
        <v>60</v>
      </c>
      <c r="C1513" s="1" t="s">
        <v>64</v>
      </c>
      <c r="D1513" s="2">
        <v>44766</v>
      </c>
      <c r="E1513" s="8" t="s">
        <v>6</v>
      </c>
      <c r="F1513" s="8" t="s">
        <v>7</v>
      </c>
      <c r="G1513" s="8" t="s">
        <v>7</v>
      </c>
      <c r="H1513" t="s">
        <v>16</v>
      </c>
      <c r="I1513" s="4">
        <v>3400</v>
      </c>
      <c r="J1513" s="8">
        <v>3</v>
      </c>
      <c r="K1513" s="4">
        <f t="shared" si="40"/>
        <v>10200</v>
      </c>
      <c r="L1513" s="4">
        <f t="shared" si="41"/>
        <v>3570</v>
      </c>
      <c r="M1513" s="3">
        <v>0.35</v>
      </c>
    </row>
    <row r="1514" spans="2:13" x14ac:dyDescent="0.3">
      <c r="B1514" t="s">
        <v>66</v>
      </c>
      <c r="C1514" s="1" t="s">
        <v>64</v>
      </c>
      <c r="D1514" s="2">
        <v>44766</v>
      </c>
      <c r="E1514" s="8" t="s">
        <v>6</v>
      </c>
      <c r="F1514" s="8" t="s">
        <v>7</v>
      </c>
      <c r="G1514" s="8" t="s">
        <v>7</v>
      </c>
      <c r="H1514" t="s">
        <v>9</v>
      </c>
      <c r="I1514" s="4">
        <v>1500</v>
      </c>
      <c r="J1514" s="8">
        <v>12</v>
      </c>
      <c r="K1514" s="4">
        <f t="shared" si="40"/>
        <v>18000</v>
      </c>
      <c r="L1514" s="4">
        <f t="shared" si="41"/>
        <v>7200</v>
      </c>
      <c r="M1514" s="3">
        <v>0.4</v>
      </c>
    </row>
    <row r="1515" spans="2:13" x14ac:dyDescent="0.3">
      <c r="B1515" t="s">
        <v>65</v>
      </c>
      <c r="C1515" s="1" t="s">
        <v>63</v>
      </c>
      <c r="D1515" s="2">
        <v>44766</v>
      </c>
      <c r="E1515" s="8" t="s">
        <v>6</v>
      </c>
      <c r="F1515" s="8" t="s">
        <v>7</v>
      </c>
      <c r="G1515" s="8" t="s">
        <v>7</v>
      </c>
      <c r="H1515" t="s">
        <v>14</v>
      </c>
      <c r="I1515" s="4">
        <v>4500</v>
      </c>
      <c r="J1515" s="8">
        <v>7</v>
      </c>
      <c r="K1515" s="4">
        <f t="shared" si="40"/>
        <v>31500</v>
      </c>
      <c r="L1515" s="4">
        <f t="shared" si="41"/>
        <v>7875</v>
      </c>
      <c r="M1515" s="3">
        <v>0.25</v>
      </c>
    </row>
    <row r="1516" spans="2:13" x14ac:dyDescent="0.3">
      <c r="B1516" t="s">
        <v>60</v>
      </c>
      <c r="C1516" s="1" t="s">
        <v>64</v>
      </c>
      <c r="D1516" s="2">
        <v>44766</v>
      </c>
      <c r="E1516" s="8" t="s">
        <v>6</v>
      </c>
      <c r="F1516" s="8" t="s">
        <v>7</v>
      </c>
      <c r="G1516" s="8" t="s">
        <v>7</v>
      </c>
      <c r="H1516" t="s">
        <v>14</v>
      </c>
      <c r="I1516" s="4">
        <v>4500</v>
      </c>
      <c r="J1516" s="8">
        <v>8</v>
      </c>
      <c r="K1516" s="4">
        <f t="shared" si="40"/>
        <v>36000</v>
      </c>
      <c r="L1516" s="4">
        <f t="shared" si="41"/>
        <v>9000</v>
      </c>
      <c r="M1516" s="3">
        <v>0.25</v>
      </c>
    </row>
    <row r="1517" spans="2:13" x14ac:dyDescent="0.3">
      <c r="B1517" t="s">
        <v>61</v>
      </c>
      <c r="C1517" s="1" t="s">
        <v>64</v>
      </c>
      <c r="D1517" s="2">
        <v>44766</v>
      </c>
      <c r="E1517" s="8" t="s">
        <v>6</v>
      </c>
      <c r="F1517" s="8" t="s">
        <v>7</v>
      </c>
      <c r="G1517" s="8" t="s">
        <v>7</v>
      </c>
      <c r="H1517" t="s">
        <v>17</v>
      </c>
      <c r="I1517" s="4">
        <v>5130</v>
      </c>
      <c r="J1517" s="8">
        <v>8</v>
      </c>
      <c r="K1517" s="4">
        <f t="shared" si="40"/>
        <v>41040</v>
      </c>
      <c r="L1517" s="4">
        <f t="shared" si="41"/>
        <v>16416</v>
      </c>
      <c r="M1517" s="3">
        <v>0.4</v>
      </c>
    </row>
    <row r="1518" spans="2:13" x14ac:dyDescent="0.3">
      <c r="B1518" t="s">
        <v>61</v>
      </c>
      <c r="C1518" s="1" t="s">
        <v>63</v>
      </c>
      <c r="D1518" s="2">
        <v>44773</v>
      </c>
      <c r="E1518" s="8" t="s">
        <v>6</v>
      </c>
      <c r="F1518" s="8" t="s">
        <v>7</v>
      </c>
      <c r="G1518" s="8" t="s">
        <v>7</v>
      </c>
      <c r="H1518" t="s">
        <v>9</v>
      </c>
      <c r="I1518" s="4">
        <v>1500</v>
      </c>
      <c r="J1518" s="8">
        <v>4</v>
      </c>
      <c r="K1518" s="4">
        <f t="shared" si="40"/>
        <v>6000</v>
      </c>
      <c r="L1518" s="4">
        <f t="shared" si="41"/>
        <v>2400</v>
      </c>
      <c r="M1518" s="3">
        <v>0.4</v>
      </c>
    </row>
    <row r="1519" spans="2:13" x14ac:dyDescent="0.3">
      <c r="B1519" t="s">
        <v>60</v>
      </c>
      <c r="C1519" s="1" t="s">
        <v>63</v>
      </c>
      <c r="D1519" s="2">
        <v>44773</v>
      </c>
      <c r="E1519" s="8" t="s">
        <v>6</v>
      </c>
      <c r="F1519" s="8" t="s">
        <v>7</v>
      </c>
      <c r="G1519" s="8" t="s">
        <v>7</v>
      </c>
      <c r="H1519" t="s">
        <v>16</v>
      </c>
      <c r="I1519" s="4">
        <v>3400</v>
      </c>
      <c r="J1519" s="8">
        <v>5</v>
      </c>
      <c r="K1519" s="4">
        <f t="shared" si="40"/>
        <v>17000</v>
      </c>
      <c r="L1519" s="4">
        <f t="shared" si="41"/>
        <v>5950</v>
      </c>
      <c r="M1519" s="3">
        <v>0.35</v>
      </c>
    </row>
    <row r="1520" spans="2:13" x14ac:dyDescent="0.3">
      <c r="B1520" t="s">
        <v>62</v>
      </c>
      <c r="C1520" s="1" t="s">
        <v>63</v>
      </c>
      <c r="D1520" s="2">
        <v>44773</v>
      </c>
      <c r="E1520" s="8" t="s">
        <v>6</v>
      </c>
      <c r="F1520" s="8" t="s">
        <v>7</v>
      </c>
      <c r="G1520" s="8" t="s">
        <v>7</v>
      </c>
      <c r="H1520" t="s">
        <v>20</v>
      </c>
      <c r="I1520" s="4">
        <v>8902</v>
      </c>
      <c r="J1520" s="8">
        <v>5</v>
      </c>
      <c r="K1520" s="4">
        <f t="shared" si="40"/>
        <v>44510</v>
      </c>
      <c r="L1520" s="4">
        <f t="shared" si="41"/>
        <v>15578.499999999998</v>
      </c>
      <c r="M1520" s="3">
        <v>0.35</v>
      </c>
    </row>
    <row r="1521" spans="2:13" x14ac:dyDescent="0.3">
      <c r="B1521" t="s">
        <v>65</v>
      </c>
      <c r="C1521" s="1" t="s">
        <v>64</v>
      </c>
      <c r="D1521" s="2">
        <v>44773</v>
      </c>
      <c r="E1521" s="8" t="s">
        <v>6</v>
      </c>
      <c r="F1521" s="8" t="s">
        <v>7</v>
      </c>
      <c r="G1521" s="8" t="s">
        <v>7</v>
      </c>
      <c r="H1521" t="s">
        <v>19</v>
      </c>
      <c r="I1521" s="4">
        <v>5340</v>
      </c>
      <c r="J1521" s="8">
        <v>11</v>
      </c>
      <c r="K1521" s="4">
        <f t="shared" si="40"/>
        <v>58740</v>
      </c>
      <c r="L1521" s="4">
        <f t="shared" si="41"/>
        <v>17622</v>
      </c>
      <c r="M1521" s="3">
        <v>0.3</v>
      </c>
    </row>
    <row r="1522" spans="2:13" x14ac:dyDescent="0.3">
      <c r="B1522" t="s">
        <v>60</v>
      </c>
      <c r="C1522" s="1" t="s">
        <v>63</v>
      </c>
      <c r="D1522" s="2">
        <v>44780</v>
      </c>
      <c r="E1522" s="8" t="s">
        <v>6</v>
      </c>
      <c r="F1522" s="8" t="s">
        <v>7</v>
      </c>
      <c r="G1522" s="8" t="s">
        <v>7</v>
      </c>
      <c r="H1522" t="s">
        <v>12</v>
      </c>
      <c r="I1522" s="4">
        <v>500</v>
      </c>
      <c r="J1522" s="8">
        <v>1</v>
      </c>
      <c r="K1522" s="4">
        <f t="shared" si="40"/>
        <v>500</v>
      </c>
      <c r="L1522" s="4">
        <f t="shared" si="41"/>
        <v>125</v>
      </c>
      <c r="M1522" s="3">
        <v>0.25</v>
      </c>
    </row>
    <row r="1523" spans="2:13" x14ac:dyDescent="0.3">
      <c r="B1523" t="s">
        <v>62</v>
      </c>
      <c r="C1523" s="1" t="s">
        <v>63</v>
      </c>
      <c r="D1523" s="2">
        <v>44780</v>
      </c>
      <c r="E1523" s="8" t="s">
        <v>6</v>
      </c>
      <c r="F1523" s="8" t="s">
        <v>7</v>
      </c>
      <c r="G1523" s="8" t="s">
        <v>7</v>
      </c>
      <c r="H1523" t="s">
        <v>10</v>
      </c>
      <c r="I1523" s="4">
        <v>1700</v>
      </c>
      <c r="J1523" s="8">
        <v>1</v>
      </c>
      <c r="K1523" s="4">
        <f t="shared" si="40"/>
        <v>1700</v>
      </c>
      <c r="L1523" s="4">
        <f t="shared" si="41"/>
        <v>850</v>
      </c>
      <c r="M1523" s="3">
        <v>0.5</v>
      </c>
    </row>
    <row r="1524" spans="2:13" x14ac:dyDescent="0.3">
      <c r="B1524" t="s">
        <v>66</v>
      </c>
      <c r="C1524" s="1" t="s">
        <v>63</v>
      </c>
      <c r="D1524" s="2">
        <v>44780</v>
      </c>
      <c r="E1524" s="8" t="s">
        <v>6</v>
      </c>
      <c r="F1524" s="8" t="s">
        <v>7</v>
      </c>
      <c r="G1524" s="8" t="s">
        <v>7</v>
      </c>
      <c r="H1524" t="s">
        <v>12</v>
      </c>
      <c r="I1524" s="4">
        <v>500</v>
      </c>
      <c r="J1524" s="8">
        <v>12</v>
      </c>
      <c r="K1524" s="4">
        <f t="shared" si="40"/>
        <v>6000</v>
      </c>
      <c r="L1524" s="4">
        <f t="shared" si="41"/>
        <v>1500</v>
      </c>
      <c r="M1524" s="3">
        <v>0.25</v>
      </c>
    </row>
    <row r="1525" spans="2:13" x14ac:dyDescent="0.3">
      <c r="B1525" t="s">
        <v>62</v>
      </c>
      <c r="C1525" s="1" t="s">
        <v>64</v>
      </c>
      <c r="D1525" s="2">
        <v>44780</v>
      </c>
      <c r="E1525" s="8" t="s">
        <v>6</v>
      </c>
      <c r="F1525" s="8" t="s">
        <v>7</v>
      </c>
      <c r="G1525" s="8" t="s">
        <v>7</v>
      </c>
      <c r="H1525" t="s">
        <v>19</v>
      </c>
      <c r="I1525" s="4">
        <v>5340</v>
      </c>
      <c r="J1525" s="8">
        <v>4</v>
      </c>
      <c r="K1525" s="4">
        <f t="shared" si="40"/>
        <v>21360</v>
      </c>
      <c r="L1525" s="4">
        <f t="shared" si="41"/>
        <v>6408</v>
      </c>
      <c r="M1525" s="3">
        <v>0.3</v>
      </c>
    </row>
    <row r="1526" spans="2:13" x14ac:dyDescent="0.3">
      <c r="B1526" t="s">
        <v>60</v>
      </c>
      <c r="C1526" s="1" t="s">
        <v>64</v>
      </c>
      <c r="D1526" s="2">
        <v>44787</v>
      </c>
      <c r="E1526" s="8" t="s">
        <v>6</v>
      </c>
      <c r="F1526" s="8" t="s">
        <v>7</v>
      </c>
      <c r="G1526" s="8" t="s">
        <v>7</v>
      </c>
      <c r="H1526" t="s">
        <v>11</v>
      </c>
      <c r="I1526" s="4">
        <v>300</v>
      </c>
      <c r="J1526" s="8">
        <v>10</v>
      </c>
      <c r="K1526" s="4">
        <f t="shared" si="40"/>
        <v>3000</v>
      </c>
      <c r="L1526" s="4">
        <f t="shared" si="41"/>
        <v>450</v>
      </c>
      <c r="M1526" s="3">
        <v>0.15</v>
      </c>
    </row>
    <row r="1527" spans="2:13" x14ac:dyDescent="0.3">
      <c r="B1527" t="s">
        <v>62</v>
      </c>
      <c r="C1527" s="1" t="s">
        <v>63</v>
      </c>
      <c r="D1527" s="2">
        <v>44787</v>
      </c>
      <c r="E1527" s="8" t="s">
        <v>6</v>
      </c>
      <c r="F1527" s="8" t="s">
        <v>7</v>
      </c>
      <c r="G1527" s="8" t="s">
        <v>7</v>
      </c>
      <c r="H1527" t="s">
        <v>9</v>
      </c>
      <c r="I1527" s="4">
        <v>1500</v>
      </c>
      <c r="J1527" s="8">
        <v>4</v>
      </c>
      <c r="K1527" s="4">
        <f t="shared" si="40"/>
        <v>6000</v>
      </c>
      <c r="L1527" s="4">
        <f t="shared" si="41"/>
        <v>2400</v>
      </c>
      <c r="M1527" s="3">
        <v>0.4</v>
      </c>
    </row>
    <row r="1528" spans="2:13" x14ac:dyDescent="0.3">
      <c r="B1528" t="s">
        <v>62</v>
      </c>
      <c r="C1528" s="1" t="s">
        <v>63</v>
      </c>
      <c r="D1528" s="2">
        <v>44787</v>
      </c>
      <c r="E1528" s="8" t="s">
        <v>6</v>
      </c>
      <c r="F1528" s="8" t="s">
        <v>7</v>
      </c>
      <c r="G1528" s="8" t="s">
        <v>7</v>
      </c>
      <c r="H1528" t="s">
        <v>8</v>
      </c>
      <c r="I1528" s="4">
        <v>1200</v>
      </c>
      <c r="J1528" s="8">
        <v>7</v>
      </c>
      <c r="K1528" s="4">
        <f t="shared" si="40"/>
        <v>8400</v>
      </c>
      <c r="L1528" s="4">
        <f t="shared" si="41"/>
        <v>2520</v>
      </c>
      <c r="M1528" s="3">
        <v>0.3</v>
      </c>
    </row>
    <row r="1529" spans="2:13" x14ac:dyDescent="0.3">
      <c r="B1529" t="s">
        <v>65</v>
      </c>
      <c r="C1529" s="1" t="s">
        <v>63</v>
      </c>
      <c r="D1529" s="2">
        <v>44787</v>
      </c>
      <c r="E1529" s="8" t="s">
        <v>6</v>
      </c>
      <c r="F1529" s="8" t="s">
        <v>7</v>
      </c>
      <c r="G1529" s="8" t="s">
        <v>7</v>
      </c>
      <c r="H1529" t="s">
        <v>16</v>
      </c>
      <c r="I1529" s="4">
        <v>3400</v>
      </c>
      <c r="J1529" s="8">
        <v>11</v>
      </c>
      <c r="K1529" s="4">
        <f t="shared" si="40"/>
        <v>37400</v>
      </c>
      <c r="L1529" s="4">
        <f t="shared" si="41"/>
        <v>13090</v>
      </c>
      <c r="M1529" s="3">
        <v>0.35</v>
      </c>
    </row>
    <row r="1530" spans="2:13" x14ac:dyDescent="0.3">
      <c r="B1530" t="s">
        <v>65</v>
      </c>
      <c r="C1530" s="1" t="s">
        <v>63</v>
      </c>
      <c r="D1530" s="2">
        <v>44794</v>
      </c>
      <c r="E1530" s="8" t="s">
        <v>6</v>
      </c>
      <c r="F1530" s="8" t="s">
        <v>7</v>
      </c>
      <c r="G1530" s="8" t="s">
        <v>7</v>
      </c>
      <c r="H1530" t="s">
        <v>14</v>
      </c>
      <c r="I1530" s="4">
        <v>4500</v>
      </c>
      <c r="J1530" s="8">
        <v>3</v>
      </c>
      <c r="K1530" s="4">
        <f t="shared" si="40"/>
        <v>13500</v>
      </c>
      <c r="L1530" s="4">
        <f t="shared" si="41"/>
        <v>3375</v>
      </c>
      <c r="M1530" s="3">
        <v>0.25</v>
      </c>
    </row>
    <row r="1531" spans="2:13" x14ac:dyDescent="0.3">
      <c r="B1531" t="s">
        <v>60</v>
      </c>
      <c r="C1531" s="1" t="s">
        <v>63</v>
      </c>
      <c r="D1531" s="2">
        <v>44794</v>
      </c>
      <c r="E1531" s="8" t="s">
        <v>6</v>
      </c>
      <c r="F1531" s="8" t="s">
        <v>7</v>
      </c>
      <c r="G1531" s="8" t="s">
        <v>7</v>
      </c>
      <c r="H1531" t="s">
        <v>17</v>
      </c>
      <c r="I1531" s="4">
        <v>5130</v>
      </c>
      <c r="J1531" s="8">
        <v>5</v>
      </c>
      <c r="K1531" s="4">
        <f t="shared" si="40"/>
        <v>25650</v>
      </c>
      <c r="L1531" s="4">
        <f t="shared" si="41"/>
        <v>10260</v>
      </c>
      <c r="M1531" s="3">
        <v>0.4</v>
      </c>
    </row>
    <row r="1532" spans="2:13" x14ac:dyDescent="0.3">
      <c r="B1532" t="s">
        <v>65</v>
      </c>
      <c r="C1532" s="1" t="s">
        <v>64</v>
      </c>
      <c r="D1532" s="2">
        <v>44794</v>
      </c>
      <c r="E1532" s="8" t="s">
        <v>6</v>
      </c>
      <c r="F1532" s="8" t="s">
        <v>7</v>
      </c>
      <c r="G1532" s="8" t="s">
        <v>7</v>
      </c>
      <c r="H1532" t="s">
        <v>19</v>
      </c>
      <c r="I1532" s="4">
        <v>5340</v>
      </c>
      <c r="J1532" s="8">
        <v>8</v>
      </c>
      <c r="K1532" s="4">
        <f t="shared" si="40"/>
        <v>42720</v>
      </c>
      <c r="L1532" s="4">
        <f t="shared" si="41"/>
        <v>12816</v>
      </c>
      <c r="M1532" s="3">
        <v>0.3</v>
      </c>
    </row>
    <row r="1533" spans="2:13" x14ac:dyDescent="0.3">
      <c r="B1533" t="s">
        <v>62</v>
      </c>
      <c r="C1533" s="1" t="s">
        <v>63</v>
      </c>
      <c r="D1533" s="2">
        <v>44794</v>
      </c>
      <c r="E1533" s="8" t="s">
        <v>6</v>
      </c>
      <c r="F1533" s="8" t="s">
        <v>7</v>
      </c>
      <c r="G1533" s="8" t="s">
        <v>7</v>
      </c>
      <c r="H1533" t="s">
        <v>20</v>
      </c>
      <c r="I1533" s="4">
        <v>8902</v>
      </c>
      <c r="J1533" s="8">
        <v>7</v>
      </c>
      <c r="K1533" s="4">
        <f t="shared" si="40"/>
        <v>62314</v>
      </c>
      <c r="L1533" s="4">
        <f t="shared" si="41"/>
        <v>21809.899999999998</v>
      </c>
      <c r="M1533" s="3">
        <v>0.35</v>
      </c>
    </row>
    <row r="1534" spans="2:13" x14ac:dyDescent="0.3">
      <c r="B1534" t="s">
        <v>62</v>
      </c>
      <c r="C1534" s="1" t="s">
        <v>63</v>
      </c>
      <c r="D1534" s="2">
        <v>44801</v>
      </c>
      <c r="E1534" s="8" t="s">
        <v>6</v>
      </c>
      <c r="F1534" s="8" t="s">
        <v>7</v>
      </c>
      <c r="G1534" s="8" t="s">
        <v>7</v>
      </c>
      <c r="H1534" t="s">
        <v>10</v>
      </c>
      <c r="I1534" s="4">
        <v>1700</v>
      </c>
      <c r="J1534" s="8">
        <v>1</v>
      </c>
      <c r="K1534" s="4">
        <f t="shared" si="40"/>
        <v>1700</v>
      </c>
      <c r="L1534" s="4">
        <f t="shared" si="41"/>
        <v>850</v>
      </c>
      <c r="M1534" s="3">
        <v>0.5</v>
      </c>
    </row>
    <row r="1535" spans="2:13" x14ac:dyDescent="0.3">
      <c r="B1535" t="s">
        <v>60</v>
      </c>
      <c r="C1535" s="1" t="s">
        <v>64</v>
      </c>
      <c r="D1535" s="2">
        <v>44801</v>
      </c>
      <c r="E1535" s="8" t="s">
        <v>6</v>
      </c>
      <c r="F1535" s="8" t="s">
        <v>7</v>
      </c>
      <c r="G1535" s="8" t="s">
        <v>7</v>
      </c>
      <c r="H1535" t="s">
        <v>10</v>
      </c>
      <c r="I1535" s="4">
        <v>1700</v>
      </c>
      <c r="J1535" s="8">
        <v>2</v>
      </c>
      <c r="K1535" s="4">
        <f t="shared" si="40"/>
        <v>3400</v>
      </c>
      <c r="L1535" s="4">
        <f t="shared" si="41"/>
        <v>1700</v>
      </c>
      <c r="M1535" s="3">
        <v>0.5</v>
      </c>
    </row>
    <row r="1536" spans="2:13" x14ac:dyDescent="0.3">
      <c r="B1536" t="s">
        <v>62</v>
      </c>
      <c r="C1536" s="1" t="s">
        <v>63</v>
      </c>
      <c r="D1536" s="2">
        <v>44801</v>
      </c>
      <c r="E1536" s="8" t="s">
        <v>6</v>
      </c>
      <c r="F1536" s="8" t="s">
        <v>7</v>
      </c>
      <c r="G1536" s="8" t="s">
        <v>7</v>
      </c>
      <c r="H1536" t="s">
        <v>8</v>
      </c>
      <c r="I1536" s="4">
        <v>1200</v>
      </c>
      <c r="J1536" s="8">
        <v>7</v>
      </c>
      <c r="K1536" s="4">
        <f t="shared" si="40"/>
        <v>8400</v>
      </c>
      <c r="L1536" s="4">
        <f t="shared" si="41"/>
        <v>2520</v>
      </c>
      <c r="M1536" s="3">
        <v>0.3</v>
      </c>
    </row>
    <row r="1537" spans="2:13" x14ac:dyDescent="0.3">
      <c r="B1537" t="s">
        <v>62</v>
      </c>
      <c r="C1537" s="1" t="s">
        <v>64</v>
      </c>
      <c r="D1537" s="2">
        <v>44801</v>
      </c>
      <c r="E1537" s="8" t="s">
        <v>6</v>
      </c>
      <c r="F1537" s="8" t="s">
        <v>7</v>
      </c>
      <c r="G1537" s="8" t="s">
        <v>7</v>
      </c>
      <c r="H1537" t="s">
        <v>19</v>
      </c>
      <c r="I1537" s="4">
        <v>5340</v>
      </c>
      <c r="J1537" s="8">
        <v>4</v>
      </c>
      <c r="K1537" s="4">
        <f t="shared" si="40"/>
        <v>21360</v>
      </c>
      <c r="L1537" s="4">
        <f t="shared" si="41"/>
        <v>6408</v>
      </c>
      <c r="M1537" s="3">
        <v>0.3</v>
      </c>
    </row>
    <row r="1538" spans="2:13" x14ac:dyDescent="0.3">
      <c r="B1538" t="s">
        <v>65</v>
      </c>
      <c r="C1538" s="1" t="s">
        <v>63</v>
      </c>
      <c r="D1538" s="2">
        <v>44808</v>
      </c>
      <c r="E1538" s="8" t="s">
        <v>6</v>
      </c>
      <c r="F1538" s="8" t="s">
        <v>7</v>
      </c>
      <c r="G1538" s="8" t="s">
        <v>7</v>
      </c>
      <c r="H1538" t="s">
        <v>11</v>
      </c>
      <c r="I1538" s="4">
        <v>300</v>
      </c>
      <c r="J1538" s="8">
        <v>12</v>
      </c>
      <c r="K1538" s="4">
        <f t="shared" si="40"/>
        <v>3600</v>
      </c>
      <c r="L1538" s="4">
        <f t="shared" si="41"/>
        <v>540</v>
      </c>
      <c r="M1538" s="3">
        <v>0.15</v>
      </c>
    </row>
    <row r="1539" spans="2:13" x14ac:dyDescent="0.3">
      <c r="B1539" t="s">
        <v>65</v>
      </c>
      <c r="C1539" s="1" t="s">
        <v>63</v>
      </c>
      <c r="D1539" s="2">
        <v>44808</v>
      </c>
      <c r="E1539" s="8" t="s">
        <v>6</v>
      </c>
      <c r="F1539" s="8" t="s">
        <v>7</v>
      </c>
      <c r="G1539" s="8" t="s">
        <v>7</v>
      </c>
      <c r="H1539" t="s">
        <v>17</v>
      </c>
      <c r="I1539" s="4">
        <v>5130</v>
      </c>
      <c r="J1539" s="8">
        <v>3</v>
      </c>
      <c r="K1539" s="4">
        <f t="shared" si="40"/>
        <v>15390</v>
      </c>
      <c r="L1539" s="4">
        <f t="shared" si="41"/>
        <v>6156</v>
      </c>
      <c r="M1539" s="3">
        <v>0.4</v>
      </c>
    </row>
    <row r="1540" spans="2:13" x14ac:dyDescent="0.3">
      <c r="B1540" t="s">
        <v>62</v>
      </c>
      <c r="C1540" s="1" t="s">
        <v>63</v>
      </c>
      <c r="D1540" s="2">
        <v>44808</v>
      </c>
      <c r="E1540" s="8" t="s">
        <v>6</v>
      </c>
      <c r="F1540" s="8" t="s">
        <v>7</v>
      </c>
      <c r="G1540" s="8" t="s">
        <v>7</v>
      </c>
      <c r="H1540" t="s">
        <v>15</v>
      </c>
      <c r="I1540" s="4">
        <v>5300</v>
      </c>
      <c r="J1540" s="8">
        <v>7</v>
      </c>
      <c r="K1540" s="4">
        <f t="shared" si="40"/>
        <v>37100</v>
      </c>
      <c r="L1540" s="4">
        <f t="shared" si="41"/>
        <v>11130</v>
      </c>
      <c r="M1540" s="3">
        <v>0.3</v>
      </c>
    </row>
    <row r="1541" spans="2:13" x14ac:dyDescent="0.3">
      <c r="B1541" t="s">
        <v>60</v>
      </c>
      <c r="C1541" s="1" t="s">
        <v>63</v>
      </c>
      <c r="D1541" s="2">
        <v>44808</v>
      </c>
      <c r="E1541" s="8" t="s">
        <v>6</v>
      </c>
      <c r="F1541" s="8" t="s">
        <v>7</v>
      </c>
      <c r="G1541" s="8" t="s">
        <v>7</v>
      </c>
      <c r="H1541" t="s">
        <v>19</v>
      </c>
      <c r="I1541" s="4">
        <v>5340</v>
      </c>
      <c r="J1541" s="8">
        <v>12</v>
      </c>
      <c r="K1541" s="4">
        <f t="shared" si="40"/>
        <v>64080</v>
      </c>
      <c r="L1541" s="4">
        <f t="shared" si="41"/>
        <v>19224</v>
      </c>
      <c r="M1541" s="3">
        <v>0.3</v>
      </c>
    </row>
    <row r="1542" spans="2:13" x14ac:dyDescent="0.3">
      <c r="B1542" t="s">
        <v>60</v>
      </c>
      <c r="C1542" s="1" t="s">
        <v>63</v>
      </c>
      <c r="D1542" s="2">
        <v>44815</v>
      </c>
      <c r="E1542" s="8" t="s">
        <v>6</v>
      </c>
      <c r="F1542" s="8" t="s">
        <v>7</v>
      </c>
      <c r="G1542" s="8" t="s">
        <v>7</v>
      </c>
      <c r="H1542" t="s">
        <v>12</v>
      </c>
      <c r="I1542" s="4">
        <v>500</v>
      </c>
      <c r="J1542" s="8">
        <v>2</v>
      </c>
      <c r="K1542" s="4">
        <f t="shared" si="40"/>
        <v>1000</v>
      </c>
      <c r="L1542" s="4">
        <f t="shared" si="41"/>
        <v>250</v>
      </c>
      <c r="M1542" s="3">
        <v>0.25</v>
      </c>
    </row>
    <row r="1543" spans="2:13" x14ac:dyDescent="0.3">
      <c r="B1543" t="s">
        <v>65</v>
      </c>
      <c r="C1543" s="1" t="s">
        <v>63</v>
      </c>
      <c r="D1543" s="2">
        <v>44815</v>
      </c>
      <c r="E1543" s="8" t="s">
        <v>6</v>
      </c>
      <c r="F1543" s="8" t="s">
        <v>7</v>
      </c>
      <c r="G1543" s="8" t="s">
        <v>7</v>
      </c>
      <c r="H1543" t="s">
        <v>13</v>
      </c>
      <c r="I1543" s="4">
        <v>3200</v>
      </c>
      <c r="J1543" s="8">
        <v>7</v>
      </c>
      <c r="K1543" s="4">
        <f t="shared" si="40"/>
        <v>22400</v>
      </c>
      <c r="L1543" s="4">
        <f t="shared" si="41"/>
        <v>4480</v>
      </c>
      <c r="M1543" s="3">
        <v>0.2</v>
      </c>
    </row>
    <row r="1544" spans="2:13" x14ac:dyDescent="0.3">
      <c r="B1544" t="s">
        <v>60</v>
      </c>
      <c r="C1544" s="1" t="s">
        <v>63</v>
      </c>
      <c r="D1544" s="2">
        <v>44815</v>
      </c>
      <c r="E1544" s="8" t="s">
        <v>6</v>
      </c>
      <c r="F1544" s="8" t="s">
        <v>7</v>
      </c>
      <c r="G1544" s="8" t="s">
        <v>7</v>
      </c>
      <c r="H1544" t="s">
        <v>18</v>
      </c>
      <c r="I1544" s="4">
        <v>4600</v>
      </c>
      <c r="J1544" s="8">
        <v>5</v>
      </c>
      <c r="K1544" s="4">
        <f t="shared" si="40"/>
        <v>23000</v>
      </c>
      <c r="L1544" s="4">
        <f t="shared" si="41"/>
        <v>5750</v>
      </c>
      <c r="M1544" s="3">
        <v>0.25</v>
      </c>
    </row>
    <row r="1545" spans="2:13" x14ac:dyDescent="0.3">
      <c r="B1545" t="s">
        <v>60</v>
      </c>
      <c r="C1545" s="1" t="s">
        <v>64</v>
      </c>
      <c r="D1545" s="2">
        <v>44815</v>
      </c>
      <c r="E1545" s="8" t="s">
        <v>6</v>
      </c>
      <c r="F1545" s="8" t="s">
        <v>7</v>
      </c>
      <c r="G1545" s="8" t="s">
        <v>7</v>
      </c>
      <c r="H1545" t="s">
        <v>14</v>
      </c>
      <c r="I1545" s="4">
        <v>4500</v>
      </c>
      <c r="J1545" s="8">
        <v>9</v>
      </c>
      <c r="K1545" s="4">
        <f t="shared" si="40"/>
        <v>40500</v>
      </c>
      <c r="L1545" s="4">
        <f t="shared" si="41"/>
        <v>10125</v>
      </c>
      <c r="M1545" s="3">
        <v>0.25</v>
      </c>
    </row>
    <row r="1546" spans="2:13" x14ac:dyDescent="0.3">
      <c r="B1546" t="s">
        <v>62</v>
      </c>
      <c r="C1546" s="1" t="s">
        <v>63</v>
      </c>
      <c r="D1546" s="2">
        <v>44822</v>
      </c>
      <c r="E1546" s="8" t="s">
        <v>6</v>
      </c>
      <c r="F1546" s="8" t="s">
        <v>7</v>
      </c>
      <c r="G1546" s="8" t="s">
        <v>7</v>
      </c>
      <c r="H1546" t="s">
        <v>10</v>
      </c>
      <c r="I1546" s="4">
        <v>1700</v>
      </c>
      <c r="J1546" s="8">
        <v>1</v>
      </c>
      <c r="K1546" s="4">
        <f t="shared" si="40"/>
        <v>1700</v>
      </c>
      <c r="L1546" s="4">
        <f t="shared" si="41"/>
        <v>850</v>
      </c>
      <c r="M1546" s="3">
        <v>0.5</v>
      </c>
    </row>
    <row r="1547" spans="2:13" x14ac:dyDescent="0.3">
      <c r="B1547" t="s">
        <v>62</v>
      </c>
      <c r="C1547" s="1" t="s">
        <v>63</v>
      </c>
      <c r="D1547" s="2">
        <v>44822</v>
      </c>
      <c r="E1547" s="8" t="s">
        <v>6</v>
      </c>
      <c r="F1547" s="8" t="s">
        <v>7</v>
      </c>
      <c r="G1547" s="8" t="s">
        <v>7</v>
      </c>
      <c r="H1547" t="s">
        <v>11</v>
      </c>
      <c r="I1547" s="4">
        <v>300</v>
      </c>
      <c r="J1547" s="8">
        <v>7</v>
      </c>
      <c r="K1547" s="4">
        <f t="shared" si="40"/>
        <v>2100</v>
      </c>
      <c r="L1547" s="4">
        <f t="shared" si="41"/>
        <v>315</v>
      </c>
      <c r="M1547" s="3">
        <v>0.15</v>
      </c>
    </row>
    <row r="1548" spans="2:13" x14ac:dyDescent="0.3">
      <c r="B1548" t="s">
        <v>65</v>
      </c>
      <c r="C1548" s="1" t="s">
        <v>63</v>
      </c>
      <c r="D1548" s="2">
        <v>44822</v>
      </c>
      <c r="E1548" s="8" t="s">
        <v>6</v>
      </c>
      <c r="F1548" s="8" t="s">
        <v>7</v>
      </c>
      <c r="G1548" s="8" t="s">
        <v>7</v>
      </c>
      <c r="H1548" t="s">
        <v>18</v>
      </c>
      <c r="I1548" s="4">
        <v>4600</v>
      </c>
      <c r="J1548" s="8">
        <v>1</v>
      </c>
      <c r="K1548" s="4">
        <f t="shared" si="40"/>
        <v>4600</v>
      </c>
      <c r="L1548" s="4">
        <f t="shared" si="41"/>
        <v>1150</v>
      </c>
      <c r="M1548" s="3">
        <v>0.25</v>
      </c>
    </row>
    <row r="1549" spans="2:13" x14ac:dyDescent="0.3">
      <c r="B1549" t="s">
        <v>62</v>
      </c>
      <c r="C1549" s="1" t="s">
        <v>63</v>
      </c>
      <c r="D1549" s="2">
        <v>44822</v>
      </c>
      <c r="E1549" s="8" t="s">
        <v>6</v>
      </c>
      <c r="F1549" s="8" t="s">
        <v>7</v>
      </c>
      <c r="G1549" s="8" t="s">
        <v>7</v>
      </c>
      <c r="H1549" t="s">
        <v>20</v>
      </c>
      <c r="I1549" s="4">
        <v>8902</v>
      </c>
      <c r="J1549" s="8">
        <v>12</v>
      </c>
      <c r="K1549" s="4">
        <f t="shared" si="40"/>
        <v>106824</v>
      </c>
      <c r="L1549" s="4">
        <f t="shared" si="41"/>
        <v>37388.399999999994</v>
      </c>
      <c r="M1549" s="3">
        <v>0.35</v>
      </c>
    </row>
    <row r="1550" spans="2:13" x14ac:dyDescent="0.3">
      <c r="B1550" t="s">
        <v>61</v>
      </c>
      <c r="C1550" s="1" t="s">
        <v>63</v>
      </c>
      <c r="D1550" s="2">
        <v>44829</v>
      </c>
      <c r="E1550" s="8" t="s">
        <v>6</v>
      </c>
      <c r="F1550" s="8" t="s">
        <v>7</v>
      </c>
      <c r="G1550" s="8" t="s">
        <v>7</v>
      </c>
      <c r="H1550" t="s">
        <v>18</v>
      </c>
      <c r="I1550" s="4">
        <v>4600</v>
      </c>
      <c r="J1550" s="8">
        <v>2</v>
      </c>
      <c r="K1550" s="4">
        <f t="shared" si="40"/>
        <v>9200</v>
      </c>
      <c r="L1550" s="4">
        <f t="shared" si="41"/>
        <v>2300</v>
      </c>
      <c r="M1550" s="3">
        <v>0.25</v>
      </c>
    </row>
    <row r="1551" spans="2:13" x14ac:dyDescent="0.3">
      <c r="B1551" t="s">
        <v>62</v>
      </c>
      <c r="C1551" s="1" t="s">
        <v>63</v>
      </c>
      <c r="D1551" s="2">
        <v>44829</v>
      </c>
      <c r="E1551" s="8" t="s">
        <v>6</v>
      </c>
      <c r="F1551" s="8" t="s">
        <v>7</v>
      </c>
      <c r="G1551" s="8" t="s">
        <v>7</v>
      </c>
      <c r="H1551" t="s">
        <v>14</v>
      </c>
      <c r="I1551" s="4">
        <v>4500</v>
      </c>
      <c r="J1551" s="8">
        <v>4</v>
      </c>
      <c r="K1551" s="4">
        <f t="shared" si="40"/>
        <v>18000</v>
      </c>
      <c r="L1551" s="4">
        <f t="shared" si="41"/>
        <v>4500</v>
      </c>
      <c r="M1551" s="3">
        <v>0.25</v>
      </c>
    </row>
    <row r="1552" spans="2:13" x14ac:dyDescent="0.3">
      <c r="B1552" t="s">
        <v>65</v>
      </c>
      <c r="C1552" s="1" t="s">
        <v>64</v>
      </c>
      <c r="D1552" s="2">
        <v>44829</v>
      </c>
      <c r="E1552" s="8" t="s">
        <v>6</v>
      </c>
      <c r="F1552" s="8" t="s">
        <v>7</v>
      </c>
      <c r="G1552" s="8" t="s">
        <v>7</v>
      </c>
      <c r="H1552" t="s">
        <v>20</v>
      </c>
      <c r="I1552" s="4">
        <v>8902</v>
      </c>
      <c r="J1552" s="8">
        <v>4</v>
      </c>
      <c r="K1552" s="4">
        <f t="shared" si="40"/>
        <v>35608</v>
      </c>
      <c r="L1552" s="4">
        <f t="shared" si="41"/>
        <v>12462.8</v>
      </c>
      <c r="M1552" s="3">
        <v>0.35</v>
      </c>
    </row>
    <row r="1553" spans="2:13" x14ac:dyDescent="0.3">
      <c r="B1553" t="s">
        <v>65</v>
      </c>
      <c r="C1553" s="1" t="s">
        <v>63</v>
      </c>
      <c r="D1553" s="2">
        <v>44829</v>
      </c>
      <c r="E1553" s="8" t="s">
        <v>6</v>
      </c>
      <c r="F1553" s="8" t="s">
        <v>7</v>
      </c>
      <c r="G1553" s="8" t="s">
        <v>7</v>
      </c>
      <c r="H1553" t="s">
        <v>19</v>
      </c>
      <c r="I1553" s="4">
        <v>5340</v>
      </c>
      <c r="J1553" s="8">
        <v>11</v>
      </c>
      <c r="K1553" s="4">
        <f t="shared" si="40"/>
        <v>58740</v>
      </c>
      <c r="L1553" s="4">
        <f t="shared" si="41"/>
        <v>17622</v>
      </c>
      <c r="M1553" s="3">
        <v>0.3</v>
      </c>
    </row>
    <row r="1554" spans="2:13" x14ac:dyDescent="0.3">
      <c r="B1554" t="s">
        <v>65</v>
      </c>
      <c r="C1554" s="1" t="s">
        <v>64</v>
      </c>
      <c r="D1554" s="2">
        <v>44836</v>
      </c>
      <c r="E1554" s="8" t="s">
        <v>6</v>
      </c>
      <c r="F1554" s="8" t="s">
        <v>7</v>
      </c>
      <c r="G1554" s="8" t="s">
        <v>7</v>
      </c>
      <c r="H1554" t="s">
        <v>17</v>
      </c>
      <c r="I1554" s="4">
        <v>5130</v>
      </c>
      <c r="J1554" s="8">
        <v>2</v>
      </c>
      <c r="K1554" s="4">
        <f t="shared" si="40"/>
        <v>10260</v>
      </c>
      <c r="L1554" s="4">
        <f t="shared" si="41"/>
        <v>4104</v>
      </c>
      <c r="M1554" s="3">
        <v>0.4</v>
      </c>
    </row>
    <row r="1555" spans="2:13" x14ac:dyDescent="0.3">
      <c r="B1555" t="s">
        <v>65</v>
      </c>
      <c r="C1555" s="1" t="s">
        <v>63</v>
      </c>
      <c r="D1555" s="2">
        <v>44836</v>
      </c>
      <c r="E1555" s="8" t="s">
        <v>6</v>
      </c>
      <c r="F1555" s="8" t="s">
        <v>7</v>
      </c>
      <c r="G1555" s="8" t="s">
        <v>7</v>
      </c>
      <c r="H1555" t="s">
        <v>10</v>
      </c>
      <c r="I1555" s="4">
        <v>1700</v>
      </c>
      <c r="J1555" s="8">
        <v>9</v>
      </c>
      <c r="K1555" s="4">
        <f t="shared" si="40"/>
        <v>15300</v>
      </c>
      <c r="L1555" s="4">
        <f t="shared" si="41"/>
        <v>7650</v>
      </c>
      <c r="M1555" s="3">
        <v>0.5</v>
      </c>
    </row>
    <row r="1556" spans="2:13" x14ac:dyDescent="0.3">
      <c r="B1556" t="s">
        <v>62</v>
      </c>
      <c r="C1556" s="1" t="s">
        <v>64</v>
      </c>
      <c r="D1556" s="2">
        <v>44836</v>
      </c>
      <c r="E1556" s="8" t="s">
        <v>6</v>
      </c>
      <c r="F1556" s="8" t="s">
        <v>7</v>
      </c>
      <c r="G1556" s="8" t="s">
        <v>7</v>
      </c>
      <c r="H1556" t="s">
        <v>14</v>
      </c>
      <c r="I1556" s="4">
        <v>4500</v>
      </c>
      <c r="J1556" s="8">
        <v>4</v>
      </c>
      <c r="K1556" s="4">
        <f t="shared" si="40"/>
        <v>18000</v>
      </c>
      <c r="L1556" s="4">
        <f t="shared" si="41"/>
        <v>4500</v>
      </c>
      <c r="M1556" s="3">
        <v>0.25</v>
      </c>
    </row>
    <row r="1557" spans="2:13" x14ac:dyDescent="0.3">
      <c r="B1557" t="s">
        <v>61</v>
      </c>
      <c r="C1557" s="1" t="s">
        <v>63</v>
      </c>
      <c r="D1557" s="2">
        <v>44836</v>
      </c>
      <c r="E1557" s="8" t="s">
        <v>6</v>
      </c>
      <c r="F1557" s="8" t="s">
        <v>7</v>
      </c>
      <c r="G1557" s="8" t="s">
        <v>7</v>
      </c>
      <c r="H1557" t="s">
        <v>15</v>
      </c>
      <c r="I1557" s="4">
        <v>5300</v>
      </c>
      <c r="J1557" s="8">
        <v>6</v>
      </c>
      <c r="K1557" s="4">
        <f t="shared" si="40"/>
        <v>31800</v>
      </c>
      <c r="L1557" s="4">
        <f t="shared" si="41"/>
        <v>9540</v>
      </c>
      <c r="M1557" s="3">
        <v>0.3</v>
      </c>
    </row>
    <row r="1558" spans="2:13" x14ac:dyDescent="0.3">
      <c r="B1558" t="s">
        <v>65</v>
      </c>
      <c r="C1558" s="1" t="s">
        <v>63</v>
      </c>
      <c r="D1558" s="2">
        <v>44843</v>
      </c>
      <c r="E1558" s="8" t="s">
        <v>6</v>
      </c>
      <c r="F1558" s="8" t="s">
        <v>7</v>
      </c>
      <c r="G1558" s="8" t="s">
        <v>7</v>
      </c>
      <c r="H1558" t="s">
        <v>8</v>
      </c>
      <c r="I1558" s="4">
        <v>1200</v>
      </c>
      <c r="J1558" s="8">
        <v>1</v>
      </c>
      <c r="K1558" s="4">
        <f t="shared" si="40"/>
        <v>1200</v>
      </c>
      <c r="L1558" s="4">
        <f t="shared" si="41"/>
        <v>360</v>
      </c>
      <c r="M1558" s="3">
        <v>0.3</v>
      </c>
    </row>
    <row r="1559" spans="2:13" x14ac:dyDescent="0.3">
      <c r="B1559" t="s">
        <v>66</v>
      </c>
      <c r="C1559" s="1" t="s">
        <v>64</v>
      </c>
      <c r="D1559" s="2">
        <v>44843</v>
      </c>
      <c r="E1559" s="8" t="s">
        <v>6</v>
      </c>
      <c r="F1559" s="8" t="s">
        <v>7</v>
      </c>
      <c r="G1559" s="8" t="s">
        <v>7</v>
      </c>
      <c r="H1559" t="s">
        <v>12</v>
      </c>
      <c r="I1559" s="4">
        <v>500</v>
      </c>
      <c r="J1559" s="8">
        <v>8</v>
      </c>
      <c r="K1559" s="4">
        <f t="shared" si="40"/>
        <v>4000</v>
      </c>
      <c r="L1559" s="4">
        <f t="shared" si="41"/>
        <v>1000</v>
      </c>
      <c r="M1559" s="3">
        <v>0.25</v>
      </c>
    </row>
    <row r="1560" spans="2:13" x14ac:dyDescent="0.3">
      <c r="B1560" t="s">
        <v>60</v>
      </c>
      <c r="C1560" s="1" t="s">
        <v>64</v>
      </c>
      <c r="D1560" s="2">
        <v>44843</v>
      </c>
      <c r="E1560" s="8" t="s">
        <v>6</v>
      </c>
      <c r="F1560" s="8" t="s">
        <v>7</v>
      </c>
      <c r="G1560" s="8" t="s">
        <v>7</v>
      </c>
      <c r="H1560" t="s">
        <v>10</v>
      </c>
      <c r="I1560" s="4">
        <v>1700</v>
      </c>
      <c r="J1560" s="8">
        <v>6</v>
      </c>
      <c r="K1560" s="4">
        <f t="shared" si="40"/>
        <v>10200</v>
      </c>
      <c r="L1560" s="4">
        <f t="shared" si="41"/>
        <v>5100</v>
      </c>
      <c r="M1560" s="3">
        <v>0.5</v>
      </c>
    </row>
    <row r="1561" spans="2:13" x14ac:dyDescent="0.3">
      <c r="B1561" t="s">
        <v>62</v>
      </c>
      <c r="C1561" s="1" t="s">
        <v>63</v>
      </c>
      <c r="D1561" s="2">
        <v>44843</v>
      </c>
      <c r="E1561" s="8" t="s">
        <v>6</v>
      </c>
      <c r="F1561" s="8" t="s">
        <v>7</v>
      </c>
      <c r="G1561" s="8" t="s">
        <v>7</v>
      </c>
      <c r="H1561" t="s">
        <v>20</v>
      </c>
      <c r="I1561" s="4">
        <v>8902</v>
      </c>
      <c r="J1561" s="8">
        <v>7</v>
      </c>
      <c r="K1561" s="4">
        <f t="shared" si="40"/>
        <v>62314</v>
      </c>
      <c r="L1561" s="4">
        <f t="shared" si="41"/>
        <v>21809.899999999998</v>
      </c>
      <c r="M1561" s="3">
        <v>0.35</v>
      </c>
    </row>
    <row r="1562" spans="2:13" x14ac:dyDescent="0.3">
      <c r="B1562" t="s">
        <v>65</v>
      </c>
      <c r="C1562" s="1" t="s">
        <v>64</v>
      </c>
      <c r="D1562" s="2">
        <v>44850</v>
      </c>
      <c r="E1562" s="8" t="s">
        <v>6</v>
      </c>
      <c r="F1562" s="8" t="s">
        <v>7</v>
      </c>
      <c r="G1562" s="8" t="s">
        <v>7</v>
      </c>
      <c r="H1562" t="s">
        <v>10</v>
      </c>
      <c r="I1562" s="4">
        <v>1700</v>
      </c>
      <c r="J1562" s="8">
        <v>3</v>
      </c>
      <c r="K1562" s="4">
        <f t="shared" ref="K1562:K1625" si="42">I1562*J1562</f>
        <v>5100</v>
      </c>
      <c r="L1562" s="4">
        <f t="shared" ref="L1562:L1625" si="43">K1562*M1562</f>
        <v>2550</v>
      </c>
      <c r="M1562" s="3">
        <v>0.5</v>
      </c>
    </row>
    <row r="1563" spans="2:13" x14ac:dyDescent="0.3">
      <c r="B1563" t="s">
        <v>66</v>
      </c>
      <c r="C1563" s="1" t="s">
        <v>64</v>
      </c>
      <c r="D1563" s="2">
        <v>44850</v>
      </c>
      <c r="E1563" s="8" t="s">
        <v>6</v>
      </c>
      <c r="F1563" s="8" t="s">
        <v>7</v>
      </c>
      <c r="G1563" s="8" t="s">
        <v>7</v>
      </c>
      <c r="H1563" t="s">
        <v>18</v>
      </c>
      <c r="I1563" s="4">
        <v>4600</v>
      </c>
      <c r="J1563" s="8">
        <v>2</v>
      </c>
      <c r="K1563" s="4">
        <f t="shared" si="42"/>
        <v>9200</v>
      </c>
      <c r="L1563" s="4">
        <f t="shared" si="43"/>
        <v>2300</v>
      </c>
      <c r="M1563" s="3">
        <v>0.25</v>
      </c>
    </row>
    <row r="1564" spans="2:13" x14ac:dyDescent="0.3">
      <c r="B1564" t="s">
        <v>65</v>
      </c>
      <c r="C1564" s="1" t="s">
        <v>64</v>
      </c>
      <c r="D1564" s="2">
        <v>44850</v>
      </c>
      <c r="E1564" s="8" t="s">
        <v>6</v>
      </c>
      <c r="F1564" s="8" t="s">
        <v>7</v>
      </c>
      <c r="G1564" s="8" t="s">
        <v>7</v>
      </c>
      <c r="H1564" t="s">
        <v>17</v>
      </c>
      <c r="I1564" s="4">
        <v>5130</v>
      </c>
      <c r="J1564" s="8">
        <v>3</v>
      </c>
      <c r="K1564" s="4">
        <f t="shared" si="42"/>
        <v>15390</v>
      </c>
      <c r="L1564" s="4">
        <f t="shared" si="43"/>
        <v>6156</v>
      </c>
      <c r="M1564" s="3">
        <v>0.4</v>
      </c>
    </row>
    <row r="1565" spans="2:13" x14ac:dyDescent="0.3">
      <c r="B1565" t="s">
        <v>65</v>
      </c>
      <c r="C1565" s="1" t="s">
        <v>63</v>
      </c>
      <c r="D1565" s="2">
        <v>44850</v>
      </c>
      <c r="E1565" s="8" t="s">
        <v>6</v>
      </c>
      <c r="F1565" s="8" t="s">
        <v>7</v>
      </c>
      <c r="G1565" s="8" t="s">
        <v>7</v>
      </c>
      <c r="H1565" t="s">
        <v>17</v>
      </c>
      <c r="I1565" s="4">
        <v>5130</v>
      </c>
      <c r="J1565" s="8">
        <v>12</v>
      </c>
      <c r="K1565" s="4">
        <f t="shared" si="42"/>
        <v>61560</v>
      </c>
      <c r="L1565" s="4">
        <f t="shared" si="43"/>
        <v>24624</v>
      </c>
      <c r="M1565" s="3">
        <v>0.4</v>
      </c>
    </row>
    <row r="1566" spans="2:13" x14ac:dyDescent="0.3">
      <c r="B1566" t="s">
        <v>61</v>
      </c>
      <c r="C1566" s="1" t="s">
        <v>63</v>
      </c>
      <c r="D1566" s="2">
        <v>44857</v>
      </c>
      <c r="E1566" s="8" t="s">
        <v>6</v>
      </c>
      <c r="F1566" s="8" t="s">
        <v>7</v>
      </c>
      <c r="G1566" s="8" t="s">
        <v>7</v>
      </c>
      <c r="H1566" t="s">
        <v>11</v>
      </c>
      <c r="I1566" s="4">
        <v>300</v>
      </c>
      <c r="J1566" s="8">
        <v>4</v>
      </c>
      <c r="K1566" s="4">
        <f t="shared" si="42"/>
        <v>1200</v>
      </c>
      <c r="L1566" s="4">
        <f t="shared" si="43"/>
        <v>180</v>
      </c>
      <c r="M1566" s="3">
        <v>0.15</v>
      </c>
    </row>
    <row r="1567" spans="2:13" x14ac:dyDescent="0.3">
      <c r="B1567" t="s">
        <v>66</v>
      </c>
      <c r="C1567" s="1" t="s">
        <v>63</v>
      </c>
      <c r="D1567" s="2">
        <v>44857</v>
      </c>
      <c r="E1567" s="8" t="s">
        <v>6</v>
      </c>
      <c r="F1567" s="8" t="s">
        <v>7</v>
      </c>
      <c r="G1567" s="8" t="s">
        <v>7</v>
      </c>
      <c r="H1567" t="s">
        <v>9</v>
      </c>
      <c r="I1567" s="4">
        <v>1500</v>
      </c>
      <c r="J1567" s="8">
        <v>7</v>
      </c>
      <c r="K1567" s="4">
        <f t="shared" si="42"/>
        <v>10500</v>
      </c>
      <c r="L1567" s="4">
        <f t="shared" si="43"/>
        <v>4200</v>
      </c>
      <c r="M1567" s="3">
        <v>0.4</v>
      </c>
    </row>
    <row r="1568" spans="2:13" x14ac:dyDescent="0.3">
      <c r="B1568" t="s">
        <v>65</v>
      </c>
      <c r="C1568" s="1" t="s">
        <v>64</v>
      </c>
      <c r="D1568" s="2">
        <v>44857</v>
      </c>
      <c r="E1568" s="8" t="s">
        <v>6</v>
      </c>
      <c r="F1568" s="8" t="s">
        <v>7</v>
      </c>
      <c r="G1568" s="8" t="s">
        <v>7</v>
      </c>
      <c r="H1568" t="s">
        <v>17</v>
      </c>
      <c r="I1568" s="4">
        <v>5130</v>
      </c>
      <c r="J1568" s="8">
        <v>4</v>
      </c>
      <c r="K1568" s="4">
        <f t="shared" si="42"/>
        <v>20520</v>
      </c>
      <c r="L1568" s="4">
        <f t="shared" si="43"/>
        <v>8208</v>
      </c>
      <c r="M1568" s="3">
        <v>0.4</v>
      </c>
    </row>
    <row r="1569" spans="2:13" x14ac:dyDescent="0.3">
      <c r="B1569" t="s">
        <v>62</v>
      </c>
      <c r="C1569" s="1" t="s">
        <v>63</v>
      </c>
      <c r="D1569" s="2">
        <v>44857</v>
      </c>
      <c r="E1569" s="8" t="s">
        <v>6</v>
      </c>
      <c r="F1569" s="8" t="s">
        <v>7</v>
      </c>
      <c r="G1569" s="8" t="s">
        <v>7</v>
      </c>
      <c r="H1569" t="s">
        <v>13</v>
      </c>
      <c r="I1569" s="4">
        <v>3200</v>
      </c>
      <c r="J1569" s="8">
        <v>12</v>
      </c>
      <c r="K1569" s="4">
        <f t="shared" si="42"/>
        <v>38400</v>
      </c>
      <c r="L1569" s="4">
        <f t="shared" si="43"/>
        <v>7680</v>
      </c>
      <c r="M1569" s="3">
        <v>0.2</v>
      </c>
    </row>
    <row r="1570" spans="2:13" x14ac:dyDescent="0.3">
      <c r="B1570" t="s">
        <v>65</v>
      </c>
      <c r="C1570" s="1" t="s">
        <v>63</v>
      </c>
      <c r="D1570" s="2">
        <v>44864</v>
      </c>
      <c r="E1570" s="8" t="s">
        <v>6</v>
      </c>
      <c r="F1570" s="8" t="s">
        <v>7</v>
      </c>
      <c r="G1570" s="8" t="s">
        <v>7</v>
      </c>
      <c r="H1570" t="s">
        <v>12</v>
      </c>
      <c r="I1570" s="4">
        <v>500</v>
      </c>
      <c r="J1570" s="8">
        <v>1</v>
      </c>
      <c r="K1570" s="4">
        <f t="shared" si="42"/>
        <v>500</v>
      </c>
      <c r="L1570" s="4">
        <f t="shared" si="43"/>
        <v>125</v>
      </c>
      <c r="M1570" s="3">
        <v>0.25</v>
      </c>
    </row>
    <row r="1571" spans="2:13" x14ac:dyDescent="0.3">
      <c r="B1571" t="s">
        <v>66</v>
      </c>
      <c r="C1571" s="1" t="s">
        <v>63</v>
      </c>
      <c r="D1571" s="2">
        <v>44864</v>
      </c>
      <c r="E1571" s="8" t="s">
        <v>6</v>
      </c>
      <c r="F1571" s="8" t="s">
        <v>7</v>
      </c>
      <c r="G1571" s="8" t="s">
        <v>7</v>
      </c>
      <c r="H1571" t="s">
        <v>15</v>
      </c>
      <c r="I1571" s="4">
        <v>5300</v>
      </c>
      <c r="J1571" s="8">
        <v>3</v>
      </c>
      <c r="K1571" s="4">
        <f t="shared" si="42"/>
        <v>15900</v>
      </c>
      <c r="L1571" s="4">
        <f t="shared" si="43"/>
        <v>4770</v>
      </c>
      <c r="M1571" s="3">
        <v>0.3</v>
      </c>
    </row>
    <row r="1572" spans="2:13" x14ac:dyDescent="0.3">
      <c r="B1572" t="s">
        <v>60</v>
      </c>
      <c r="C1572" s="1" t="s">
        <v>63</v>
      </c>
      <c r="D1572" s="2">
        <v>44864</v>
      </c>
      <c r="E1572" s="8" t="s">
        <v>6</v>
      </c>
      <c r="F1572" s="8" t="s">
        <v>7</v>
      </c>
      <c r="G1572" s="8" t="s">
        <v>7</v>
      </c>
      <c r="H1572" t="s">
        <v>14</v>
      </c>
      <c r="I1572" s="4">
        <v>4500</v>
      </c>
      <c r="J1572" s="8">
        <v>8</v>
      </c>
      <c r="K1572" s="4">
        <f t="shared" si="42"/>
        <v>36000</v>
      </c>
      <c r="L1572" s="4">
        <f t="shared" si="43"/>
        <v>9000</v>
      </c>
      <c r="M1572" s="3">
        <v>0.25</v>
      </c>
    </row>
    <row r="1573" spans="2:13" x14ac:dyDescent="0.3">
      <c r="B1573" t="s">
        <v>65</v>
      </c>
      <c r="C1573" s="1" t="s">
        <v>63</v>
      </c>
      <c r="D1573" s="2">
        <v>44864</v>
      </c>
      <c r="E1573" s="8" t="s">
        <v>6</v>
      </c>
      <c r="F1573" s="8" t="s">
        <v>7</v>
      </c>
      <c r="G1573" s="8" t="s">
        <v>7</v>
      </c>
      <c r="H1573" t="s">
        <v>18</v>
      </c>
      <c r="I1573" s="4">
        <v>4600</v>
      </c>
      <c r="J1573" s="8">
        <v>11</v>
      </c>
      <c r="K1573" s="4">
        <f t="shared" si="42"/>
        <v>50600</v>
      </c>
      <c r="L1573" s="4">
        <f t="shared" si="43"/>
        <v>12650</v>
      </c>
      <c r="M1573" s="3">
        <v>0.25</v>
      </c>
    </row>
    <row r="1574" spans="2:13" x14ac:dyDescent="0.3">
      <c r="B1574" t="s">
        <v>66</v>
      </c>
      <c r="C1574" s="1" t="s">
        <v>64</v>
      </c>
      <c r="D1574" s="2">
        <v>44871</v>
      </c>
      <c r="E1574" s="8" t="s">
        <v>6</v>
      </c>
      <c r="F1574" s="8" t="s">
        <v>7</v>
      </c>
      <c r="G1574" s="8" t="s">
        <v>7</v>
      </c>
      <c r="H1574" t="s">
        <v>12</v>
      </c>
      <c r="I1574" s="4">
        <v>500</v>
      </c>
      <c r="J1574" s="8">
        <v>8</v>
      </c>
      <c r="K1574" s="4">
        <f t="shared" si="42"/>
        <v>4000</v>
      </c>
      <c r="L1574" s="4">
        <f t="shared" si="43"/>
        <v>1000</v>
      </c>
      <c r="M1574" s="3">
        <v>0.25</v>
      </c>
    </row>
    <row r="1575" spans="2:13" x14ac:dyDescent="0.3">
      <c r="B1575" t="s">
        <v>65</v>
      </c>
      <c r="C1575" s="1" t="s">
        <v>63</v>
      </c>
      <c r="D1575" s="2">
        <v>44871</v>
      </c>
      <c r="E1575" s="8" t="s">
        <v>6</v>
      </c>
      <c r="F1575" s="8" t="s">
        <v>7</v>
      </c>
      <c r="G1575" s="8" t="s">
        <v>7</v>
      </c>
      <c r="H1575" t="s">
        <v>10</v>
      </c>
      <c r="I1575" s="4">
        <v>1700</v>
      </c>
      <c r="J1575" s="8">
        <v>12</v>
      </c>
      <c r="K1575" s="4">
        <f t="shared" si="42"/>
        <v>20400</v>
      </c>
      <c r="L1575" s="4">
        <f t="shared" si="43"/>
        <v>10200</v>
      </c>
      <c r="M1575" s="3">
        <v>0.5</v>
      </c>
    </row>
    <row r="1576" spans="2:13" x14ac:dyDescent="0.3">
      <c r="B1576" t="s">
        <v>66</v>
      </c>
      <c r="C1576" s="1" t="s">
        <v>64</v>
      </c>
      <c r="D1576" s="2">
        <v>44871</v>
      </c>
      <c r="E1576" s="8" t="s">
        <v>6</v>
      </c>
      <c r="F1576" s="8" t="s">
        <v>7</v>
      </c>
      <c r="G1576" s="8" t="s">
        <v>7</v>
      </c>
      <c r="H1576" t="s">
        <v>17</v>
      </c>
      <c r="I1576" s="4">
        <v>5130</v>
      </c>
      <c r="J1576" s="8">
        <v>8</v>
      </c>
      <c r="K1576" s="4">
        <f t="shared" si="42"/>
        <v>41040</v>
      </c>
      <c r="L1576" s="4">
        <f t="shared" si="43"/>
        <v>16416</v>
      </c>
      <c r="M1576" s="3">
        <v>0.4</v>
      </c>
    </row>
    <row r="1577" spans="2:13" x14ac:dyDescent="0.3">
      <c r="B1577" t="s">
        <v>60</v>
      </c>
      <c r="C1577" s="1" t="s">
        <v>63</v>
      </c>
      <c r="D1577" s="2">
        <v>44871</v>
      </c>
      <c r="E1577" s="8" t="s">
        <v>6</v>
      </c>
      <c r="F1577" s="8" t="s">
        <v>7</v>
      </c>
      <c r="G1577" s="8" t="s">
        <v>7</v>
      </c>
      <c r="H1577" t="s">
        <v>14</v>
      </c>
      <c r="I1577" s="4">
        <v>4500</v>
      </c>
      <c r="J1577" s="8">
        <v>10</v>
      </c>
      <c r="K1577" s="4">
        <f t="shared" si="42"/>
        <v>45000</v>
      </c>
      <c r="L1577" s="4">
        <f t="shared" si="43"/>
        <v>11250</v>
      </c>
      <c r="M1577" s="3">
        <v>0.25</v>
      </c>
    </row>
    <row r="1578" spans="2:13" x14ac:dyDescent="0.3">
      <c r="B1578" t="s">
        <v>65</v>
      </c>
      <c r="C1578" s="1" t="s">
        <v>63</v>
      </c>
      <c r="D1578" s="2">
        <v>44878</v>
      </c>
      <c r="E1578" s="8" t="s">
        <v>6</v>
      </c>
      <c r="F1578" s="8" t="s">
        <v>7</v>
      </c>
      <c r="G1578" s="8" t="s">
        <v>7</v>
      </c>
      <c r="H1578" t="s">
        <v>9</v>
      </c>
      <c r="I1578" s="4">
        <v>1500</v>
      </c>
      <c r="J1578" s="8">
        <v>6</v>
      </c>
      <c r="K1578" s="4">
        <f t="shared" si="42"/>
        <v>9000</v>
      </c>
      <c r="L1578" s="4">
        <f t="shared" si="43"/>
        <v>3600</v>
      </c>
      <c r="M1578" s="3">
        <v>0.4</v>
      </c>
    </row>
    <row r="1579" spans="2:13" x14ac:dyDescent="0.3">
      <c r="B1579" t="s">
        <v>65</v>
      </c>
      <c r="C1579" s="1" t="s">
        <v>63</v>
      </c>
      <c r="D1579" s="2">
        <v>44878</v>
      </c>
      <c r="E1579" s="8" t="s">
        <v>6</v>
      </c>
      <c r="F1579" s="8" t="s">
        <v>7</v>
      </c>
      <c r="G1579" s="8" t="s">
        <v>7</v>
      </c>
      <c r="H1579" t="s">
        <v>8</v>
      </c>
      <c r="I1579" s="4">
        <v>1200</v>
      </c>
      <c r="J1579" s="8">
        <v>10</v>
      </c>
      <c r="K1579" s="4">
        <f t="shared" si="42"/>
        <v>12000</v>
      </c>
      <c r="L1579" s="4">
        <f t="shared" si="43"/>
        <v>3600</v>
      </c>
      <c r="M1579" s="3">
        <v>0.3</v>
      </c>
    </row>
    <row r="1580" spans="2:13" x14ac:dyDescent="0.3">
      <c r="B1580" t="s">
        <v>62</v>
      </c>
      <c r="C1580" s="1" t="s">
        <v>64</v>
      </c>
      <c r="D1580" s="2">
        <v>44878</v>
      </c>
      <c r="E1580" s="8" t="s">
        <v>6</v>
      </c>
      <c r="F1580" s="8" t="s">
        <v>7</v>
      </c>
      <c r="G1580" s="8" t="s">
        <v>7</v>
      </c>
      <c r="H1580" t="s">
        <v>13</v>
      </c>
      <c r="I1580" s="4">
        <v>3200</v>
      </c>
      <c r="J1580" s="8">
        <v>6</v>
      </c>
      <c r="K1580" s="4">
        <f t="shared" si="42"/>
        <v>19200</v>
      </c>
      <c r="L1580" s="4">
        <f t="shared" si="43"/>
        <v>3840</v>
      </c>
      <c r="M1580" s="3">
        <v>0.2</v>
      </c>
    </row>
    <row r="1581" spans="2:13" x14ac:dyDescent="0.3">
      <c r="B1581" t="s">
        <v>65</v>
      </c>
      <c r="C1581" s="1" t="s">
        <v>63</v>
      </c>
      <c r="D1581" s="2">
        <v>44878</v>
      </c>
      <c r="E1581" s="8" t="s">
        <v>6</v>
      </c>
      <c r="F1581" s="8" t="s">
        <v>7</v>
      </c>
      <c r="G1581" s="8" t="s">
        <v>7</v>
      </c>
      <c r="H1581" t="s">
        <v>17</v>
      </c>
      <c r="I1581" s="4">
        <v>5130</v>
      </c>
      <c r="J1581" s="8">
        <v>13</v>
      </c>
      <c r="K1581" s="4">
        <f t="shared" si="42"/>
        <v>66690</v>
      </c>
      <c r="L1581" s="4">
        <f t="shared" si="43"/>
        <v>26676</v>
      </c>
      <c r="M1581" s="3">
        <v>0.4</v>
      </c>
    </row>
    <row r="1582" spans="2:13" x14ac:dyDescent="0.3">
      <c r="B1582" t="s">
        <v>61</v>
      </c>
      <c r="C1582" s="1" t="s">
        <v>63</v>
      </c>
      <c r="D1582" s="2">
        <v>44885</v>
      </c>
      <c r="E1582" s="8" t="s">
        <v>6</v>
      </c>
      <c r="F1582" s="8" t="s">
        <v>7</v>
      </c>
      <c r="G1582" s="8" t="s">
        <v>7</v>
      </c>
      <c r="H1582" t="s">
        <v>9</v>
      </c>
      <c r="I1582" s="4">
        <v>1500</v>
      </c>
      <c r="J1582" s="8">
        <v>3</v>
      </c>
      <c r="K1582" s="4">
        <f t="shared" si="42"/>
        <v>4500</v>
      </c>
      <c r="L1582" s="4">
        <f t="shared" si="43"/>
        <v>1800</v>
      </c>
      <c r="M1582" s="3">
        <v>0.4</v>
      </c>
    </row>
    <row r="1583" spans="2:13" x14ac:dyDescent="0.3">
      <c r="B1583" t="s">
        <v>61</v>
      </c>
      <c r="C1583" s="1" t="s">
        <v>63</v>
      </c>
      <c r="D1583" s="2">
        <v>44885</v>
      </c>
      <c r="E1583" s="8" t="s">
        <v>6</v>
      </c>
      <c r="F1583" s="8" t="s">
        <v>7</v>
      </c>
      <c r="G1583" s="8" t="s">
        <v>7</v>
      </c>
      <c r="H1583" t="s">
        <v>9</v>
      </c>
      <c r="I1583" s="4">
        <v>1500</v>
      </c>
      <c r="J1583" s="8">
        <v>11</v>
      </c>
      <c r="K1583" s="4">
        <f t="shared" si="42"/>
        <v>16500</v>
      </c>
      <c r="L1583" s="4">
        <f t="shared" si="43"/>
        <v>6600</v>
      </c>
      <c r="M1583" s="3">
        <v>0.4</v>
      </c>
    </row>
    <row r="1584" spans="2:13" x14ac:dyDescent="0.3">
      <c r="B1584" t="s">
        <v>60</v>
      </c>
      <c r="C1584" s="1" t="s">
        <v>63</v>
      </c>
      <c r="D1584" s="2">
        <v>44885</v>
      </c>
      <c r="E1584" s="8" t="s">
        <v>6</v>
      </c>
      <c r="F1584" s="8" t="s">
        <v>7</v>
      </c>
      <c r="G1584" s="8" t="s">
        <v>7</v>
      </c>
      <c r="H1584" t="s">
        <v>16</v>
      </c>
      <c r="I1584" s="4">
        <v>3400</v>
      </c>
      <c r="J1584" s="8">
        <v>8</v>
      </c>
      <c r="K1584" s="4">
        <f t="shared" si="42"/>
        <v>27200</v>
      </c>
      <c r="L1584" s="4">
        <f t="shared" si="43"/>
        <v>9520</v>
      </c>
      <c r="M1584" s="3">
        <v>0.35</v>
      </c>
    </row>
    <row r="1585" spans="2:13" x14ac:dyDescent="0.3">
      <c r="B1585" t="s">
        <v>65</v>
      </c>
      <c r="C1585" s="1" t="s">
        <v>63</v>
      </c>
      <c r="D1585" s="2">
        <v>44885</v>
      </c>
      <c r="E1585" s="8" t="s">
        <v>6</v>
      </c>
      <c r="F1585" s="8" t="s">
        <v>7</v>
      </c>
      <c r="G1585" s="8" t="s">
        <v>7</v>
      </c>
      <c r="H1585" t="s">
        <v>19</v>
      </c>
      <c r="I1585" s="4">
        <v>5340</v>
      </c>
      <c r="J1585" s="8">
        <v>8</v>
      </c>
      <c r="K1585" s="4">
        <f t="shared" si="42"/>
        <v>42720</v>
      </c>
      <c r="L1585" s="4">
        <f t="shared" si="43"/>
        <v>12816</v>
      </c>
      <c r="M1585" s="3">
        <v>0.3</v>
      </c>
    </row>
    <row r="1586" spans="2:13" x14ac:dyDescent="0.3">
      <c r="B1586" t="s">
        <v>65</v>
      </c>
      <c r="C1586" s="1" t="s">
        <v>63</v>
      </c>
      <c r="D1586" s="2">
        <v>44892</v>
      </c>
      <c r="E1586" s="8" t="s">
        <v>6</v>
      </c>
      <c r="F1586" s="8" t="s">
        <v>7</v>
      </c>
      <c r="G1586" s="8" t="s">
        <v>7</v>
      </c>
      <c r="H1586" t="s">
        <v>10</v>
      </c>
      <c r="I1586" s="4">
        <v>1700</v>
      </c>
      <c r="J1586" s="8">
        <v>2</v>
      </c>
      <c r="K1586" s="4">
        <f t="shared" si="42"/>
        <v>3400</v>
      </c>
      <c r="L1586" s="4">
        <f t="shared" si="43"/>
        <v>1700</v>
      </c>
      <c r="M1586" s="3">
        <v>0.5</v>
      </c>
    </row>
    <row r="1587" spans="2:13" x14ac:dyDescent="0.3">
      <c r="B1587" t="s">
        <v>60</v>
      </c>
      <c r="C1587" s="1" t="s">
        <v>63</v>
      </c>
      <c r="D1587" s="2">
        <v>44892</v>
      </c>
      <c r="E1587" s="8" t="s">
        <v>6</v>
      </c>
      <c r="F1587" s="8" t="s">
        <v>7</v>
      </c>
      <c r="G1587" s="8" t="s">
        <v>7</v>
      </c>
      <c r="H1587" t="s">
        <v>10</v>
      </c>
      <c r="I1587" s="4">
        <v>1700</v>
      </c>
      <c r="J1587" s="8">
        <v>7</v>
      </c>
      <c r="K1587" s="4">
        <f t="shared" si="42"/>
        <v>11900</v>
      </c>
      <c r="L1587" s="4">
        <f t="shared" si="43"/>
        <v>5950</v>
      </c>
      <c r="M1587" s="3">
        <v>0.5</v>
      </c>
    </row>
    <row r="1588" spans="2:13" x14ac:dyDescent="0.3">
      <c r="B1588" t="s">
        <v>60</v>
      </c>
      <c r="C1588" s="1" t="s">
        <v>63</v>
      </c>
      <c r="D1588" s="2">
        <v>44892</v>
      </c>
      <c r="E1588" s="8" t="s">
        <v>6</v>
      </c>
      <c r="F1588" s="8" t="s">
        <v>7</v>
      </c>
      <c r="G1588" s="8" t="s">
        <v>7</v>
      </c>
      <c r="H1588" t="s">
        <v>10</v>
      </c>
      <c r="I1588" s="4">
        <v>1700</v>
      </c>
      <c r="J1588" s="8">
        <v>10</v>
      </c>
      <c r="K1588" s="4">
        <f t="shared" si="42"/>
        <v>17000</v>
      </c>
      <c r="L1588" s="4">
        <f t="shared" si="43"/>
        <v>8500</v>
      </c>
      <c r="M1588" s="3">
        <v>0.5</v>
      </c>
    </row>
    <row r="1589" spans="2:13" x14ac:dyDescent="0.3">
      <c r="B1589" t="s">
        <v>60</v>
      </c>
      <c r="C1589" s="1" t="s">
        <v>64</v>
      </c>
      <c r="D1589" s="2">
        <v>44892</v>
      </c>
      <c r="E1589" s="8" t="s">
        <v>6</v>
      </c>
      <c r="F1589" s="8" t="s">
        <v>7</v>
      </c>
      <c r="G1589" s="8" t="s">
        <v>7</v>
      </c>
      <c r="H1589" t="s">
        <v>20</v>
      </c>
      <c r="I1589" s="4">
        <v>8902</v>
      </c>
      <c r="J1589" s="8">
        <v>7</v>
      </c>
      <c r="K1589" s="4">
        <f t="shared" si="42"/>
        <v>62314</v>
      </c>
      <c r="L1589" s="4">
        <f t="shared" si="43"/>
        <v>21809.899999999998</v>
      </c>
      <c r="M1589" s="3">
        <v>0.35</v>
      </c>
    </row>
    <row r="1590" spans="2:13" x14ac:dyDescent="0.3">
      <c r="B1590" t="s">
        <v>65</v>
      </c>
      <c r="C1590" s="1" t="s">
        <v>63</v>
      </c>
      <c r="D1590" s="2">
        <v>44899</v>
      </c>
      <c r="E1590" s="8" t="s">
        <v>6</v>
      </c>
      <c r="F1590" s="8" t="s">
        <v>7</v>
      </c>
      <c r="G1590" s="8" t="s">
        <v>7</v>
      </c>
      <c r="H1590" t="s">
        <v>12</v>
      </c>
      <c r="I1590" s="4">
        <v>500</v>
      </c>
      <c r="J1590" s="8">
        <v>3</v>
      </c>
      <c r="K1590" s="4">
        <f t="shared" si="42"/>
        <v>1500</v>
      </c>
      <c r="L1590" s="4">
        <f t="shared" si="43"/>
        <v>375</v>
      </c>
      <c r="M1590" s="3">
        <v>0.25</v>
      </c>
    </row>
    <row r="1591" spans="2:13" x14ac:dyDescent="0.3">
      <c r="B1591" t="s">
        <v>60</v>
      </c>
      <c r="C1591" s="1" t="s">
        <v>64</v>
      </c>
      <c r="D1591" s="2">
        <v>44899</v>
      </c>
      <c r="E1591" s="8" t="s">
        <v>6</v>
      </c>
      <c r="F1591" s="8" t="s">
        <v>7</v>
      </c>
      <c r="G1591" s="8" t="s">
        <v>7</v>
      </c>
      <c r="H1591" t="s">
        <v>10</v>
      </c>
      <c r="I1591" s="4">
        <v>1700</v>
      </c>
      <c r="J1591" s="8">
        <v>10</v>
      </c>
      <c r="K1591" s="4">
        <f t="shared" si="42"/>
        <v>17000</v>
      </c>
      <c r="L1591" s="4">
        <f t="shared" si="43"/>
        <v>8500</v>
      </c>
      <c r="M1591" s="3">
        <v>0.5</v>
      </c>
    </row>
    <row r="1592" spans="2:13" x14ac:dyDescent="0.3">
      <c r="B1592" t="s">
        <v>66</v>
      </c>
      <c r="C1592" s="1" t="s">
        <v>63</v>
      </c>
      <c r="D1592" s="2">
        <v>44899</v>
      </c>
      <c r="E1592" s="8" t="s">
        <v>6</v>
      </c>
      <c r="F1592" s="8" t="s">
        <v>7</v>
      </c>
      <c r="G1592" s="8" t="s">
        <v>7</v>
      </c>
      <c r="H1592" t="s">
        <v>17</v>
      </c>
      <c r="I1592" s="4">
        <v>5130</v>
      </c>
      <c r="J1592" s="8">
        <v>7</v>
      </c>
      <c r="K1592" s="4">
        <f t="shared" si="42"/>
        <v>35910</v>
      </c>
      <c r="L1592" s="4">
        <f t="shared" si="43"/>
        <v>14364</v>
      </c>
      <c r="M1592" s="3">
        <v>0.4</v>
      </c>
    </row>
    <row r="1593" spans="2:13" x14ac:dyDescent="0.3">
      <c r="B1593" t="s">
        <v>66</v>
      </c>
      <c r="C1593" s="1" t="s">
        <v>63</v>
      </c>
      <c r="D1593" s="2">
        <v>44899</v>
      </c>
      <c r="E1593" s="8" t="s">
        <v>6</v>
      </c>
      <c r="F1593" s="8" t="s">
        <v>7</v>
      </c>
      <c r="G1593" s="8" t="s">
        <v>7</v>
      </c>
      <c r="H1593" t="s">
        <v>17</v>
      </c>
      <c r="I1593" s="4">
        <v>5130</v>
      </c>
      <c r="J1593" s="8">
        <v>9</v>
      </c>
      <c r="K1593" s="4">
        <f t="shared" si="42"/>
        <v>46170</v>
      </c>
      <c r="L1593" s="4">
        <f t="shared" si="43"/>
        <v>18468</v>
      </c>
      <c r="M1593" s="3">
        <v>0.4</v>
      </c>
    </row>
    <row r="1594" spans="2:13" x14ac:dyDescent="0.3">
      <c r="B1594" t="s">
        <v>60</v>
      </c>
      <c r="C1594" s="1" t="s">
        <v>63</v>
      </c>
      <c r="D1594" s="2">
        <v>44906</v>
      </c>
      <c r="E1594" s="8" t="s">
        <v>6</v>
      </c>
      <c r="F1594" s="8" t="s">
        <v>7</v>
      </c>
      <c r="G1594" s="8" t="s">
        <v>7</v>
      </c>
      <c r="H1594" t="s">
        <v>11</v>
      </c>
      <c r="I1594" s="4">
        <v>300</v>
      </c>
      <c r="J1594" s="8">
        <v>1</v>
      </c>
      <c r="K1594" s="4">
        <f t="shared" si="42"/>
        <v>300</v>
      </c>
      <c r="L1594" s="4">
        <f t="shared" si="43"/>
        <v>45</v>
      </c>
      <c r="M1594" s="3">
        <v>0.15</v>
      </c>
    </row>
    <row r="1595" spans="2:13" x14ac:dyDescent="0.3">
      <c r="B1595" t="s">
        <v>60</v>
      </c>
      <c r="C1595" s="1" t="s">
        <v>63</v>
      </c>
      <c r="D1595" s="2">
        <v>44906</v>
      </c>
      <c r="E1595" s="8" t="s">
        <v>6</v>
      </c>
      <c r="F1595" s="8" t="s">
        <v>7</v>
      </c>
      <c r="G1595" s="8" t="s">
        <v>7</v>
      </c>
      <c r="H1595" t="s">
        <v>9</v>
      </c>
      <c r="I1595" s="4">
        <v>1500</v>
      </c>
      <c r="J1595" s="8">
        <v>4</v>
      </c>
      <c r="K1595" s="4">
        <f t="shared" si="42"/>
        <v>6000</v>
      </c>
      <c r="L1595" s="4">
        <f t="shared" si="43"/>
        <v>2400</v>
      </c>
      <c r="M1595" s="3">
        <v>0.4</v>
      </c>
    </row>
    <row r="1596" spans="2:13" x14ac:dyDescent="0.3">
      <c r="B1596" t="s">
        <v>60</v>
      </c>
      <c r="C1596" s="1" t="s">
        <v>63</v>
      </c>
      <c r="D1596" s="2">
        <v>44906</v>
      </c>
      <c r="E1596" s="8" t="s">
        <v>6</v>
      </c>
      <c r="F1596" s="8" t="s">
        <v>7</v>
      </c>
      <c r="G1596" s="8" t="s">
        <v>7</v>
      </c>
      <c r="H1596" t="s">
        <v>16</v>
      </c>
      <c r="I1596" s="4">
        <v>3400</v>
      </c>
      <c r="J1596" s="8">
        <v>2</v>
      </c>
      <c r="K1596" s="4">
        <f t="shared" si="42"/>
        <v>6800</v>
      </c>
      <c r="L1596" s="4">
        <f t="shared" si="43"/>
        <v>2380</v>
      </c>
      <c r="M1596" s="3">
        <v>0.35</v>
      </c>
    </row>
    <row r="1597" spans="2:13" x14ac:dyDescent="0.3">
      <c r="B1597" t="s">
        <v>65</v>
      </c>
      <c r="C1597" s="1" t="s">
        <v>64</v>
      </c>
      <c r="D1597" s="2">
        <v>44906</v>
      </c>
      <c r="E1597" s="8" t="s">
        <v>6</v>
      </c>
      <c r="F1597" s="8" t="s">
        <v>7</v>
      </c>
      <c r="G1597" s="8" t="s">
        <v>7</v>
      </c>
      <c r="H1597" t="s">
        <v>18</v>
      </c>
      <c r="I1597" s="4">
        <v>4600</v>
      </c>
      <c r="J1597" s="8">
        <v>3</v>
      </c>
      <c r="K1597" s="4">
        <f t="shared" si="42"/>
        <v>13800</v>
      </c>
      <c r="L1597" s="4">
        <f t="shared" si="43"/>
        <v>3450</v>
      </c>
      <c r="M1597" s="3">
        <v>0.25</v>
      </c>
    </row>
    <row r="1598" spans="2:13" x14ac:dyDescent="0.3">
      <c r="B1598" t="s">
        <v>61</v>
      </c>
      <c r="C1598" s="1" t="s">
        <v>63</v>
      </c>
      <c r="D1598" s="2">
        <v>44913</v>
      </c>
      <c r="E1598" s="8" t="s">
        <v>6</v>
      </c>
      <c r="F1598" s="8" t="s">
        <v>7</v>
      </c>
      <c r="G1598" s="8" t="s">
        <v>7</v>
      </c>
      <c r="H1598" t="s">
        <v>12</v>
      </c>
      <c r="I1598" s="4">
        <v>500</v>
      </c>
      <c r="J1598" s="8">
        <v>4</v>
      </c>
      <c r="K1598" s="4">
        <f t="shared" si="42"/>
        <v>2000</v>
      </c>
      <c r="L1598" s="4">
        <f t="shared" si="43"/>
        <v>500</v>
      </c>
      <c r="M1598" s="3">
        <v>0.25</v>
      </c>
    </row>
    <row r="1599" spans="2:13" x14ac:dyDescent="0.3">
      <c r="B1599" t="s">
        <v>65</v>
      </c>
      <c r="C1599" s="1" t="s">
        <v>63</v>
      </c>
      <c r="D1599" s="2">
        <v>44913</v>
      </c>
      <c r="E1599" s="8" t="s">
        <v>6</v>
      </c>
      <c r="F1599" s="8" t="s">
        <v>7</v>
      </c>
      <c r="G1599" s="8" t="s">
        <v>7</v>
      </c>
      <c r="H1599" t="s">
        <v>17</v>
      </c>
      <c r="I1599" s="4">
        <v>5130</v>
      </c>
      <c r="J1599" s="8">
        <v>2</v>
      </c>
      <c r="K1599" s="4">
        <f t="shared" si="42"/>
        <v>10260</v>
      </c>
      <c r="L1599" s="4">
        <f t="shared" si="43"/>
        <v>4104</v>
      </c>
      <c r="M1599" s="3">
        <v>0.4</v>
      </c>
    </row>
    <row r="1600" spans="2:13" x14ac:dyDescent="0.3">
      <c r="B1600" t="s">
        <v>61</v>
      </c>
      <c r="C1600" s="1" t="s">
        <v>63</v>
      </c>
      <c r="D1600" s="2">
        <v>44913</v>
      </c>
      <c r="E1600" s="8" t="s">
        <v>6</v>
      </c>
      <c r="F1600" s="8" t="s">
        <v>7</v>
      </c>
      <c r="G1600" s="8" t="s">
        <v>7</v>
      </c>
      <c r="H1600" t="s">
        <v>19</v>
      </c>
      <c r="I1600" s="4">
        <v>5340</v>
      </c>
      <c r="J1600" s="8">
        <v>8</v>
      </c>
      <c r="K1600" s="4">
        <f t="shared" si="42"/>
        <v>42720</v>
      </c>
      <c r="L1600" s="4">
        <f t="shared" si="43"/>
        <v>12816</v>
      </c>
      <c r="M1600" s="3">
        <v>0.3</v>
      </c>
    </row>
    <row r="1601" spans="2:13" x14ac:dyDescent="0.3">
      <c r="B1601" t="s">
        <v>65</v>
      </c>
      <c r="C1601" s="1" t="s">
        <v>63</v>
      </c>
      <c r="D1601" s="2">
        <v>44913</v>
      </c>
      <c r="E1601" s="8" t="s">
        <v>6</v>
      </c>
      <c r="F1601" s="8" t="s">
        <v>7</v>
      </c>
      <c r="G1601" s="8" t="s">
        <v>7</v>
      </c>
      <c r="H1601" t="s">
        <v>18</v>
      </c>
      <c r="I1601" s="4">
        <v>4600</v>
      </c>
      <c r="J1601" s="8">
        <v>11</v>
      </c>
      <c r="K1601" s="4">
        <f t="shared" si="42"/>
        <v>50600</v>
      </c>
      <c r="L1601" s="4">
        <f t="shared" si="43"/>
        <v>12650</v>
      </c>
      <c r="M1601" s="3">
        <v>0.25</v>
      </c>
    </row>
    <row r="1602" spans="2:13" x14ac:dyDescent="0.3">
      <c r="B1602" t="s">
        <v>65</v>
      </c>
      <c r="C1602" s="1" t="s">
        <v>63</v>
      </c>
      <c r="D1602" s="2">
        <v>44920</v>
      </c>
      <c r="E1602" s="8" t="s">
        <v>6</v>
      </c>
      <c r="F1602" s="8" t="s">
        <v>7</v>
      </c>
      <c r="G1602" s="8" t="s">
        <v>7</v>
      </c>
      <c r="H1602" t="s">
        <v>19</v>
      </c>
      <c r="I1602" s="4">
        <v>5340</v>
      </c>
      <c r="J1602" s="8">
        <v>2</v>
      </c>
      <c r="K1602" s="4">
        <f t="shared" si="42"/>
        <v>10680</v>
      </c>
      <c r="L1602" s="4">
        <f t="shared" si="43"/>
        <v>3204</v>
      </c>
      <c r="M1602" s="3">
        <v>0.3</v>
      </c>
    </row>
    <row r="1603" spans="2:13" x14ac:dyDescent="0.3">
      <c r="B1603" t="s">
        <v>60</v>
      </c>
      <c r="C1603" s="1" t="s">
        <v>64</v>
      </c>
      <c r="D1603" s="2">
        <v>44920</v>
      </c>
      <c r="E1603" s="8" t="s">
        <v>6</v>
      </c>
      <c r="F1603" s="8" t="s">
        <v>7</v>
      </c>
      <c r="G1603" s="8" t="s">
        <v>7</v>
      </c>
      <c r="H1603" t="s">
        <v>14</v>
      </c>
      <c r="I1603" s="4">
        <v>4500</v>
      </c>
      <c r="J1603" s="8">
        <v>8</v>
      </c>
      <c r="K1603" s="4">
        <f t="shared" si="42"/>
        <v>36000</v>
      </c>
      <c r="L1603" s="4">
        <f t="shared" si="43"/>
        <v>9000</v>
      </c>
      <c r="M1603" s="3">
        <v>0.25</v>
      </c>
    </row>
    <row r="1604" spans="2:13" x14ac:dyDescent="0.3">
      <c r="B1604" t="s">
        <v>60</v>
      </c>
      <c r="C1604" s="1" t="s">
        <v>64</v>
      </c>
      <c r="D1604" s="2">
        <v>44920</v>
      </c>
      <c r="E1604" s="8" t="s">
        <v>6</v>
      </c>
      <c r="F1604" s="8" t="s">
        <v>7</v>
      </c>
      <c r="G1604" s="8" t="s">
        <v>7</v>
      </c>
      <c r="H1604" t="s">
        <v>15</v>
      </c>
      <c r="I1604" s="4">
        <v>5300</v>
      </c>
      <c r="J1604" s="8">
        <v>9</v>
      </c>
      <c r="K1604" s="4">
        <f t="shared" si="42"/>
        <v>47700</v>
      </c>
      <c r="L1604" s="4">
        <f t="shared" si="43"/>
        <v>14310</v>
      </c>
      <c r="M1604" s="3">
        <v>0.3</v>
      </c>
    </row>
    <row r="1605" spans="2:13" x14ac:dyDescent="0.3">
      <c r="B1605" t="s">
        <v>65</v>
      </c>
      <c r="C1605" s="1" t="s">
        <v>63</v>
      </c>
      <c r="D1605" s="2">
        <v>44920</v>
      </c>
      <c r="E1605" s="8" t="s">
        <v>6</v>
      </c>
      <c r="F1605" s="8" t="s">
        <v>7</v>
      </c>
      <c r="G1605" s="8" t="s">
        <v>7</v>
      </c>
      <c r="H1605" t="s">
        <v>20</v>
      </c>
      <c r="I1605" s="4">
        <v>8902</v>
      </c>
      <c r="J1605" s="8">
        <v>6</v>
      </c>
      <c r="K1605" s="4">
        <f t="shared" si="42"/>
        <v>53412</v>
      </c>
      <c r="L1605" s="4">
        <f t="shared" si="43"/>
        <v>18694.199999999997</v>
      </c>
      <c r="M1605" s="3">
        <v>0.35</v>
      </c>
    </row>
    <row r="1606" spans="2:13" x14ac:dyDescent="0.3">
      <c r="B1606" t="s">
        <v>65</v>
      </c>
      <c r="C1606" s="1" t="s">
        <v>64</v>
      </c>
      <c r="D1606" s="2">
        <v>44927</v>
      </c>
      <c r="E1606" s="8" t="s">
        <v>6</v>
      </c>
      <c r="F1606" s="8" t="s">
        <v>7</v>
      </c>
      <c r="G1606" s="8" t="s">
        <v>7</v>
      </c>
      <c r="H1606" t="s">
        <v>11</v>
      </c>
      <c r="I1606" s="4">
        <v>300</v>
      </c>
      <c r="J1606" s="8">
        <v>5</v>
      </c>
      <c r="K1606" s="4">
        <f t="shared" si="42"/>
        <v>1500</v>
      </c>
      <c r="L1606" s="4">
        <f t="shared" si="43"/>
        <v>225</v>
      </c>
      <c r="M1606" s="3">
        <v>0.15</v>
      </c>
    </row>
    <row r="1607" spans="2:13" x14ac:dyDescent="0.3">
      <c r="B1607" t="s">
        <v>62</v>
      </c>
      <c r="C1607" s="1" t="s">
        <v>64</v>
      </c>
      <c r="D1607" s="2">
        <v>44927</v>
      </c>
      <c r="E1607" s="8" t="s">
        <v>6</v>
      </c>
      <c r="F1607" s="8" t="s">
        <v>7</v>
      </c>
      <c r="G1607" s="8" t="s">
        <v>7</v>
      </c>
      <c r="H1607" t="s">
        <v>12</v>
      </c>
      <c r="I1607" s="4">
        <v>500</v>
      </c>
      <c r="J1607" s="8">
        <v>9</v>
      </c>
      <c r="K1607" s="4">
        <f t="shared" si="42"/>
        <v>4500</v>
      </c>
      <c r="L1607" s="4">
        <f t="shared" si="43"/>
        <v>1125</v>
      </c>
      <c r="M1607" s="3">
        <v>0.25</v>
      </c>
    </row>
    <row r="1608" spans="2:13" x14ac:dyDescent="0.3">
      <c r="B1608" t="s">
        <v>61</v>
      </c>
      <c r="C1608" s="1" t="s">
        <v>63</v>
      </c>
      <c r="D1608" s="2">
        <v>44927</v>
      </c>
      <c r="E1608" s="8" t="s">
        <v>6</v>
      </c>
      <c r="F1608" s="8" t="s">
        <v>7</v>
      </c>
      <c r="G1608" s="8" t="s">
        <v>7</v>
      </c>
      <c r="H1608" t="s">
        <v>17</v>
      </c>
      <c r="I1608" s="4">
        <v>5130</v>
      </c>
      <c r="J1608" s="8">
        <v>3</v>
      </c>
      <c r="K1608" s="4">
        <f t="shared" si="42"/>
        <v>15390</v>
      </c>
      <c r="L1608" s="4">
        <f t="shared" si="43"/>
        <v>6156</v>
      </c>
      <c r="M1608" s="3">
        <v>0.4</v>
      </c>
    </row>
    <row r="1609" spans="2:13" x14ac:dyDescent="0.3">
      <c r="B1609" t="s">
        <v>61</v>
      </c>
      <c r="C1609" s="1" t="s">
        <v>64</v>
      </c>
      <c r="D1609" s="2">
        <v>44927</v>
      </c>
      <c r="E1609" s="8" t="s">
        <v>6</v>
      </c>
      <c r="F1609" s="8" t="s">
        <v>7</v>
      </c>
      <c r="G1609" s="8" t="s">
        <v>7</v>
      </c>
      <c r="H1609" t="s">
        <v>20</v>
      </c>
      <c r="I1609" s="4">
        <v>8902</v>
      </c>
      <c r="J1609" s="8">
        <v>11</v>
      </c>
      <c r="K1609" s="4">
        <f t="shared" si="42"/>
        <v>97922</v>
      </c>
      <c r="L1609" s="4">
        <f t="shared" si="43"/>
        <v>34272.699999999997</v>
      </c>
      <c r="M1609" s="3">
        <v>0.35</v>
      </c>
    </row>
    <row r="1610" spans="2:13" x14ac:dyDescent="0.3">
      <c r="B1610" t="s">
        <v>65</v>
      </c>
      <c r="C1610" s="1" t="s">
        <v>64</v>
      </c>
      <c r="D1610" s="2">
        <v>44934</v>
      </c>
      <c r="E1610" s="8" t="s">
        <v>6</v>
      </c>
      <c r="F1610" s="8" t="s">
        <v>7</v>
      </c>
      <c r="G1610" s="8" t="s">
        <v>7</v>
      </c>
      <c r="H1610" t="s">
        <v>16</v>
      </c>
      <c r="I1610" s="4">
        <v>3400</v>
      </c>
      <c r="J1610" s="8">
        <v>1</v>
      </c>
      <c r="K1610" s="4">
        <f t="shared" si="42"/>
        <v>3400</v>
      </c>
      <c r="L1610" s="4">
        <f t="shared" si="43"/>
        <v>1190</v>
      </c>
      <c r="M1610" s="3">
        <v>0.35</v>
      </c>
    </row>
    <row r="1611" spans="2:13" x14ac:dyDescent="0.3">
      <c r="B1611" t="s">
        <v>65</v>
      </c>
      <c r="C1611" s="1" t="s">
        <v>63</v>
      </c>
      <c r="D1611" s="2">
        <v>44934</v>
      </c>
      <c r="E1611" s="8" t="s">
        <v>6</v>
      </c>
      <c r="F1611" s="8" t="s">
        <v>7</v>
      </c>
      <c r="G1611" s="8" t="s">
        <v>7</v>
      </c>
      <c r="H1611" t="s">
        <v>10</v>
      </c>
      <c r="I1611" s="4">
        <v>1700</v>
      </c>
      <c r="J1611" s="8">
        <v>2</v>
      </c>
      <c r="K1611" s="4">
        <f t="shared" si="42"/>
        <v>3400</v>
      </c>
      <c r="L1611" s="4">
        <f t="shared" si="43"/>
        <v>1700</v>
      </c>
      <c r="M1611" s="3">
        <v>0.5</v>
      </c>
    </row>
    <row r="1612" spans="2:13" x14ac:dyDescent="0.3">
      <c r="B1612" t="s">
        <v>65</v>
      </c>
      <c r="C1612" s="1" t="s">
        <v>63</v>
      </c>
      <c r="D1612" s="2">
        <v>44934</v>
      </c>
      <c r="E1612" s="8" t="s">
        <v>6</v>
      </c>
      <c r="F1612" s="8" t="s">
        <v>7</v>
      </c>
      <c r="G1612" s="8" t="s">
        <v>7</v>
      </c>
      <c r="H1612" t="s">
        <v>9</v>
      </c>
      <c r="I1612" s="4">
        <v>1500</v>
      </c>
      <c r="J1612" s="8">
        <v>5</v>
      </c>
      <c r="K1612" s="4">
        <f t="shared" si="42"/>
        <v>7500</v>
      </c>
      <c r="L1612" s="4">
        <f t="shared" si="43"/>
        <v>3000</v>
      </c>
      <c r="M1612" s="3">
        <v>0.4</v>
      </c>
    </row>
    <row r="1613" spans="2:13" x14ac:dyDescent="0.3">
      <c r="B1613" t="s">
        <v>60</v>
      </c>
      <c r="C1613" s="1" t="s">
        <v>63</v>
      </c>
      <c r="D1613" s="2">
        <v>44934</v>
      </c>
      <c r="E1613" s="8" t="s">
        <v>6</v>
      </c>
      <c r="F1613" s="8" t="s">
        <v>7</v>
      </c>
      <c r="G1613" s="8" t="s">
        <v>7</v>
      </c>
      <c r="H1613" t="s">
        <v>16</v>
      </c>
      <c r="I1613" s="4">
        <v>3400</v>
      </c>
      <c r="J1613" s="8">
        <v>4</v>
      </c>
      <c r="K1613" s="4">
        <f t="shared" si="42"/>
        <v>13600</v>
      </c>
      <c r="L1613" s="4">
        <f t="shared" si="43"/>
        <v>4760</v>
      </c>
      <c r="M1613" s="3">
        <v>0.35</v>
      </c>
    </row>
    <row r="1614" spans="2:13" x14ac:dyDescent="0.3">
      <c r="B1614" t="s">
        <v>62</v>
      </c>
      <c r="C1614" s="1" t="s">
        <v>63</v>
      </c>
      <c r="D1614" s="2">
        <v>44941</v>
      </c>
      <c r="E1614" s="8" t="s">
        <v>6</v>
      </c>
      <c r="F1614" s="8" t="s">
        <v>7</v>
      </c>
      <c r="G1614" s="8" t="s">
        <v>7</v>
      </c>
      <c r="H1614" t="s">
        <v>9</v>
      </c>
      <c r="I1614" s="4">
        <v>1500</v>
      </c>
      <c r="J1614" s="8">
        <v>3</v>
      </c>
      <c r="K1614" s="4">
        <f t="shared" si="42"/>
        <v>4500</v>
      </c>
      <c r="L1614" s="4">
        <f t="shared" si="43"/>
        <v>1800</v>
      </c>
      <c r="M1614" s="3">
        <v>0.4</v>
      </c>
    </row>
    <row r="1615" spans="2:13" x14ac:dyDescent="0.3">
      <c r="B1615" t="s">
        <v>62</v>
      </c>
      <c r="C1615" s="1" t="s">
        <v>64</v>
      </c>
      <c r="D1615" s="2">
        <v>44941</v>
      </c>
      <c r="E1615" s="8" t="s">
        <v>6</v>
      </c>
      <c r="F1615" s="8" t="s">
        <v>7</v>
      </c>
      <c r="G1615" s="8" t="s">
        <v>7</v>
      </c>
      <c r="H1615" t="s">
        <v>8</v>
      </c>
      <c r="I1615" s="4">
        <v>1200</v>
      </c>
      <c r="J1615" s="8">
        <v>9</v>
      </c>
      <c r="K1615" s="4">
        <f t="shared" si="42"/>
        <v>10800</v>
      </c>
      <c r="L1615" s="4">
        <f t="shared" si="43"/>
        <v>3240</v>
      </c>
      <c r="M1615" s="3">
        <v>0.3</v>
      </c>
    </row>
    <row r="1616" spans="2:13" x14ac:dyDescent="0.3">
      <c r="B1616" t="s">
        <v>60</v>
      </c>
      <c r="C1616" s="1" t="s">
        <v>64</v>
      </c>
      <c r="D1616" s="2">
        <v>44941</v>
      </c>
      <c r="E1616" s="8" t="s">
        <v>6</v>
      </c>
      <c r="F1616" s="8" t="s">
        <v>7</v>
      </c>
      <c r="G1616" s="8" t="s">
        <v>7</v>
      </c>
      <c r="H1616" t="s">
        <v>15</v>
      </c>
      <c r="I1616" s="4">
        <v>5300</v>
      </c>
      <c r="J1616" s="8">
        <v>8</v>
      </c>
      <c r="K1616" s="4">
        <f t="shared" si="42"/>
        <v>42400</v>
      </c>
      <c r="L1616" s="4">
        <f t="shared" si="43"/>
        <v>12720</v>
      </c>
      <c r="M1616" s="3">
        <v>0.3</v>
      </c>
    </row>
    <row r="1617" spans="2:13" x14ac:dyDescent="0.3">
      <c r="B1617" t="s">
        <v>60</v>
      </c>
      <c r="C1617" s="1" t="s">
        <v>63</v>
      </c>
      <c r="D1617" s="2">
        <v>44941</v>
      </c>
      <c r="E1617" s="8" t="s">
        <v>6</v>
      </c>
      <c r="F1617" s="8" t="s">
        <v>7</v>
      </c>
      <c r="G1617" s="8" t="s">
        <v>7</v>
      </c>
      <c r="H1617" t="s">
        <v>20</v>
      </c>
      <c r="I1617" s="4">
        <v>8902</v>
      </c>
      <c r="J1617" s="8">
        <v>7</v>
      </c>
      <c r="K1617" s="4">
        <f t="shared" si="42"/>
        <v>62314</v>
      </c>
      <c r="L1617" s="4">
        <f t="shared" si="43"/>
        <v>21809.899999999998</v>
      </c>
      <c r="M1617" s="3">
        <v>0.35</v>
      </c>
    </row>
    <row r="1618" spans="2:13" x14ac:dyDescent="0.3">
      <c r="B1618" t="s">
        <v>61</v>
      </c>
      <c r="C1618" s="1" t="s">
        <v>63</v>
      </c>
      <c r="D1618" s="2">
        <v>44948</v>
      </c>
      <c r="E1618" s="8" t="s">
        <v>6</v>
      </c>
      <c r="F1618" s="8" t="s">
        <v>7</v>
      </c>
      <c r="G1618" s="8" t="s">
        <v>7</v>
      </c>
      <c r="H1618" t="s">
        <v>12</v>
      </c>
      <c r="I1618" s="4">
        <v>500</v>
      </c>
      <c r="J1618" s="8">
        <v>4</v>
      </c>
      <c r="K1618" s="4">
        <f t="shared" si="42"/>
        <v>2000</v>
      </c>
      <c r="L1618" s="4">
        <f t="shared" si="43"/>
        <v>500</v>
      </c>
      <c r="M1618" s="3">
        <v>0.25</v>
      </c>
    </row>
    <row r="1619" spans="2:13" x14ac:dyDescent="0.3">
      <c r="B1619" t="s">
        <v>60</v>
      </c>
      <c r="C1619" s="1" t="s">
        <v>64</v>
      </c>
      <c r="D1619" s="2">
        <v>44948</v>
      </c>
      <c r="E1619" s="8" t="s">
        <v>6</v>
      </c>
      <c r="F1619" s="8" t="s">
        <v>7</v>
      </c>
      <c r="G1619" s="8" t="s">
        <v>7</v>
      </c>
      <c r="H1619" t="s">
        <v>11</v>
      </c>
      <c r="I1619" s="4">
        <v>300</v>
      </c>
      <c r="J1619" s="8">
        <v>10</v>
      </c>
      <c r="K1619" s="4">
        <f t="shared" si="42"/>
        <v>3000</v>
      </c>
      <c r="L1619" s="4">
        <f t="shared" si="43"/>
        <v>450</v>
      </c>
      <c r="M1619" s="3">
        <v>0.15</v>
      </c>
    </row>
    <row r="1620" spans="2:13" x14ac:dyDescent="0.3">
      <c r="B1620" t="s">
        <v>66</v>
      </c>
      <c r="C1620" s="1" t="s">
        <v>64</v>
      </c>
      <c r="D1620" s="2">
        <v>44948</v>
      </c>
      <c r="E1620" s="8" t="s">
        <v>6</v>
      </c>
      <c r="F1620" s="8" t="s">
        <v>7</v>
      </c>
      <c r="G1620" s="8" t="s">
        <v>7</v>
      </c>
      <c r="H1620" t="s">
        <v>18</v>
      </c>
      <c r="I1620" s="4">
        <v>4600</v>
      </c>
      <c r="J1620" s="8">
        <v>2</v>
      </c>
      <c r="K1620" s="4">
        <f t="shared" si="42"/>
        <v>9200</v>
      </c>
      <c r="L1620" s="4">
        <f t="shared" si="43"/>
        <v>2300</v>
      </c>
      <c r="M1620" s="3">
        <v>0.25</v>
      </c>
    </row>
    <row r="1621" spans="2:13" x14ac:dyDescent="0.3">
      <c r="B1621" t="s">
        <v>66</v>
      </c>
      <c r="C1621" s="1" t="s">
        <v>63</v>
      </c>
      <c r="D1621" s="2">
        <v>44948</v>
      </c>
      <c r="E1621" s="8" t="s">
        <v>6</v>
      </c>
      <c r="F1621" s="8" t="s">
        <v>7</v>
      </c>
      <c r="G1621" s="8" t="s">
        <v>7</v>
      </c>
      <c r="H1621" t="s">
        <v>15</v>
      </c>
      <c r="I1621" s="4">
        <v>5300</v>
      </c>
      <c r="J1621" s="8">
        <v>4</v>
      </c>
      <c r="K1621" s="4">
        <f t="shared" si="42"/>
        <v>21200</v>
      </c>
      <c r="L1621" s="4">
        <f t="shared" si="43"/>
        <v>6360</v>
      </c>
      <c r="M1621" s="3">
        <v>0.3</v>
      </c>
    </row>
    <row r="1622" spans="2:13" x14ac:dyDescent="0.3">
      <c r="B1622" t="s">
        <v>65</v>
      </c>
      <c r="C1622" s="1" t="s">
        <v>63</v>
      </c>
      <c r="D1622" s="2">
        <v>44955</v>
      </c>
      <c r="E1622" s="8" t="s">
        <v>6</v>
      </c>
      <c r="F1622" s="8" t="s">
        <v>7</v>
      </c>
      <c r="G1622" s="8" t="s">
        <v>7</v>
      </c>
      <c r="H1622" t="s">
        <v>12</v>
      </c>
      <c r="I1622" s="4">
        <v>500</v>
      </c>
      <c r="J1622" s="8">
        <v>5</v>
      </c>
      <c r="K1622" s="4">
        <f t="shared" si="42"/>
        <v>2500</v>
      </c>
      <c r="L1622" s="4">
        <f t="shared" si="43"/>
        <v>625</v>
      </c>
      <c r="M1622" s="3">
        <v>0.25</v>
      </c>
    </row>
    <row r="1623" spans="2:13" x14ac:dyDescent="0.3">
      <c r="B1623" t="s">
        <v>66</v>
      </c>
      <c r="C1623" s="1" t="s">
        <v>64</v>
      </c>
      <c r="D1623" s="2">
        <v>44955</v>
      </c>
      <c r="E1623" s="8" t="s">
        <v>6</v>
      </c>
      <c r="F1623" s="8" t="s">
        <v>7</v>
      </c>
      <c r="G1623" s="8" t="s">
        <v>7</v>
      </c>
      <c r="H1623" t="s">
        <v>14</v>
      </c>
      <c r="I1623" s="4">
        <v>4500</v>
      </c>
      <c r="J1623" s="8">
        <v>3</v>
      </c>
      <c r="K1623" s="4">
        <f t="shared" si="42"/>
        <v>13500</v>
      </c>
      <c r="L1623" s="4">
        <f t="shared" si="43"/>
        <v>3375</v>
      </c>
      <c r="M1623" s="3">
        <v>0.25</v>
      </c>
    </row>
    <row r="1624" spans="2:13" x14ac:dyDescent="0.3">
      <c r="B1624" t="s">
        <v>65</v>
      </c>
      <c r="C1624" s="1" t="s">
        <v>63</v>
      </c>
      <c r="D1624" s="2">
        <v>44955</v>
      </c>
      <c r="E1624" s="8" t="s">
        <v>6</v>
      </c>
      <c r="F1624" s="8" t="s">
        <v>7</v>
      </c>
      <c r="G1624" s="8" t="s">
        <v>7</v>
      </c>
      <c r="H1624" t="s">
        <v>10</v>
      </c>
      <c r="I1624" s="4">
        <v>1700</v>
      </c>
      <c r="J1624" s="8">
        <v>9</v>
      </c>
      <c r="K1624" s="4">
        <f t="shared" si="42"/>
        <v>15300</v>
      </c>
      <c r="L1624" s="4">
        <f t="shared" si="43"/>
        <v>7650</v>
      </c>
      <c r="M1624" s="3">
        <v>0.5</v>
      </c>
    </row>
    <row r="1625" spans="2:13" x14ac:dyDescent="0.3">
      <c r="B1625" t="s">
        <v>65</v>
      </c>
      <c r="C1625" s="1" t="s">
        <v>63</v>
      </c>
      <c r="D1625" s="2">
        <v>44955</v>
      </c>
      <c r="E1625" s="8" t="s">
        <v>6</v>
      </c>
      <c r="F1625" s="8" t="s">
        <v>7</v>
      </c>
      <c r="G1625" s="8" t="s">
        <v>7</v>
      </c>
      <c r="H1625" t="s">
        <v>18</v>
      </c>
      <c r="I1625" s="4">
        <v>4600</v>
      </c>
      <c r="J1625" s="8">
        <v>11</v>
      </c>
      <c r="K1625" s="4">
        <f t="shared" si="42"/>
        <v>50600</v>
      </c>
      <c r="L1625" s="4">
        <f t="shared" si="43"/>
        <v>12650</v>
      </c>
      <c r="M1625" s="3">
        <v>0.25</v>
      </c>
    </row>
    <row r="1626" spans="2:13" x14ac:dyDescent="0.3">
      <c r="B1626" t="s">
        <v>65</v>
      </c>
      <c r="C1626" s="1" t="s">
        <v>63</v>
      </c>
      <c r="D1626" s="2">
        <v>44962</v>
      </c>
      <c r="E1626" s="8" t="s">
        <v>6</v>
      </c>
      <c r="F1626" s="8" t="s">
        <v>7</v>
      </c>
      <c r="G1626" s="8" t="s">
        <v>7</v>
      </c>
      <c r="H1626" t="s">
        <v>16</v>
      </c>
      <c r="I1626" s="4">
        <v>3400</v>
      </c>
      <c r="J1626" s="8">
        <v>1</v>
      </c>
      <c r="K1626" s="4">
        <f t="shared" ref="K1626:K1689" si="44">I1626*J1626</f>
        <v>3400</v>
      </c>
      <c r="L1626" s="4">
        <f t="shared" ref="L1626:L1689" si="45">K1626*M1626</f>
        <v>1190</v>
      </c>
      <c r="M1626" s="3">
        <v>0.35</v>
      </c>
    </row>
    <row r="1627" spans="2:13" x14ac:dyDescent="0.3">
      <c r="B1627" t="s">
        <v>60</v>
      </c>
      <c r="C1627" s="1" t="s">
        <v>63</v>
      </c>
      <c r="D1627" s="2">
        <v>44962</v>
      </c>
      <c r="E1627" s="8" t="s">
        <v>6</v>
      </c>
      <c r="F1627" s="8" t="s">
        <v>7</v>
      </c>
      <c r="G1627" s="8" t="s">
        <v>7</v>
      </c>
      <c r="H1627" t="s">
        <v>9</v>
      </c>
      <c r="I1627" s="4">
        <v>1500</v>
      </c>
      <c r="J1627" s="8">
        <v>4</v>
      </c>
      <c r="K1627" s="4">
        <f t="shared" si="44"/>
        <v>6000</v>
      </c>
      <c r="L1627" s="4">
        <f t="shared" si="45"/>
        <v>2400</v>
      </c>
      <c r="M1627" s="3">
        <v>0.4</v>
      </c>
    </row>
    <row r="1628" spans="2:13" x14ac:dyDescent="0.3">
      <c r="B1628" t="s">
        <v>65</v>
      </c>
      <c r="C1628" s="1" t="s">
        <v>63</v>
      </c>
      <c r="D1628" s="2">
        <v>44962</v>
      </c>
      <c r="E1628" s="8" t="s">
        <v>6</v>
      </c>
      <c r="F1628" s="8" t="s">
        <v>7</v>
      </c>
      <c r="G1628" s="8" t="s">
        <v>7</v>
      </c>
      <c r="H1628" t="s">
        <v>15</v>
      </c>
      <c r="I1628" s="4">
        <v>5300</v>
      </c>
      <c r="J1628" s="8">
        <v>8</v>
      </c>
      <c r="K1628" s="4">
        <f t="shared" si="44"/>
        <v>42400</v>
      </c>
      <c r="L1628" s="4">
        <f t="shared" si="45"/>
        <v>12720</v>
      </c>
      <c r="M1628" s="3">
        <v>0.3</v>
      </c>
    </row>
    <row r="1629" spans="2:13" x14ac:dyDescent="0.3">
      <c r="B1629" t="s">
        <v>65</v>
      </c>
      <c r="C1629" s="1" t="s">
        <v>64</v>
      </c>
      <c r="D1629" s="2">
        <v>44962</v>
      </c>
      <c r="E1629" s="8" t="s">
        <v>6</v>
      </c>
      <c r="F1629" s="8" t="s">
        <v>7</v>
      </c>
      <c r="G1629" s="8" t="s">
        <v>7</v>
      </c>
      <c r="H1629" t="s">
        <v>15</v>
      </c>
      <c r="I1629" s="4">
        <v>5300</v>
      </c>
      <c r="J1629" s="8">
        <v>12</v>
      </c>
      <c r="K1629" s="4">
        <f t="shared" si="44"/>
        <v>63600</v>
      </c>
      <c r="L1629" s="4">
        <f t="shared" si="45"/>
        <v>19080</v>
      </c>
      <c r="M1629" s="3">
        <v>0.3</v>
      </c>
    </row>
    <row r="1630" spans="2:13" x14ac:dyDescent="0.3">
      <c r="B1630" t="s">
        <v>65</v>
      </c>
      <c r="C1630" s="1" t="s">
        <v>63</v>
      </c>
      <c r="D1630" s="2">
        <v>44969</v>
      </c>
      <c r="E1630" s="8" t="s">
        <v>6</v>
      </c>
      <c r="F1630" s="8" t="s">
        <v>7</v>
      </c>
      <c r="G1630" s="8" t="s">
        <v>7</v>
      </c>
      <c r="H1630" t="s">
        <v>16</v>
      </c>
      <c r="I1630" s="4">
        <v>3400</v>
      </c>
      <c r="J1630" s="8">
        <v>1</v>
      </c>
      <c r="K1630" s="4">
        <f t="shared" si="44"/>
        <v>3400</v>
      </c>
      <c r="L1630" s="4">
        <f t="shared" si="45"/>
        <v>1190</v>
      </c>
      <c r="M1630" s="3">
        <v>0.35</v>
      </c>
    </row>
    <row r="1631" spans="2:13" x14ac:dyDescent="0.3">
      <c r="B1631" t="s">
        <v>66</v>
      </c>
      <c r="C1631" s="1" t="s">
        <v>64</v>
      </c>
      <c r="D1631" s="2">
        <v>44969</v>
      </c>
      <c r="E1631" s="8" t="s">
        <v>6</v>
      </c>
      <c r="F1631" s="8" t="s">
        <v>7</v>
      </c>
      <c r="G1631" s="8" t="s">
        <v>7</v>
      </c>
      <c r="H1631" t="s">
        <v>15</v>
      </c>
      <c r="I1631" s="4">
        <v>5300</v>
      </c>
      <c r="J1631" s="8">
        <v>1</v>
      </c>
      <c r="K1631" s="4">
        <f t="shared" si="44"/>
        <v>5300</v>
      </c>
      <c r="L1631" s="4">
        <f t="shared" si="45"/>
        <v>1590</v>
      </c>
      <c r="M1631" s="3">
        <v>0.3</v>
      </c>
    </row>
    <row r="1632" spans="2:13" x14ac:dyDescent="0.3">
      <c r="B1632" t="s">
        <v>60</v>
      </c>
      <c r="C1632" s="1" t="s">
        <v>63</v>
      </c>
      <c r="D1632" s="2">
        <v>44969</v>
      </c>
      <c r="E1632" s="8" t="s">
        <v>6</v>
      </c>
      <c r="F1632" s="8" t="s">
        <v>7</v>
      </c>
      <c r="G1632" s="8" t="s">
        <v>7</v>
      </c>
      <c r="H1632" t="s">
        <v>14</v>
      </c>
      <c r="I1632" s="4">
        <v>4500</v>
      </c>
      <c r="J1632" s="8">
        <v>4</v>
      </c>
      <c r="K1632" s="4">
        <f t="shared" si="44"/>
        <v>18000</v>
      </c>
      <c r="L1632" s="4">
        <f t="shared" si="45"/>
        <v>4500</v>
      </c>
      <c r="M1632" s="3">
        <v>0.25</v>
      </c>
    </row>
    <row r="1633" spans="2:13" x14ac:dyDescent="0.3">
      <c r="B1633" t="s">
        <v>60</v>
      </c>
      <c r="C1633" s="1" t="s">
        <v>63</v>
      </c>
      <c r="D1633" s="2">
        <v>44969</v>
      </c>
      <c r="E1633" s="8" t="s">
        <v>6</v>
      </c>
      <c r="F1633" s="8" t="s">
        <v>7</v>
      </c>
      <c r="G1633" s="8" t="s">
        <v>7</v>
      </c>
      <c r="H1633" t="s">
        <v>13</v>
      </c>
      <c r="I1633" s="4">
        <v>3200</v>
      </c>
      <c r="J1633" s="8">
        <v>10</v>
      </c>
      <c r="K1633" s="4">
        <f t="shared" si="44"/>
        <v>32000</v>
      </c>
      <c r="L1633" s="4">
        <f t="shared" si="45"/>
        <v>6400</v>
      </c>
      <c r="M1633" s="3">
        <v>0.2</v>
      </c>
    </row>
    <row r="1634" spans="2:13" x14ac:dyDescent="0.3">
      <c r="B1634" t="s">
        <v>65</v>
      </c>
      <c r="C1634" s="1" t="s">
        <v>64</v>
      </c>
      <c r="D1634" s="2">
        <v>44976</v>
      </c>
      <c r="E1634" s="8" t="s">
        <v>6</v>
      </c>
      <c r="F1634" s="8" t="s">
        <v>7</v>
      </c>
      <c r="G1634" s="8" t="s">
        <v>7</v>
      </c>
      <c r="H1634" t="s">
        <v>12</v>
      </c>
      <c r="I1634" s="4">
        <v>500</v>
      </c>
      <c r="J1634" s="8">
        <v>5</v>
      </c>
      <c r="K1634" s="4">
        <f t="shared" si="44"/>
        <v>2500</v>
      </c>
      <c r="L1634" s="4">
        <f t="shared" si="45"/>
        <v>625</v>
      </c>
      <c r="M1634" s="3">
        <v>0.25</v>
      </c>
    </row>
    <row r="1635" spans="2:13" x14ac:dyDescent="0.3">
      <c r="B1635" t="s">
        <v>60</v>
      </c>
      <c r="C1635" s="1" t="s">
        <v>63</v>
      </c>
      <c r="D1635" s="2">
        <v>44976</v>
      </c>
      <c r="E1635" s="8" t="s">
        <v>6</v>
      </c>
      <c r="F1635" s="8" t="s">
        <v>7</v>
      </c>
      <c r="G1635" s="8" t="s">
        <v>7</v>
      </c>
      <c r="H1635" t="s">
        <v>11</v>
      </c>
      <c r="I1635" s="4">
        <v>300</v>
      </c>
      <c r="J1635" s="8">
        <v>10</v>
      </c>
      <c r="K1635" s="4">
        <f t="shared" si="44"/>
        <v>3000</v>
      </c>
      <c r="L1635" s="4">
        <f t="shared" si="45"/>
        <v>450</v>
      </c>
      <c r="M1635" s="3">
        <v>0.15</v>
      </c>
    </row>
    <row r="1636" spans="2:13" x14ac:dyDescent="0.3">
      <c r="B1636" t="s">
        <v>62</v>
      </c>
      <c r="C1636" s="1" t="s">
        <v>63</v>
      </c>
      <c r="D1636" s="2">
        <v>44976</v>
      </c>
      <c r="E1636" s="8" t="s">
        <v>6</v>
      </c>
      <c r="F1636" s="8" t="s">
        <v>7</v>
      </c>
      <c r="G1636" s="8" t="s">
        <v>7</v>
      </c>
      <c r="H1636" t="s">
        <v>13</v>
      </c>
      <c r="I1636" s="4">
        <v>3200</v>
      </c>
      <c r="J1636" s="8">
        <v>4</v>
      </c>
      <c r="K1636" s="4">
        <f t="shared" si="44"/>
        <v>12800</v>
      </c>
      <c r="L1636" s="4">
        <f t="shared" si="45"/>
        <v>2560</v>
      </c>
      <c r="M1636" s="3">
        <v>0.2</v>
      </c>
    </row>
    <row r="1637" spans="2:13" x14ac:dyDescent="0.3">
      <c r="B1637" t="s">
        <v>60</v>
      </c>
      <c r="C1637" s="1" t="s">
        <v>64</v>
      </c>
      <c r="D1637" s="2">
        <v>44976</v>
      </c>
      <c r="E1637" s="8" t="s">
        <v>6</v>
      </c>
      <c r="F1637" s="8" t="s">
        <v>7</v>
      </c>
      <c r="G1637" s="8" t="s">
        <v>7</v>
      </c>
      <c r="H1637" t="s">
        <v>19</v>
      </c>
      <c r="I1637" s="4">
        <v>5340</v>
      </c>
      <c r="J1637" s="8">
        <v>12</v>
      </c>
      <c r="K1637" s="4">
        <f t="shared" si="44"/>
        <v>64080</v>
      </c>
      <c r="L1637" s="4">
        <f t="shared" si="45"/>
        <v>19224</v>
      </c>
      <c r="M1637" s="3">
        <v>0.3</v>
      </c>
    </row>
    <row r="1638" spans="2:13" x14ac:dyDescent="0.3">
      <c r="B1638" t="s">
        <v>66</v>
      </c>
      <c r="C1638" s="1" t="s">
        <v>63</v>
      </c>
      <c r="D1638" s="2">
        <v>44983</v>
      </c>
      <c r="E1638" s="8" t="s">
        <v>6</v>
      </c>
      <c r="F1638" s="8" t="s">
        <v>7</v>
      </c>
      <c r="G1638" s="8" t="s">
        <v>7</v>
      </c>
      <c r="H1638" t="s">
        <v>11</v>
      </c>
      <c r="I1638" s="4">
        <v>300</v>
      </c>
      <c r="J1638" s="8">
        <v>4</v>
      </c>
      <c r="K1638" s="4">
        <f t="shared" si="44"/>
        <v>1200</v>
      </c>
      <c r="L1638" s="4">
        <f t="shared" si="45"/>
        <v>180</v>
      </c>
      <c r="M1638" s="3">
        <v>0.15</v>
      </c>
    </row>
    <row r="1639" spans="2:13" x14ac:dyDescent="0.3">
      <c r="B1639" t="s">
        <v>62</v>
      </c>
      <c r="C1639" s="1" t="s">
        <v>63</v>
      </c>
      <c r="D1639" s="2">
        <v>44983</v>
      </c>
      <c r="E1639" s="8" t="s">
        <v>6</v>
      </c>
      <c r="F1639" s="8" t="s">
        <v>7</v>
      </c>
      <c r="G1639" s="8" t="s">
        <v>7</v>
      </c>
      <c r="H1639" t="s">
        <v>18</v>
      </c>
      <c r="I1639" s="4">
        <v>4600</v>
      </c>
      <c r="J1639" s="8">
        <v>2</v>
      </c>
      <c r="K1639" s="4">
        <f t="shared" si="44"/>
        <v>9200</v>
      </c>
      <c r="L1639" s="4">
        <f t="shared" si="45"/>
        <v>2300</v>
      </c>
      <c r="M1639" s="3">
        <v>0.25</v>
      </c>
    </row>
    <row r="1640" spans="2:13" x14ac:dyDescent="0.3">
      <c r="B1640" t="s">
        <v>66</v>
      </c>
      <c r="C1640" s="1" t="s">
        <v>64</v>
      </c>
      <c r="D1640" s="2">
        <v>44983</v>
      </c>
      <c r="E1640" s="8" t="s">
        <v>6</v>
      </c>
      <c r="F1640" s="8" t="s">
        <v>7</v>
      </c>
      <c r="G1640" s="8" t="s">
        <v>7</v>
      </c>
      <c r="H1640" t="s">
        <v>14</v>
      </c>
      <c r="I1640" s="4">
        <v>4500</v>
      </c>
      <c r="J1640" s="8">
        <v>3</v>
      </c>
      <c r="K1640" s="4">
        <f t="shared" si="44"/>
        <v>13500</v>
      </c>
      <c r="L1640" s="4">
        <f t="shared" si="45"/>
        <v>3375</v>
      </c>
      <c r="M1640" s="3">
        <v>0.25</v>
      </c>
    </row>
    <row r="1641" spans="2:13" x14ac:dyDescent="0.3">
      <c r="B1641" t="s">
        <v>65</v>
      </c>
      <c r="C1641" s="1" t="s">
        <v>63</v>
      </c>
      <c r="D1641" s="2">
        <v>44983</v>
      </c>
      <c r="E1641" s="8" t="s">
        <v>6</v>
      </c>
      <c r="F1641" s="8" t="s">
        <v>7</v>
      </c>
      <c r="G1641" s="8" t="s">
        <v>7</v>
      </c>
      <c r="H1641" t="s">
        <v>18</v>
      </c>
      <c r="I1641" s="4">
        <v>4600</v>
      </c>
      <c r="J1641" s="8">
        <v>4</v>
      </c>
      <c r="K1641" s="4">
        <f t="shared" si="44"/>
        <v>18400</v>
      </c>
      <c r="L1641" s="4">
        <f t="shared" si="45"/>
        <v>4600</v>
      </c>
      <c r="M1641" s="3">
        <v>0.25</v>
      </c>
    </row>
    <row r="1642" spans="2:13" x14ac:dyDescent="0.3">
      <c r="B1642" t="s">
        <v>60</v>
      </c>
      <c r="C1642" s="1" t="s">
        <v>64</v>
      </c>
      <c r="D1642" s="2">
        <v>44990</v>
      </c>
      <c r="E1642" s="8" t="s">
        <v>6</v>
      </c>
      <c r="F1642" s="8" t="s">
        <v>7</v>
      </c>
      <c r="G1642" s="8" t="s">
        <v>7</v>
      </c>
      <c r="H1642" t="s">
        <v>11</v>
      </c>
      <c r="I1642" s="4">
        <v>300</v>
      </c>
      <c r="J1642" s="8">
        <v>10</v>
      </c>
      <c r="K1642" s="4">
        <f t="shared" si="44"/>
        <v>3000</v>
      </c>
      <c r="L1642" s="4">
        <f t="shared" si="45"/>
        <v>450</v>
      </c>
      <c r="M1642" s="3">
        <v>0.15</v>
      </c>
    </row>
    <row r="1643" spans="2:13" x14ac:dyDescent="0.3">
      <c r="B1643" t="s">
        <v>65</v>
      </c>
      <c r="C1643" s="1" t="s">
        <v>63</v>
      </c>
      <c r="D1643" s="2">
        <v>44990</v>
      </c>
      <c r="E1643" s="8" t="s">
        <v>6</v>
      </c>
      <c r="F1643" s="8" t="s">
        <v>7</v>
      </c>
      <c r="G1643" s="8" t="s">
        <v>7</v>
      </c>
      <c r="H1643" t="s">
        <v>15</v>
      </c>
      <c r="I1643" s="4">
        <v>5300</v>
      </c>
      <c r="J1643" s="8">
        <v>2</v>
      </c>
      <c r="K1643" s="4">
        <f t="shared" si="44"/>
        <v>10600</v>
      </c>
      <c r="L1643" s="4">
        <f t="shared" si="45"/>
        <v>3180</v>
      </c>
      <c r="M1643" s="3">
        <v>0.3</v>
      </c>
    </row>
    <row r="1644" spans="2:13" x14ac:dyDescent="0.3">
      <c r="B1644" t="s">
        <v>65</v>
      </c>
      <c r="C1644" s="1" t="s">
        <v>63</v>
      </c>
      <c r="D1644" s="2">
        <v>44990</v>
      </c>
      <c r="E1644" s="8" t="s">
        <v>6</v>
      </c>
      <c r="F1644" s="8" t="s">
        <v>7</v>
      </c>
      <c r="G1644" s="8" t="s">
        <v>7</v>
      </c>
      <c r="H1644" t="s">
        <v>16</v>
      </c>
      <c r="I1644" s="4">
        <v>3400</v>
      </c>
      <c r="J1644" s="8">
        <v>12</v>
      </c>
      <c r="K1644" s="4">
        <f t="shared" si="44"/>
        <v>40800</v>
      </c>
      <c r="L1644" s="4">
        <f t="shared" si="45"/>
        <v>14280</v>
      </c>
      <c r="M1644" s="3">
        <v>0.35</v>
      </c>
    </row>
    <row r="1645" spans="2:13" x14ac:dyDescent="0.3">
      <c r="B1645" t="s">
        <v>60</v>
      </c>
      <c r="C1645" s="1" t="s">
        <v>64</v>
      </c>
      <c r="D1645" s="2">
        <v>44990</v>
      </c>
      <c r="E1645" s="8" t="s">
        <v>6</v>
      </c>
      <c r="F1645" s="8" t="s">
        <v>7</v>
      </c>
      <c r="G1645" s="8" t="s">
        <v>7</v>
      </c>
      <c r="H1645" t="s">
        <v>14</v>
      </c>
      <c r="I1645" s="4">
        <v>4500</v>
      </c>
      <c r="J1645" s="8">
        <v>12</v>
      </c>
      <c r="K1645" s="4">
        <f t="shared" si="44"/>
        <v>54000</v>
      </c>
      <c r="L1645" s="4">
        <f t="shared" si="45"/>
        <v>13500</v>
      </c>
      <c r="M1645" s="3">
        <v>0.25</v>
      </c>
    </row>
    <row r="1646" spans="2:13" x14ac:dyDescent="0.3">
      <c r="B1646" t="s">
        <v>65</v>
      </c>
      <c r="C1646" s="1" t="s">
        <v>64</v>
      </c>
      <c r="D1646" s="2">
        <v>44997</v>
      </c>
      <c r="E1646" s="8" t="s">
        <v>6</v>
      </c>
      <c r="F1646" s="8" t="s">
        <v>7</v>
      </c>
      <c r="G1646" s="8" t="s">
        <v>7</v>
      </c>
      <c r="H1646" t="s">
        <v>15</v>
      </c>
      <c r="I1646" s="4">
        <v>5300</v>
      </c>
      <c r="J1646" s="8">
        <v>2</v>
      </c>
      <c r="K1646" s="4">
        <f t="shared" si="44"/>
        <v>10600</v>
      </c>
      <c r="L1646" s="4">
        <f t="shared" si="45"/>
        <v>3180</v>
      </c>
      <c r="M1646" s="3">
        <v>0.3</v>
      </c>
    </row>
    <row r="1647" spans="2:13" x14ac:dyDescent="0.3">
      <c r="B1647" t="s">
        <v>60</v>
      </c>
      <c r="C1647" s="1" t="s">
        <v>63</v>
      </c>
      <c r="D1647" s="2">
        <v>44997</v>
      </c>
      <c r="E1647" s="8" t="s">
        <v>6</v>
      </c>
      <c r="F1647" s="8" t="s">
        <v>7</v>
      </c>
      <c r="G1647" s="8" t="s">
        <v>7</v>
      </c>
      <c r="H1647" t="s">
        <v>8</v>
      </c>
      <c r="I1647" s="4">
        <v>1200</v>
      </c>
      <c r="J1647" s="8">
        <v>11</v>
      </c>
      <c r="K1647" s="4">
        <f t="shared" si="44"/>
        <v>13200</v>
      </c>
      <c r="L1647" s="4">
        <f t="shared" si="45"/>
        <v>3960</v>
      </c>
      <c r="M1647" s="3">
        <v>0.3</v>
      </c>
    </row>
    <row r="1648" spans="2:13" x14ac:dyDescent="0.3">
      <c r="B1648" t="s">
        <v>65</v>
      </c>
      <c r="C1648" s="1" t="s">
        <v>64</v>
      </c>
      <c r="D1648" s="2">
        <v>44997</v>
      </c>
      <c r="E1648" s="8" t="s">
        <v>6</v>
      </c>
      <c r="F1648" s="8" t="s">
        <v>7</v>
      </c>
      <c r="G1648" s="8" t="s">
        <v>7</v>
      </c>
      <c r="H1648" t="s">
        <v>18</v>
      </c>
      <c r="I1648" s="4">
        <v>4600</v>
      </c>
      <c r="J1648" s="8">
        <v>5</v>
      </c>
      <c r="K1648" s="4">
        <f t="shared" si="44"/>
        <v>23000</v>
      </c>
      <c r="L1648" s="4">
        <f t="shared" si="45"/>
        <v>5750</v>
      </c>
      <c r="M1648" s="3">
        <v>0.25</v>
      </c>
    </row>
    <row r="1649" spans="2:13" x14ac:dyDescent="0.3">
      <c r="B1649" t="s">
        <v>65</v>
      </c>
      <c r="C1649" s="1" t="s">
        <v>63</v>
      </c>
      <c r="D1649" s="2">
        <v>44997</v>
      </c>
      <c r="E1649" s="8" t="s">
        <v>6</v>
      </c>
      <c r="F1649" s="8" t="s">
        <v>7</v>
      </c>
      <c r="G1649" s="8" t="s">
        <v>7</v>
      </c>
      <c r="H1649" t="s">
        <v>16</v>
      </c>
      <c r="I1649" s="4">
        <v>3400</v>
      </c>
      <c r="J1649" s="8">
        <v>11</v>
      </c>
      <c r="K1649" s="4">
        <f t="shared" si="44"/>
        <v>37400</v>
      </c>
      <c r="L1649" s="4">
        <f t="shared" si="45"/>
        <v>13090</v>
      </c>
      <c r="M1649" s="3">
        <v>0.35</v>
      </c>
    </row>
    <row r="1650" spans="2:13" x14ac:dyDescent="0.3">
      <c r="B1650" t="s">
        <v>66</v>
      </c>
      <c r="C1650" s="1" t="s">
        <v>64</v>
      </c>
      <c r="D1650" s="2">
        <v>45004</v>
      </c>
      <c r="E1650" s="8" t="s">
        <v>6</v>
      </c>
      <c r="F1650" s="8" t="s">
        <v>7</v>
      </c>
      <c r="G1650" s="8" t="s">
        <v>7</v>
      </c>
      <c r="H1650" t="s">
        <v>13</v>
      </c>
      <c r="I1650" s="4">
        <v>3200</v>
      </c>
      <c r="J1650" s="8">
        <v>2</v>
      </c>
      <c r="K1650" s="4">
        <f t="shared" si="44"/>
        <v>6400</v>
      </c>
      <c r="L1650" s="4">
        <f t="shared" si="45"/>
        <v>1280</v>
      </c>
      <c r="M1650" s="3">
        <v>0.2</v>
      </c>
    </row>
    <row r="1651" spans="2:13" x14ac:dyDescent="0.3">
      <c r="B1651" t="s">
        <v>65</v>
      </c>
      <c r="C1651" s="1" t="s">
        <v>63</v>
      </c>
      <c r="D1651" s="2">
        <v>45004</v>
      </c>
      <c r="E1651" s="8" t="s">
        <v>6</v>
      </c>
      <c r="F1651" s="8" t="s">
        <v>7</v>
      </c>
      <c r="G1651" s="8" t="s">
        <v>7</v>
      </c>
      <c r="H1651" t="s">
        <v>8</v>
      </c>
      <c r="I1651" s="4">
        <v>1200</v>
      </c>
      <c r="J1651" s="8">
        <v>8</v>
      </c>
      <c r="K1651" s="4">
        <f t="shared" si="44"/>
        <v>9600</v>
      </c>
      <c r="L1651" s="4">
        <f t="shared" si="45"/>
        <v>2880</v>
      </c>
      <c r="M1651" s="3">
        <v>0.3</v>
      </c>
    </row>
    <row r="1652" spans="2:13" x14ac:dyDescent="0.3">
      <c r="B1652" t="s">
        <v>65</v>
      </c>
      <c r="C1652" s="1" t="s">
        <v>63</v>
      </c>
      <c r="D1652" s="2">
        <v>45004</v>
      </c>
      <c r="E1652" s="8" t="s">
        <v>6</v>
      </c>
      <c r="F1652" s="8" t="s">
        <v>7</v>
      </c>
      <c r="G1652" s="8" t="s">
        <v>7</v>
      </c>
      <c r="H1652" t="s">
        <v>9</v>
      </c>
      <c r="I1652" s="4">
        <v>1500</v>
      </c>
      <c r="J1652" s="8">
        <v>8</v>
      </c>
      <c r="K1652" s="4">
        <f t="shared" si="44"/>
        <v>12000</v>
      </c>
      <c r="L1652" s="4">
        <f t="shared" si="45"/>
        <v>4800</v>
      </c>
      <c r="M1652" s="3">
        <v>0.4</v>
      </c>
    </row>
    <row r="1653" spans="2:13" x14ac:dyDescent="0.3">
      <c r="B1653" t="s">
        <v>65</v>
      </c>
      <c r="C1653" s="1" t="s">
        <v>63</v>
      </c>
      <c r="D1653" s="2">
        <v>45004</v>
      </c>
      <c r="E1653" s="8" t="s">
        <v>6</v>
      </c>
      <c r="F1653" s="8" t="s">
        <v>7</v>
      </c>
      <c r="G1653" s="8" t="s">
        <v>7</v>
      </c>
      <c r="H1653" t="s">
        <v>20</v>
      </c>
      <c r="I1653" s="4">
        <v>8902</v>
      </c>
      <c r="J1653" s="8">
        <v>3</v>
      </c>
      <c r="K1653" s="4">
        <f t="shared" si="44"/>
        <v>26706</v>
      </c>
      <c r="L1653" s="4">
        <f t="shared" si="45"/>
        <v>9347.0999999999985</v>
      </c>
      <c r="M1653" s="3">
        <v>0.35</v>
      </c>
    </row>
    <row r="1654" spans="2:13" x14ac:dyDescent="0.3">
      <c r="B1654" t="s">
        <v>65</v>
      </c>
      <c r="C1654" s="1" t="s">
        <v>63</v>
      </c>
      <c r="D1654" s="2">
        <v>45011</v>
      </c>
      <c r="E1654" s="8" t="s">
        <v>6</v>
      </c>
      <c r="F1654" s="8" t="s">
        <v>7</v>
      </c>
      <c r="G1654" s="8" t="s">
        <v>7</v>
      </c>
      <c r="H1654" t="s">
        <v>11</v>
      </c>
      <c r="I1654" s="4">
        <v>300</v>
      </c>
      <c r="J1654" s="8">
        <v>10</v>
      </c>
      <c r="K1654" s="4">
        <f t="shared" si="44"/>
        <v>3000</v>
      </c>
      <c r="L1654" s="4">
        <f t="shared" si="45"/>
        <v>450</v>
      </c>
      <c r="M1654" s="3">
        <v>0.15</v>
      </c>
    </row>
    <row r="1655" spans="2:13" x14ac:dyDescent="0.3">
      <c r="B1655" t="s">
        <v>61</v>
      </c>
      <c r="C1655" s="1" t="s">
        <v>64</v>
      </c>
      <c r="D1655" s="2">
        <v>45011</v>
      </c>
      <c r="E1655" s="8" t="s">
        <v>6</v>
      </c>
      <c r="F1655" s="8" t="s">
        <v>7</v>
      </c>
      <c r="G1655" s="8" t="s">
        <v>7</v>
      </c>
      <c r="H1655" t="s">
        <v>9</v>
      </c>
      <c r="I1655" s="4">
        <v>1500</v>
      </c>
      <c r="J1655" s="8">
        <v>8</v>
      </c>
      <c r="K1655" s="4">
        <f t="shared" si="44"/>
        <v>12000</v>
      </c>
      <c r="L1655" s="4">
        <f t="shared" si="45"/>
        <v>4800</v>
      </c>
      <c r="M1655" s="3">
        <v>0.4</v>
      </c>
    </row>
    <row r="1656" spans="2:13" x14ac:dyDescent="0.3">
      <c r="B1656" t="s">
        <v>65</v>
      </c>
      <c r="C1656" s="1" t="s">
        <v>63</v>
      </c>
      <c r="D1656" s="2">
        <v>45011</v>
      </c>
      <c r="E1656" s="8" t="s">
        <v>6</v>
      </c>
      <c r="F1656" s="8" t="s">
        <v>7</v>
      </c>
      <c r="G1656" s="8" t="s">
        <v>7</v>
      </c>
      <c r="H1656" t="s">
        <v>18</v>
      </c>
      <c r="I1656" s="4">
        <v>4600</v>
      </c>
      <c r="J1656" s="8">
        <v>8</v>
      </c>
      <c r="K1656" s="4">
        <f t="shared" si="44"/>
        <v>36800</v>
      </c>
      <c r="L1656" s="4">
        <f t="shared" si="45"/>
        <v>9200</v>
      </c>
      <c r="M1656" s="3">
        <v>0.25</v>
      </c>
    </row>
    <row r="1657" spans="2:13" x14ac:dyDescent="0.3">
      <c r="B1657" t="s">
        <v>60</v>
      </c>
      <c r="C1657" s="1" t="s">
        <v>63</v>
      </c>
      <c r="D1657" s="2">
        <v>45011</v>
      </c>
      <c r="E1657" s="8" t="s">
        <v>6</v>
      </c>
      <c r="F1657" s="8" t="s">
        <v>7</v>
      </c>
      <c r="G1657" s="8" t="s">
        <v>7</v>
      </c>
      <c r="H1657" t="s">
        <v>20</v>
      </c>
      <c r="I1657" s="4">
        <v>8902</v>
      </c>
      <c r="J1657" s="8">
        <v>7</v>
      </c>
      <c r="K1657" s="4">
        <f t="shared" si="44"/>
        <v>62314</v>
      </c>
      <c r="L1657" s="4">
        <f t="shared" si="45"/>
        <v>21809.899999999998</v>
      </c>
      <c r="M1657" s="3">
        <v>0.35</v>
      </c>
    </row>
    <row r="1658" spans="2:13" x14ac:dyDescent="0.3">
      <c r="B1658" t="s">
        <v>60</v>
      </c>
      <c r="C1658" s="1" t="s">
        <v>64</v>
      </c>
      <c r="D1658" s="2">
        <v>45018</v>
      </c>
      <c r="E1658" s="8" t="s">
        <v>6</v>
      </c>
      <c r="F1658" s="8" t="s">
        <v>7</v>
      </c>
      <c r="G1658" s="8" t="s">
        <v>7</v>
      </c>
      <c r="H1658" t="s">
        <v>12</v>
      </c>
      <c r="I1658" s="4">
        <v>500</v>
      </c>
      <c r="J1658" s="8">
        <v>2</v>
      </c>
      <c r="K1658" s="4">
        <f t="shared" si="44"/>
        <v>1000</v>
      </c>
      <c r="L1658" s="4">
        <f t="shared" si="45"/>
        <v>250</v>
      </c>
      <c r="M1658" s="3">
        <v>0.25</v>
      </c>
    </row>
    <row r="1659" spans="2:13" x14ac:dyDescent="0.3">
      <c r="B1659" t="s">
        <v>60</v>
      </c>
      <c r="C1659" s="1" t="s">
        <v>63</v>
      </c>
      <c r="D1659" s="2">
        <v>45018</v>
      </c>
      <c r="E1659" s="8" t="s">
        <v>6</v>
      </c>
      <c r="F1659" s="8" t="s">
        <v>7</v>
      </c>
      <c r="G1659" s="8" t="s">
        <v>7</v>
      </c>
      <c r="H1659" t="s">
        <v>9</v>
      </c>
      <c r="I1659" s="4">
        <v>1500</v>
      </c>
      <c r="J1659" s="8">
        <v>7</v>
      </c>
      <c r="K1659" s="4">
        <f t="shared" si="44"/>
        <v>10500</v>
      </c>
      <c r="L1659" s="4">
        <f t="shared" si="45"/>
        <v>4200</v>
      </c>
      <c r="M1659" s="3">
        <v>0.4</v>
      </c>
    </row>
    <row r="1660" spans="2:13" x14ac:dyDescent="0.3">
      <c r="B1660" t="s">
        <v>60</v>
      </c>
      <c r="C1660" s="1" t="s">
        <v>63</v>
      </c>
      <c r="D1660" s="2">
        <v>45018</v>
      </c>
      <c r="E1660" s="8" t="s">
        <v>6</v>
      </c>
      <c r="F1660" s="8" t="s">
        <v>7</v>
      </c>
      <c r="G1660" s="8" t="s">
        <v>7</v>
      </c>
      <c r="H1660" t="s">
        <v>19</v>
      </c>
      <c r="I1660" s="4">
        <v>5340</v>
      </c>
      <c r="J1660" s="8">
        <v>4</v>
      </c>
      <c r="K1660" s="4">
        <f t="shared" si="44"/>
        <v>21360</v>
      </c>
      <c r="L1660" s="4">
        <f t="shared" si="45"/>
        <v>6408</v>
      </c>
      <c r="M1660" s="3">
        <v>0.3</v>
      </c>
    </row>
    <row r="1661" spans="2:13" x14ac:dyDescent="0.3">
      <c r="B1661" t="s">
        <v>65</v>
      </c>
      <c r="C1661" s="1" t="s">
        <v>63</v>
      </c>
      <c r="D1661" s="2">
        <v>45018</v>
      </c>
      <c r="E1661" s="8" t="s">
        <v>6</v>
      </c>
      <c r="F1661" s="8" t="s">
        <v>7</v>
      </c>
      <c r="G1661" s="8" t="s">
        <v>7</v>
      </c>
      <c r="H1661" t="s">
        <v>13</v>
      </c>
      <c r="I1661" s="4">
        <v>3200</v>
      </c>
      <c r="J1661" s="8">
        <v>7</v>
      </c>
      <c r="K1661" s="4">
        <f t="shared" si="44"/>
        <v>22400</v>
      </c>
      <c r="L1661" s="4">
        <f t="shared" si="45"/>
        <v>4480</v>
      </c>
      <c r="M1661" s="3">
        <v>0.2</v>
      </c>
    </row>
    <row r="1662" spans="2:13" x14ac:dyDescent="0.3">
      <c r="B1662" t="s">
        <v>65</v>
      </c>
      <c r="C1662" s="1" t="s">
        <v>63</v>
      </c>
      <c r="D1662" s="2">
        <v>45025</v>
      </c>
      <c r="E1662" s="8" t="s">
        <v>6</v>
      </c>
      <c r="F1662" s="8" t="s">
        <v>7</v>
      </c>
      <c r="G1662" s="8" t="s">
        <v>7</v>
      </c>
      <c r="H1662" t="s">
        <v>12</v>
      </c>
      <c r="I1662" s="4">
        <v>500</v>
      </c>
      <c r="J1662" s="8">
        <v>11</v>
      </c>
      <c r="K1662" s="4">
        <f t="shared" si="44"/>
        <v>5500</v>
      </c>
      <c r="L1662" s="4">
        <f t="shared" si="45"/>
        <v>1375</v>
      </c>
      <c r="M1662" s="3">
        <v>0.25</v>
      </c>
    </row>
    <row r="1663" spans="2:13" x14ac:dyDescent="0.3">
      <c r="B1663" t="s">
        <v>60</v>
      </c>
      <c r="C1663" s="1" t="s">
        <v>63</v>
      </c>
      <c r="D1663" s="2">
        <v>45025</v>
      </c>
      <c r="E1663" s="8" t="s">
        <v>6</v>
      </c>
      <c r="F1663" s="8" t="s">
        <v>7</v>
      </c>
      <c r="G1663" s="8" t="s">
        <v>7</v>
      </c>
      <c r="H1663" t="s">
        <v>16</v>
      </c>
      <c r="I1663" s="4">
        <v>3400</v>
      </c>
      <c r="J1663" s="8">
        <v>3</v>
      </c>
      <c r="K1663" s="4">
        <f t="shared" si="44"/>
        <v>10200</v>
      </c>
      <c r="L1663" s="4">
        <f t="shared" si="45"/>
        <v>3570</v>
      </c>
      <c r="M1663" s="3">
        <v>0.35</v>
      </c>
    </row>
    <row r="1664" spans="2:13" x14ac:dyDescent="0.3">
      <c r="B1664" t="s">
        <v>60</v>
      </c>
      <c r="C1664" s="1" t="s">
        <v>63</v>
      </c>
      <c r="D1664" s="2">
        <v>45025</v>
      </c>
      <c r="E1664" s="8" t="s">
        <v>6</v>
      </c>
      <c r="F1664" s="8" t="s">
        <v>7</v>
      </c>
      <c r="G1664" s="8" t="s">
        <v>7</v>
      </c>
      <c r="H1664" t="s">
        <v>16</v>
      </c>
      <c r="I1664" s="4">
        <v>3400</v>
      </c>
      <c r="J1664" s="8">
        <v>5</v>
      </c>
      <c r="K1664" s="4">
        <f t="shared" si="44"/>
        <v>17000</v>
      </c>
      <c r="L1664" s="4">
        <f t="shared" si="45"/>
        <v>5950</v>
      </c>
      <c r="M1664" s="3">
        <v>0.35</v>
      </c>
    </row>
    <row r="1665" spans="2:13" x14ac:dyDescent="0.3">
      <c r="B1665" t="s">
        <v>66</v>
      </c>
      <c r="C1665" s="1" t="s">
        <v>64</v>
      </c>
      <c r="D1665" s="2">
        <v>45025</v>
      </c>
      <c r="E1665" s="8" t="s">
        <v>6</v>
      </c>
      <c r="F1665" s="8" t="s">
        <v>7</v>
      </c>
      <c r="G1665" s="8" t="s">
        <v>7</v>
      </c>
      <c r="H1665" t="s">
        <v>17</v>
      </c>
      <c r="I1665" s="4">
        <v>5130</v>
      </c>
      <c r="J1665" s="8">
        <v>11</v>
      </c>
      <c r="K1665" s="4">
        <f t="shared" si="44"/>
        <v>56430</v>
      </c>
      <c r="L1665" s="4">
        <f t="shared" si="45"/>
        <v>22572</v>
      </c>
      <c r="M1665" s="3">
        <v>0.4</v>
      </c>
    </row>
    <row r="1666" spans="2:13" x14ac:dyDescent="0.3">
      <c r="B1666" t="s">
        <v>61</v>
      </c>
      <c r="C1666" s="1" t="s">
        <v>63</v>
      </c>
      <c r="D1666" s="2">
        <v>45032</v>
      </c>
      <c r="E1666" s="8" t="s">
        <v>6</v>
      </c>
      <c r="F1666" s="8" t="s">
        <v>7</v>
      </c>
      <c r="G1666" s="8" t="s">
        <v>7</v>
      </c>
      <c r="H1666" t="s">
        <v>9</v>
      </c>
      <c r="I1666" s="4">
        <v>1500</v>
      </c>
      <c r="J1666" s="8">
        <v>8</v>
      </c>
      <c r="K1666" s="4">
        <f t="shared" si="44"/>
        <v>12000</v>
      </c>
      <c r="L1666" s="4">
        <f t="shared" si="45"/>
        <v>4800</v>
      </c>
      <c r="M1666" s="3">
        <v>0.4</v>
      </c>
    </row>
    <row r="1667" spans="2:13" x14ac:dyDescent="0.3">
      <c r="B1667" t="s">
        <v>65</v>
      </c>
      <c r="C1667" s="1" t="s">
        <v>64</v>
      </c>
      <c r="D1667" s="2">
        <v>45032</v>
      </c>
      <c r="E1667" s="8" t="s">
        <v>6</v>
      </c>
      <c r="F1667" s="8" t="s">
        <v>7</v>
      </c>
      <c r="G1667" s="8" t="s">
        <v>7</v>
      </c>
      <c r="H1667" t="s">
        <v>15</v>
      </c>
      <c r="I1667" s="4">
        <v>5300</v>
      </c>
      <c r="J1667" s="8">
        <v>5</v>
      </c>
      <c r="K1667" s="4">
        <f t="shared" si="44"/>
        <v>26500</v>
      </c>
      <c r="L1667" s="4">
        <f t="shared" si="45"/>
        <v>7950</v>
      </c>
      <c r="M1667" s="3">
        <v>0.3</v>
      </c>
    </row>
    <row r="1668" spans="2:13" x14ac:dyDescent="0.3">
      <c r="B1668" t="s">
        <v>60</v>
      </c>
      <c r="C1668" s="1" t="s">
        <v>63</v>
      </c>
      <c r="D1668" s="2">
        <v>45032</v>
      </c>
      <c r="E1668" s="8" t="s">
        <v>6</v>
      </c>
      <c r="F1668" s="8" t="s">
        <v>7</v>
      </c>
      <c r="G1668" s="8" t="s">
        <v>7</v>
      </c>
      <c r="H1668" t="s">
        <v>16</v>
      </c>
      <c r="I1668" s="4">
        <v>3400</v>
      </c>
      <c r="J1668" s="8">
        <v>9</v>
      </c>
      <c r="K1668" s="4">
        <f t="shared" si="44"/>
        <v>30600</v>
      </c>
      <c r="L1668" s="4">
        <f t="shared" si="45"/>
        <v>10710</v>
      </c>
      <c r="M1668" s="3">
        <v>0.35</v>
      </c>
    </row>
    <row r="1669" spans="2:13" x14ac:dyDescent="0.3">
      <c r="B1669" t="s">
        <v>60</v>
      </c>
      <c r="C1669" s="1" t="s">
        <v>63</v>
      </c>
      <c r="D1669" s="2">
        <v>45032</v>
      </c>
      <c r="E1669" s="8" t="s">
        <v>6</v>
      </c>
      <c r="F1669" s="8" t="s">
        <v>7</v>
      </c>
      <c r="G1669" s="8" t="s">
        <v>7</v>
      </c>
      <c r="H1669" t="s">
        <v>15</v>
      </c>
      <c r="I1669" s="4">
        <v>5300</v>
      </c>
      <c r="J1669" s="8">
        <v>7</v>
      </c>
      <c r="K1669" s="4">
        <f t="shared" si="44"/>
        <v>37100</v>
      </c>
      <c r="L1669" s="4">
        <f t="shared" si="45"/>
        <v>11130</v>
      </c>
      <c r="M1669" s="3">
        <v>0.3</v>
      </c>
    </row>
    <row r="1670" spans="2:13" x14ac:dyDescent="0.3">
      <c r="B1670" t="s">
        <v>66</v>
      </c>
      <c r="C1670" s="1" t="s">
        <v>64</v>
      </c>
      <c r="D1670" s="2">
        <v>45039</v>
      </c>
      <c r="E1670" s="8" t="s">
        <v>6</v>
      </c>
      <c r="F1670" s="8" t="s">
        <v>7</v>
      </c>
      <c r="G1670" s="8" t="s">
        <v>7</v>
      </c>
      <c r="H1670" t="s">
        <v>20</v>
      </c>
      <c r="I1670" s="4">
        <v>8902</v>
      </c>
      <c r="J1670" s="8">
        <v>1</v>
      </c>
      <c r="K1670" s="4">
        <f t="shared" si="44"/>
        <v>8902</v>
      </c>
      <c r="L1670" s="4">
        <f t="shared" si="45"/>
        <v>3115.7</v>
      </c>
      <c r="M1670" s="3">
        <v>0.35</v>
      </c>
    </row>
    <row r="1671" spans="2:13" x14ac:dyDescent="0.3">
      <c r="B1671" t="s">
        <v>60</v>
      </c>
      <c r="C1671" s="1" t="s">
        <v>63</v>
      </c>
      <c r="D1671" s="2">
        <v>45039</v>
      </c>
      <c r="E1671" s="8" t="s">
        <v>6</v>
      </c>
      <c r="F1671" s="8" t="s">
        <v>7</v>
      </c>
      <c r="G1671" s="8" t="s">
        <v>7</v>
      </c>
      <c r="H1671" t="s">
        <v>14</v>
      </c>
      <c r="I1671" s="4">
        <v>4500</v>
      </c>
      <c r="J1671" s="8">
        <v>5</v>
      </c>
      <c r="K1671" s="4">
        <f t="shared" si="44"/>
        <v>22500</v>
      </c>
      <c r="L1671" s="4">
        <f t="shared" si="45"/>
        <v>5625</v>
      </c>
      <c r="M1671" s="3">
        <v>0.25</v>
      </c>
    </row>
    <row r="1672" spans="2:13" x14ac:dyDescent="0.3">
      <c r="B1672" t="s">
        <v>60</v>
      </c>
      <c r="C1672" s="1" t="s">
        <v>63</v>
      </c>
      <c r="D1672" s="2">
        <v>45039</v>
      </c>
      <c r="E1672" s="8" t="s">
        <v>6</v>
      </c>
      <c r="F1672" s="8" t="s">
        <v>7</v>
      </c>
      <c r="G1672" s="8" t="s">
        <v>7</v>
      </c>
      <c r="H1672" t="s">
        <v>20</v>
      </c>
      <c r="I1672" s="4">
        <v>8902</v>
      </c>
      <c r="J1672" s="8">
        <v>7</v>
      </c>
      <c r="K1672" s="4">
        <f t="shared" si="44"/>
        <v>62314</v>
      </c>
      <c r="L1672" s="4">
        <f t="shared" si="45"/>
        <v>21809.899999999998</v>
      </c>
      <c r="M1672" s="3">
        <v>0.35</v>
      </c>
    </row>
    <row r="1673" spans="2:13" x14ac:dyDescent="0.3">
      <c r="B1673" t="s">
        <v>61</v>
      </c>
      <c r="C1673" s="1" t="s">
        <v>63</v>
      </c>
      <c r="D1673" s="2">
        <v>45039</v>
      </c>
      <c r="E1673" s="8" t="s">
        <v>6</v>
      </c>
      <c r="F1673" s="8" t="s">
        <v>7</v>
      </c>
      <c r="G1673" s="8" t="s">
        <v>7</v>
      </c>
      <c r="H1673" t="s">
        <v>20</v>
      </c>
      <c r="I1673" s="4">
        <v>8902</v>
      </c>
      <c r="J1673" s="8">
        <v>11</v>
      </c>
      <c r="K1673" s="4">
        <f t="shared" si="44"/>
        <v>97922</v>
      </c>
      <c r="L1673" s="4">
        <f t="shared" si="45"/>
        <v>34272.699999999997</v>
      </c>
      <c r="M1673" s="3">
        <v>0.35</v>
      </c>
    </row>
    <row r="1674" spans="2:13" x14ac:dyDescent="0.3">
      <c r="B1674" t="s">
        <v>65</v>
      </c>
      <c r="C1674" s="1" t="s">
        <v>63</v>
      </c>
      <c r="D1674" s="2">
        <v>45046</v>
      </c>
      <c r="E1674" s="8" t="s">
        <v>6</v>
      </c>
      <c r="F1674" s="8" t="s">
        <v>7</v>
      </c>
      <c r="G1674" s="8" t="s">
        <v>7</v>
      </c>
      <c r="H1674" t="s">
        <v>16</v>
      </c>
      <c r="I1674" s="4">
        <v>3400</v>
      </c>
      <c r="J1674" s="8">
        <v>2</v>
      </c>
      <c r="K1674" s="4">
        <f t="shared" si="44"/>
        <v>6800</v>
      </c>
      <c r="L1674" s="4">
        <f t="shared" si="45"/>
        <v>2380</v>
      </c>
      <c r="M1674" s="3">
        <v>0.35</v>
      </c>
    </row>
    <row r="1675" spans="2:13" x14ac:dyDescent="0.3">
      <c r="B1675" t="s">
        <v>62</v>
      </c>
      <c r="C1675" s="1" t="s">
        <v>64</v>
      </c>
      <c r="D1675" s="2">
        <v>45046</v>
      </c>
      <c r="E1675" s="8" t="s">
        <v>6</v>
      </c>
      <c r="F1675" s="8" t="s">
        <v>7</v>
      </c>
      <c r="G1675" s="8" t="s">
        <v>7</v>
      </c>
      <c r="H1675" t="s">
        <v>20</v>
      </c>
      <c r="I1675" s="4">
        <v>8902</v>
      </c>
      <c r="J1675" s="8">
        <v>1</v>
      </c>
      <c r="K1675" s="4">
        <f t="shared" si="44"/>
        <v>8902</v>
      </c>
      <c r="L1675" s="4">
        <f t="shared" si="45"/>
        <v>3115.7</v>
      </c>
      <c r="M1675" s="3">
        <v>0.35</v>
      </c>
    </row>
    <row r="1676" spans="2:13" x14ac:dyDescent="0.3">
      <c r="B1676" t="s">
        <v>65</v>
      </c>
      <c r="C1676" s="1" t="s">
        <v>64</v>
      </c>
      <c r="D1676" s="2">
        <v>45046</v>
      </c>
      <c r="E1676" s="8" t="s">
        <v>6</v>
      </c>
      <c r="F1676" s="8" t="s">
        <v>7</v>
      </c>
      <c r="G1676" s="8" t="s">
        <v>7</v>
      </c>
      <c r="H1676" t="s">
        <v>18</v>
      </c>
      <c r="I1676" s="4">
        <v>4600</v>
      </c>
      <c r="J1676" s="8">
        <v>10</v>
      </c>
      <c r="K1676" s="4">
        <f t="shared" si="44"/>
        <v>46000</v>
      </c>
      <c r="L1676" s="4">
        <f t="shared" si="45"/>
        <v>11500</v>
      </c>
      <c r="M1676" s="3">
        <v>0.25</v>
      </c>
    </row>
    <row r="1677" spans="2:13" x14ac:dyDescent="0.3">
      <c r="B1677" t="s">
        <v>60</v>
      </c>
      <c r="C1677" s="1" t="s">
        <v>63</v>
      </c>
      <c r="D1677" s="2">
        <v>45046</v>
      </c>
      <c r="E1677" s="8" t="s">
        <v>6</v>
      </c>
      <c r="F1677" s="8" t="s">
        <v>7</v>
      </c>
      <c r="G1677" s="8" t="s">
        <v>7</v>
      </c>
      <c r="H1677" t="s">
        <v>14</v>
      </c>
      <c r="I1677" s="4">
        <v>4500</v>
      </c>
      <c r="J1677" s="8">
        <v>11</v>
      </c>
      <c r="K1677" s="4">
        <f t="shared" si="44"/>
        <v>49500</v>
      </c>
      <c r="L1677" s="4">
        <f t="shared" si="45"/>
        <v>12375</v>
      </c>
      <c r="M1677" s="3">
        <v>0.25</v>
      </c>
    </row>
    <row r="1678" spans="2:13" x14ac:dyDescent="0.3">
      <c r="B1678" t="s">
        <v>65</v>
      </c>
      <c r="C1678" s="1" t="s">
        <v>63</v>
      </c>
      <c r="D1678" s="2">
        <v>45053</v>
      </c>
      <c r="E1678" s="8" t="s">
        <v>6</v>
      </c>
      <c r="F1678" s="8" t="s">
        <v>7</v>
      </c>
      <c r="G1678" s="8" t="s">
        <v>7</v>
      </c>
      <c r="H1678" t="s">
        <v>18</v>
      </c>
      <c r="I1678" s="4">
        <v>4600</v>
      </c>
      <c r="J1678" s="8">
        <v>1</v>
      </c>
      <c r="K1678" s="4">
        <f t="shared" si="44"/>
        <v>4600</v>
      </c>
      <c r="L1678" s="4">
        <f t="shared" si="45"/>
        <v>1150</v>
      </c>
      <c r="M1678" s="3">
        <v>0.25</v>
      </c>
    </row>
    <row r="1679" spans="2:13" x14ac:dyDescent="0.3">
      <c r="B1679" t="s">
        <v>60</v>
      </c>
      <c r="C1679" s="1" t="s">
        <v>63</v>
      </c>
      <c r="D1679" s="2">
        <v>45053</v>
      </c>
      <c r="E1679" s="8" t="s">
        <v>6</v>
      </c>
      <c r="F1679" s="8" t="s">
        <v>7</v>
      </c>
      <c r="G1679" s="8" t="s">
        <v>7</v>
      </c>
      <c r="H1679" t="s">
        <v>12</v>
      </c>
      <c r="I1679" s="4">
        <v>500</v>
      </c>
      <c r="J1679" s="8">
        <v>10</v>
      </c>
      <c r="K1679" s="4">
        <f t="shared" si="44"/>
        <v>5000</v>
      </c>
      <c r="L1679" s="4">
        <f t="shared" si="45"/>
        <v>1250</v>
      </c>
      <c r="M1679" s="3">
        <v>0.25</v>
      </c>
    </row>
    <row r="1680" spans="2:13" x14ac:dyDescent="0.3">
      <c r="B1680" t="s">
        <v>66</v>
      </c>
      <c r="C1680" s="1" t="s">
        <v>63</v>
      </c>
      <c r="D1680" s="2">
        <v>45053</v>
      </c>
      <c r="E1680" s="8" t="s">
        <v>6</v>
      </c>
      <c r="F1680" s="8" t="s">
        <v>7</v>
      </c>
      <c r="G1680" s="8" t="s">
        <v>7</v>
      </c>
      <c r="H1680" t="s">
        <v>9</v>
      </c>
      <c r="I1680" s="4">
        <v>1500</v>
      </c>
      <c r="J1680" s="8">
        <v>11</v>
      </c>
      <c r="K1680" s="4">
        <f t="shared" si="44"/>
        <v>16500</v>
      </c>
      <c r="L1680" s="4">
        <f t="shared" si="45"/>
        <v>6600</v>
      </c>
      <c r="M1680" s="3">
        <v>0.4</v>
      </c>
    </row>
    <row r="1681" spans="2:13" x14ac:dyDescent="0.3">
      <c r="B1681" t="s">
        <v>65</v>
      </c>
      <c r="C1681" s="1" t="s">
        <v>64</v>
      </c>
      <c r="D1681" s="2">
        <v>45053</v>
      </c>
      <c r="E1681" s="8" t="s">
        <v>6</v>
      </c>
      <c r="F1681" s="8" t="s">
        <v>7</v>
      </c>
      <c r="G1681" s="8" t="s">
        <v>7</v>
      </c>
      <c r="H1681" t="s">
        <v>20</v>
      </c>
      <c r="I1681" s="4">
        <v>8902</v>
      </c>
      <c r="J1681" s="8">
        <v>2</v>
      </c>
      <c r="K1681" s="4">
        <f t="shared" si="44"/>
        <v>17804</v>
      </c>
      <c r="L1681" s="4">
        <f t="shared" si="45"/>
        <v>6231.4</v>
      </c>
      <c r="M1681" s="3">
        <v>0.35</v>
      </c>
    </row>
    <row r="1682" spans="2:13" x14ac:dyDescent="0.3">
      <c r="B1682" t="s">
        <v>60</v>
      </c>
      <c r="C1682" s="1" t="s">
        <v>64</v>
      </c>
      <c r="D1682" s="2">
        <v>45060</v>
      </c>
      <c r="E1682" s="8" t="s">
        <v>6</v>
      </c>
      <c r="F1682" s="8" t="s">
        <v>7</v>
      </c>
      <c r="G1682" s="8" t="s">
        <v>7</v>
      </c>
      <c r="H1682" t="s">
        <v>11</v>
      </c>
      <c r="I1682" s="4">
        <v>300</v>
      </c>
      <c r="J1682" s="8">
        <v>7</v>
      </c>
      <c r="K1682" s="4">
        <f t="shared" si="44"/>
        <v>2100</v>
      </c>
      <c r="L1682" s="4">
        <f t="shared" si="45"/>
        <v>315</v>
      </c>
      <c r="M1682" s="3">
        <v>0.15</v>
      </c>
    </row>
    <row r="1683" spans="2:13" x14ac:dyDescent="0.3">
      <c r="B1683" t="s">
        <v>65</v>
      </c>
      <c r="C1683" s="1" t="s">
        <v>63</v>
      </c>
      <c r="D1683" s="2">
        <v>45060</v>
      </c>
      <c r="E1683" s="8" t="s">
        <v>6</v>
      </c>
      <c r="F1683" s="8" t="s">
        <v>7</v>
      </c>
      <c r="G1683" s="8" t="s">
        <v>7</v>
      </c>
      <c r="H1683" t="s">
        <v>14</v>
      </c>
      <c r="I1683" s="4">
        <v>4500</v>
      </c>
      <c r="J1683" s="8">
        <v>2</v>
      </c>
      <c r="K1683" s="4">
        <f t="shared" si="44"/>
        <v>9000</v>
      </c>
      <c r="L1683" s="4">
        <f t="shared" si="45"/>
        <v>2250</v>
      </c>
      <c r="M1683" s="3">
        <v>0.25</v>
      </c>
    </row>
    <row r="1684" spans="2:13" x14ac:dyDescent="0.3">
      <c r="B1684" t="s">
        <v>65</v>
      </c>
      <c r="C1684" s="1" t="s">
        <v>63</v>
      </c>
      <c r="D1684" s="2">
        <v>45060</v>
      </c>
      <c r="E1684" s="8" t="s">
        <v>6</v>
      </c>
      <c r="F1684" s="8" t="s">
        <v>7</v>
      </c>
      <c r="G1684" s="8" t="s">
        <v>7</v>
      </c>
      <c r="H1684" t="s">
        <v>19</v>
      </c>
      <c r="I1684" s="4">
        <v>5340</v>
      </c>
      <c r="J1684" s="8">
        <v>7</v>
      </c>
      <c r="K1684" s="4">
        <f t="shared" si="44"/>
        <v>37380</v>
      </c>
      <c r="L1684" s="4">
        <f t="shared" si="45"/>
        <v>11214</v>
      </c>
      <c r="M1684" s="3">
        <v>0.3</v>
      </c>
    </row>
    <row r="1685" spans="2:13" x14ac:dyDescent="0.3">
      <c r="B1685" t="s">
        <v>65</v>
      </c>
      <c r="C1685" s="1" t="s">
        <v>63</v>
      </c>
      <c r="D1685" s="2">
        <v>45060</v>
      </c>
      <c r="E1685" s="8" t="s">
        <v>6</v>
      </c>
      <c r="F1685" s="8" t="s">
        <v>7</v>
      </c>
      <c r="G1685" s="8" t="s">
        <v>7</v>
      </c>
      <c r="H1685" t="s">
        <v>18</v>
      </c>
      <c r="I1685" s="4">
        <v>4600</v>
      </c>
      <c r="J1685" s="8">
        <v>12</v>
      </c>
      <c r="K1685" s="4">
        <f t="shared" si="44"/>
        <v>55200</v>
      </c>
      <c r="L1685" s="4">
        <f t="shared" si="45"/>
        <v>13800</v>
      </c>
      <c r="M1685" s="3">
        <v>0.25</v>
      </c>
    </row>
    <row r="1686" spans="2:13" x14ac:dyDescent="0.3">
      <c r="B1686" t="s">
        <v>65</v>
      </c>
      <c r="C1686" s="1" t="s">
        <v>63</v>
      </c>
      <c r="D1686" s="2">
        <v>45067</v>
      </c>
      <c r="E1686" s="8" t="s">
        <v>6</v>
      </c>
      <c r="F1686" s="8" t="s">
        <v>7</v>
      </c>
      <c r="G1686" s="8" t="s">
        <v>7</v>
      </c>
      <c r="H1686" t="s">
        <v>13</v>
      </c>
      <c r="I1686" s="4">
        <v>3200</v>
      </c>
      <c r="J1686" s="8">
        <v>1</v>
      </c>
      <c r="K1686" s="4">
        <f t="shared" si="44"/>
        <v>3200</v>
      </c>
      <c r="L1686" s="4">
        <f t="shared" si="45"/>
        <v>640</v>
      </c>
      <c r="M1686" s="3">
        <v>0.2</v>
      </c>
    </row>
    <row r="1687" spans="2:13" x14ac:dyDescent="0.3">
      <c r="B1687" t="s">
        <v>65</v>
      </c>
      <c r="C1687" s="1" t="s">
        <v>63</v>
      </c>
      <c r="D1687" s="2">
        <v>45067</v>
      </c>
      <c r="E1687" s="8" t="s">
        <v>6</v>
      </c>
      <c r="F1687" s="8" t="s">
        <v>7</v>
      </c>
      <c r="G1687" s="8" t="s">
        <v>7</v>
      </c>
      <c r="H1687" t="s">
        <v>8</v>
      </c>
      <c r="I1687" s="4">
        <v>1200</v>
      </c>
      <c r="J1687" s="8">
        <v>5</v>
      </c>
      <c r="K1687" s="4">
        <f t="shared" si="44"/>
        <v>6000</v>
      </c>
      <c r="L1687" s="4">
        <f t="shared" si="45"/>
        <v>1800</v>
      </c>
      <c r="M1687" s="3">
        <v>0.3</v>
      </c>
    </row>
    <row r="1688" spans="2:13" x14ac:dyDescent="0.3">
      <c r="B1688" t="s">
        <v>65</v>
      </c>
      <c r="C1688" s="1" t="s">
        <v>63</v>
      </c>
      <c r="D1688" s="2">
        <v>45067</v>
      </c>
      <c r="E1688" s="8" t="s">
        <v>6</v>
      </c>
      <c r="F1688" s="8" t="s">
        <v>7</v>
      </c>
      <c r="G1688" s="8" t="s">
        <v>7</v>
      </c>
      <c r="H1688" t="s">
        <v>10</v>
      </c>
      <c r="I1688" s="4">
        <v>1700</v>
      </c>
      <c r="J1688" s="8">
        <v>9</v>
      </c>
      <c r="K1688" s="4">
        <f t="shared" si="44"/>
        <v>15300</v>
      </c>
      <c r="L1688" s="4">
        <f t="shared" si="45"/>
        <v>7650</v>
      </c>
      <c r="M1688" s="3">
        <v>0.5</v>
      </c>
    </row>
    <row r="1689" spans="2:13" x14ac:dyDescent="0.3">
      <c r="B1689" t="s">
        <v>65</v>
      </c>
      <c r="C1689" s="1" t="s">
        <v>63</v>
      </c>
      <c r="D1689" s="2">
        <v>45067</v>
      </c>
      <c r="E1689" s="8" t="s">
        <v>6</v>
      </c>
      <c r="F1689" s="8" t="s">
        <v>7</v>
      </c>
      <c r="G1689" s="8" t="s">
        <v>7</v>
      </c>
      <c r="H1689" t="s">
        <v>17</v>
      </c>
      <c r="I1689" s="4">
        <v>5130</v>
      </c>
      <c r="J1689" s="8">
        <v>4</v>
      </c>
      <c r="K1689" s="4">
        <f t="shared" si="44"/>
        <v>20520</v>
      </c>
      <c r="L1689" s="4">
        <f t="shared" si="45"/>
        <v>8208</v>
      </c>
      <c r="M1689" s="3">
        <v>0.4</v>
      </c>
    </row>
    <row r="1690" spans="2:13" x14ac:dyDescent="0.3">
      <c r="B1690" t="s">
        <v>65</v>
      </c>
      <c r="C1690" s="1" t="s">
        <v>63</v>
      </c>
      <c r="D1690" s="2">
        <v>45074</v>
      </c>
      <c r="E1690" s="8" t="s">
        <v>6</v>
      </c>
      <c r="F1690" s="8" t="s">
        <v>7</v>
      </c>
      <c r="G1690" s="8" t="s">
        <v>7</v>
      </c>
      <c r="H1690" t="s">
        <v>16</v>
      </c>
      <c r="I1690" s="4">
        <v>3400</v>
      </c>
      <c r="J1690" s="8">
        <v>3</v>
      </c>
      <c r="K1690" s="4">
        <f t="shared" ref="K1690:K1745" si="46">I1690*J1690</f>
        <v>10200</v>
      </c>
      <c r="L1690" s="4">
        <f t="shared" ref="L1690:L1745" si="47">K1690*M1690</f>
        <v>3570</v>
      </c>
      <c r="M1690" s="3">
        <v>0.35</v>
      </c>
    </row>
    <row r="1691" spans="2:13" x14ac:dyDescent="0.3">
      <c r="B1691" t="s">
        <v>65</v>
      </c>
      <c r="C1691" s="1" t="s">
        <v>63</v>
      </c>
      <c r="D1691" s="2">
        <v>45074</v>
      </c>
      <c r="E1691" s="8" t="s">
        <v>6</v>
      </c>
      <c r="F1691" s="8" t="s">
        <v>7</v>
      </c>
      <c r="G1691" s="8" t="s">
        <v>7</v>
      </c>
      <c r="H1691" t="s">
        <v>14</v>
      </c>
      <c r="I1691" s="4">
        <v>4500</v>
      </c>
      <c r="J1691" s="8">
        <v>9</v>
      </c>
      <c r="K1691" s="4">
        <f t="shared" si="46"/>
        <v>40500</v>
      </c>
      <c r="L1691" s="4">
        <f t="shared" si="47"/>
        <v>10125</v>
      </c>
      <c r="M1691" s="3">
        <v>0.25</v>
      </c>
    </row>
    <row r="1692" spans="2:13" x14ac:dyDescent="0.3">
      <c r="B1692" t="s">
        <v>66</v>
      </c>
      <c r="C1692" s="1" t="s">
        <v>63</v>
      </c>
      <c r="D1692" s="2">
        <v>45074</v>
      </c>
      <c r="E1692" s="8" t="s">
        <v>6</v>
      </c>
      <c r="F1692" s="8" t="s">
        <v>7</v>
      </c>
      <c r="G1692" s="8" t="s">
        <v>7</v>
      </c>
      <c r="H1692" t="s">
        <v>17</v>
      </c>
      <c r="I1692" s="4">
        <v>5130</v>
      </c>
      <c r="J1692" s="8">
        <v>8</v>
      </c>
      <c r="K1692" s="4">
        <f t="shared" si="46"/>
        <v>41040</v>
      </c>
      <c r="L1692" s="4">
        <f t="shared" si="47"/>
        <v>16416</v>
      </c>
      <c r="M1692" s="3">
        <v>0.4</v>
      </c>
    </row>
    <row r="1693" spans="2:13" x14ac:dyDescent="0.3">
      <c r="B1693" t="s">
        <v>66</v>
      </c>
      <c r="C1693" s="1" t="s">
        <v>63</v>
      </c>
      <c r="D1693" s="2">
        <v>45074</v>
      </c>
      <c r="E1693" s="8" t="s">
        <v>6</v>
      </c>
      <c r="F1693" s="8" t="s">
        <v>7</v>
      </c>
      <c r="G1693" s="8" t="s">
        <v>7</v>
      </c>
      <c r="H1693" t="s">
        <v>20</v>
      </c>
      <c r="I1693" s="4">
        <v>8902</v>
      </c>
      <c r="J1693" s="8">
        <v>11</v>
      </c>
      <c r="K1693" s="4">
        <f t="shared" si="46"/>
        <v>97922</v>
      </c>
      <c r="L1693" s="4">
        <f t="shared" si="47"/>
        <v>34272.699999999997</v>
      </c>
      <c r="M1693" s="3">
        <v>0.35</v>
      </c>
    </row>
    <row r="1694" spans="2:13" x14ac:dyDescent="0.3">
      <c r="B1694" t="s">
        <v>65</v>
      </c>
      <c r="C1694" s="1" t="s">
        <v>63</v>
      </c>
      <c r="D1694" s="2">
        <v>45081</v>
      </c>
      <c r="E1694" s="8" t="s">
        <v>6</v>
      </c>
      <c r="F1694" s="8" t="s">
        <v>7</v>
      </c>
      <c r="G1694" s="8" t="s">
        <v>7</v>
      </c>
      <c r="H1694" t="s">
        <v>11</v>
      </c>
      <c r="I1694" s="4">
        <v>300</v>
      </c>
      <c r="J1694" s="8">
        <v>6</v>
      </c>
      <c r="K1694" s="4">
        <f t="shared" si="46"/>
        <v>1800</v>
      </c>
      <c r="L1694" s="4">
        <f t="shared" si="47"/>
        <v>270</v>
      </c>
      <c r="M1694" s="3">
        <v>0.15</v>
      </c>
    </row>
    <row r="1695" spans="2:13" x14ac:dyDescent="0.3">
      <c r="B1695" t="s">
        <v>65</v>
      </c>
      <c r="C1695" s="1" t="s">
        <v>63</v>
      </c>
      <c r="D1695" s="2">
        <v>45081</v>
      </c>
      <c r="E1695" s="8" t="s">
        <v>6</v>
      </c>
      <c r="F1695" s="8" t="s">
        <v>7</v>
      </c>
      <c r="G1695" s="8" t="s">
        <v>7</v>
      </c>
      <c r="H1695" t="s">
        <v>10</v>
      </c>
      <c r="I1695" s="4">
        <v>1700</v>
      </c>
      <c r="J1695" s="8">
        <v>9</v>
      </c>
      <c r="K1695" s="4">
        <f t="shared" si="46"/>
        <v>15300</v>
      </c>
      <c r="L1695" s="4">
        <f t="shared" si="47"/>
        <v>7650</v>
      </c>
      <c r="M1695" s="3">
        <v>0.5</v>
      </c>
    </row>
    <row r="1696" spans="2:13" x14ac:dyDescent="0.3">
      <c r="B1696" t="s">
        <v>60</v>
      </c>
      <c r="C1696" s="1" t="s">
        <v>63</v>
      </c>
      <c r="D1696" s="2">
        <v>45081</v>
      </c>
      <c r="E1696" s="8" t="s">
        <v>6</v>
      </c>
      <c r="F1696" s="8" t="s">
        <v>7</v>
      </c>
      <c r="G1696" s="8" t="s">
        <v>7</v>
      </c>
      <c r="H1696" t="s">
        <v>9</v>
      </c>
      <c r="I1696" s="4">
        <v>1500</v>
      </c>
      <c r="J1696" s="8">
        <v>12</v>
      </c>
      <c r="K1696" s="4">
        <f t="shared" si="46"/>
        <v>18000</v>
      </c>
      <c r="L1696" s="4">
        <f t="shared" si="47"/>
        <v>7200</v>
      </c>
      <c r="M1696" s="3">
        <v>0.4</v>
      </c>
    </row>
    <row r="1697" spans="2:13" x14ac:dyDescent="0.3">
      <c r="B1697" t="s">
        <v>61</v>
      </c>
      <c r="C1697" s="1" t="s">
        <v>63</v>
      </c>
      <c r="D1697" s="2">
        <v>45081</v>
      </c>
      <c r="E1697" s="8" t="s">
        <v>6</v>
      </c>
      <c r="F1697" s="8" t="s">
        <v>7</v>
      </c>
      <c r="G1697" s="8" t="s">
        <v>7</v>
      </c>
      <c r="H1697" t="s">
        <v>10</v>
      </c>
      <c r="I1697" s="4">
        <v>1700</v>
      </c>
      <c r="J1697" s="8">
        <v>11</v>
      </c>
      <c r="K1697" s="4">
        <f t="shared" si="46"/>
        <v>18700</v>
      </c>
      <c r="L1697" s="4">
        <f t="shared" si="47"/>
        <v>9350</v>
      </c>
      <c r="M1697" s="3">
        <v>0.5</v>
      </c>
    </row>
    <row r="1698" spans="2:13" x14ac:dyDescent="0.3">
      <c r="B1698" t="s">
        <v>65</v>
      </c>
      <c r="C1698" s="1" t="s">
        <v>64</v>
      </c>
      <c r="D1698" s="2">
        <v>45088</v>
      </c>
      <c r="E1698" s="8" t="s">
        <v>6</v>
      </c>
      <c r="F1698" s="8" t="s">
        <v>7</v>
      </c>
      <c r="G1698" s="8" t="s">
        <v>7</v>
      </c>
      <c r="H1698" t="s">
        <v>16</v>
      </c>
      <c r="I1698" s="4">
        <v>3400</v>
      </c>
      <c r="J1698" s="8">
        <v>7</v>
      </c>
      <c r="K1698" s="4">
        <f t="shared" si="46"/>
        <v>23800</v>
      </c>
      <c r="L1698" s="4">
        <f t="shared" si="47"/>
        <v>8330</v>
      </c>
      <c r="M1698" s="3">
        <v>0.35</v>
      </c>
    </row>
    <row r="1699" spans="2:13" x14ac:dyDescent="0.3">
      <c r="B1699" t="s">
        <v>60</v>
      </c>
      <c r="C1699" s="1" t="s">
        <v>64</v>
      </c>
      <c r="D1699" s="2">
        <v>45088</v>
      </c>
      <c r="E1699" s="8" t="s">
        <v>6</v>
      </c>
      <c r="F1699" s="8" t="s">
        <v>7</v>
      </c>
      <c r="G1699" s="8" t="s">
        <v>7</v>
      </c>
      <c r="H1699" t="s">
        <v>10</v>
      </c>
      <c r="I1699" s="4">
        <v>1700</v>
      </c>
      <c r="J1699" s="8">
        <v>16</v>
      </c>
      <c r="K1699" s="4">
        <f t="shared" si="46"/>
        <v>27200</v>
      </c>
      <c r="L1699" s="4">
        <f t="shared" si="47"/>
        <v>13600</v>
      </c>
      <c r="M1699" s="3">
        <v>0.5</v>
      </c>
    </row>
    <row r="1700" spans="2:13" x14ac:dyDescent="0.3">
      <c r="B1700" t="s">
        <v>65</v>
      </c>
      <c r="C1700" s="1" t="s">
        <v>64</v>
      </c>
      <c r="D1700" s="2">
        <v>45088</v>
      </c>
      <c r="E1700" s="8" t="s">
        <v>6</v>
      </c>
      <c r="F1700" s="8" t="s">
        <v>7</v>
      </c>
      <c r="G1700" s="8" t="s">
        <v>7</v>
      </c>
      <c r="H1700" t="s">
        <v>17</v>
      </c>
      <c r="I1700" s="4">
        <v>5130</v>
      </c>
      <c r="J1700" s="8">
        <v>6</v>
      </c>
      <c r="K1700" s="4">
        <f t="shared" si="46"/>
        <v>30780</v>
      </c>
      <c r="L1700" s="4">
        <f t="shared" si="47"/>
        <v>12312</v>
      </c>
      <c r="M1700" s="3">
        <v>0.4</v>
      </c>
    </row>
    <row r="1701" spans="2:13" x14ac:dyDescent="0.3">
      <c r="B1701" t="s">
        <v>65</v>
      </c>
      <c r="C1701" s="1" t="s">
        <v>64</v>
      </c>
      <c r="D1701" s="2">
        <v>45088</v>
      </c>
      <c r="E1701" s="8" t="s">
        <v>6</v>
      </c>
      <c r="F1701" s="8" t="s">
        <v>7</v>
      </c>
      <c r="G1701" s="8" t="s">
        <v>7</v>
      </c>
      <c r="H1701" t="s">
        <v>18</v>
      </c>
      <c r="I1701" s="4">
        <v>4600</v>
      </c>
      <c r="J1701" s="8">
        <v>8</v>
      </c>
      <c r="K1701" s="4">
        <f t="shared" si="46"/>
        <v>36800</v>
      </c>
      <c r="L1701" s="4">
        <f t="shared" si="47"/>
        <v>9200</v>
      </c>
      <c r="M1701" s="3">
        <v>0.25</v>
      </c>
    </row>
    <row r="1702" spans="2:13" x14ac:dyDescent="0.3">
      <c r="B1702" t="s">
        <v>60</v>
      </c>
      <c r="C1702" s="1" t="s">
        <v>63</v>
      </c>
      <c r="D1702" s="2">
        <v>45095</v>
      </c>
      <c r="E1702" s="8" t="s">
        <v>6</v>
      </c>
      <c r="F1702" s="8" t="s">
        <v>7</v>
      </c>
      <c r="G1702" s="8" t="s">
        <v>7</v>
      </c>
      <c r="H1702" t="s">
        <v>11</v>
      </c>
      <c r="I1702" s="4">
        <v>300</v>
      </c>
      <c r="J1702" s="8">
        <v>1</v>
      </c>
      <c r="K1702" s="4">
        <f t="shared" si="46"/>
        <v>300</v>
      </c>
      <c r="L1702" s="4">
        <f t="shared" si="47"/>
        <v>45</v>
      </c>
      <c r="M1702" s="3">
        <v>0.15</v>
      </c>
    </row>
    <row r="1703" spans="2:13" x14ac:dyDescent="0.3">
      <c r="B1703" t="s">
        <v>60</v>
      </c>
      <c r="C1703" s="1" t="s">
        <v>63</v>
      </c>
      <c r="D1703" s="2">
        <v>45095</v>
      </c>
      <c r="E1703" s="8" t="s">
        <v>6</v>
      </c>
      <c r="F1703" s="8" t="s">
        <v>7</v>
      </c>
      <c r="G1703" s="8" t="s">
        <v>7</v>
      </c>
      <c r="H1703" t="s">
        <v>16</v>
      </c>
      <c r="I1703" s="4">
        <v>3400</v>
      </c>
      <c r="J1703" s="8">
        <v>8</v>
      </c>
      <c r="K1703" s="4">
        <f t="shared" si="46"/>
        <v>27200</v>
      </c>
      <c r="L1703" s="4">
        <f t="shared" si="47"/>
        <v>9520</v>
      </c>
      <c r="M1703" s="3">
        <v>0.35</v>
      </c>
    </row>
    <row r="1704" spans="2:13" x14ac:dyDescent="0.3">
      <c r="B1704" t="s">
        <v>65</v>
      </c>
      <c r="C1704" s="1" t="s">
        <v>63</v>
      </c>
      <c r="D1704" s="2">
        <v>45095</v>
      </c>
      <c r="E1704" s="8" t="s">
        <v>6</v>
      </c>
      <c r="F1704" s="8" t="s">
        <v>76</v>
      </c>
      <c r="G1704" s="8" t="s">
        <v>77</v>
      </c>
      <c r="H1704" t="s">
        <v>16</v>
      </c>
      <c r="I1704" s="4">
        <v>3400</v>
      </c>
      <c r="J1704" s="8">
        <v>11</v>
      </c>
      <c r="K1704" s="4">
        <f t="shared" si="46"/>
        <v>37400</v>
      </c>
      <c r="L1704" s="4">
        <f t="shared" si="47"/>
        <v>13090</v>
      </c>
      <c r="M1704" s="3">
        <v>0.35</v>
      </c>
    </row>
    <row r="1705" spans="2:13" x14ac:dyDescent="0.3">
      <c r="B1705" t="s">
        <v>66</v>
      </c>
      <c r="C1705" s="1" t="s">
        <v>63</v>
      </c>
      <c r="D1705" s="2">
        <v>45095</v>
      </c>
      <c r="E1705" s="8" t="s">
        <v>6</v>
      </c>
      <c r="F1705" s="8" t="s">
        <v>7</v>
      </c>
      <c r="G1705" s="8" t="s">
        <v>7</v>
      </c>
      <c r="H1705" t="s">
        <v>20</v>
      </c>
      <c r="I1705" s="4">
        <v>8902</v>
      </c>
      <c r="J1705" s="8">
        <v>11</v>
      </c>
      <c r="K1705" s="4">
        <f t="shared" si="46"/>
        <v>97922</v>
      </c>
      <c r="L1705" s="4">
        <f t="shared" si="47"/>
        <v>34272.699999999997</v>
      </c>
      <c r="M1705" s="3">
        <v>0.35</v>
      </c>
    </row>
    <row r="1706" spans="2:13" x14ac:dyDescent="0.3">
      <c r="B1706" t="s">
        <v>60</v>
      </c>
      <c r="C1706" s="1" t="s">
        <v>64</v>
      </c>
      <c r="D1706" s="2">
        <v>45102</v>
      </c>
      <c r="E1706" s="8" t="s">
        <v>6</v>
      </c>
      <c r="F1706" s="8" t="s">
        <v>7</v>
      </c>
      <c r="G1706" s="8" t="s">
        <v>7</v>
      </c>
      <c r="H1706" t="s">
        <v>8</v>
      </c>
      <c r="I1706" s="4">
        <v>1200</v>
      </c>
      <c r="J1706" s="8">
        <v>16</v>
      </c>
      <c r="K1706" s="4">
        <f t="shared" si="46"/>
        <v>19200</v>
      </c>
      <c r="L1706" s="4">
        <f t="shared" si="47"/>
        <v>5760</v>
      </c>
      <c r="M1706" s="3">
        <v>0.3</v>
      </c>
    </row>
    <row r="1707" spans="2:13" x14ac:dyDescent="0.3">
      <c r="B1707" t="s">
        <v>65</v>
      </c>
      <c r="C1707" s="1" t="s">
        <v>63</v>
      </c>
      <c r="D1707" s="2">
        <v>45102</v>
      </c>
      <c r="E1707" s="8" t="s">
        <v>6</v>
      </c>
      <c r="F1707" s="8" t="s">
        <v>7</v>
      </c>
      <c r="G1707" s="8" t="s">
        <v>7</v>
      </c>
      <c r="H1707" t="s">
        <v>13</v>
      </c>
      <c r="I1707" s="4">
        <v>3200</v>
      </c>
      <c r="J1707" s="8">
        <v>11</v>
      </c>
      <c r="K1707" s="4">
        <f t="shared" si="46"/>
        <v>35200</v>
      </c>
      <c r="L1707" s="4">
        <f t="shared" si="47"/>
        <v>7040</v>
      </c>
      <c r="M1707" s="3">
        <v>0.2</v>
      </c>
    </row>
    <row r="1708" spans="2:13" x14ac:dyDescent="0.3">
      <c r="B1708" t="s">
        <v>66</v>
      </c>
      <c r="C1708" s="1" t="s">
        <v>64</v>
      </c>
      <c r="D1708" s="2">
        <v>45102</v>
      </c>
      <c r="E1708" s="8" t="s">
        <v>6</v>
      </c>
      <c r="F1708" s="8" t="s">
        <v>7</v>
      </c>
      <c r="G1708" s="8" t="s">
        <v>7</v>
      </c>
      <c r="H1708" t="s">
        <v>17</v>
      </c>
      <c r="I1708" s="4">
        <v>5130</v>
      </c>
      <c r="J1708" s="8">
        <v>10</v>
      </c>
      <c r="K1708" s="4">
        <f t="shared" si="46"/>
        <v>51300</v>
      </c>
      <c r="L1708" s="4">
        <f t="shared" si="47"/>
        <v>20520</v>
      </c>
      <c r="M1708" s="3">
        <v>0.4</v>
      </c>
    </row>
    <row r="1709" spans="2:13" x14ac:dyDescent="0.3">
      <c r="B1709" t="s">
        <v>60</v>
      </c>
      <c r="C1709" s="1" t="s">
        <v>64</v>
      </c>
      <c r="D1709" s="2">
        <v>45102</v>
      </c>
      <c r="E1709" s="8" t="s">
        <v>6</v>
      </c>
      <c r="F1709" s="8" t="s">
        <v>7</v>
      </c>
      <c r="G1709" s="8" t="s">
        <v>7</v>
      </c>
      <c r="H1709" t="s">
        <v>15</v>
      </c>
      <c r="I1709" s="4">
        <v>5300</v>
      </c>
      <c r="J1709" s="8">
        <v>11</v>
      </c>
      <c r="K1709" s="4">
        <f t="shared" si="46"/>
        <v>58300</v>
      </c>
      <c r="L1709" s="4">
        <f t="shared" si="47"/>
        <v>17490</v>
      </c>
      <c r="M1709" s="3">
        <v>0.3</v>
      </c>
    </row>
    <row r="1710" spans="2:13" x14ac:dyDescent="0.3">
      <c r="B1710" t="s">
        <v>60</v>
      </c>
      <c r="C1710" s="1" t="s">
        <v>63</v>
      </c>
      <c r="D1710" s="2">
        <v>45109</v>
      </c>
      <c r="E1710" s="8" t="s">
        <v>6</v>
      </c>
      <c r="F1710" s="8" t="s">
        <v>76</v>
      </c>
      <c r="G1710" s="8" t="s">
        <v>77</v>
      </c>
      <c r="H1710" t="s">
        <v>18</v>
      </c>
      <c r="I1710" s="4">
        <v>4600</v>
      </c>
      <c r="J1710" s="8">
        <v>9</v>
      </c>
      <c r="K1710" s="4">
        <f t="shared" si="46"/>
        <v>41400</v>
      </c>
      <c r="L1710" s="4">
        <f t="shared" si="47"/>
        <v>10350</v>
      </c>
      <c r="M1710" s="3">
        <v>0.25</v>
      </c>
    </row>
    <row r="1711" spans="2:13" x14ac:dyDescent="0.3">
      <c r="B1711" t="s">
        <v>66</v>
      </c>
      <c r="C1711" s="1" t="s">
        <v>63</v>
      </c>
      <c r="D1711" s="2">
        <v>45109</v>
      </c>
      <c r="E1711" s="8" t="s">
        <v>6</v>
      </c>
      <c r="F1711" s="8" t="s">
        <v>76</v>
      </c>
      <c r="G1711" s="8" t="s">
        <v>77</v>
      </c>
      <c r="H1711" t="s">
        <v>20</v>
      </c>
      <c r="I1711" s="4">
        <v>8902</v>
      </c>
      <c r="J1711" s="8">
        <v>6</v>
      </c>
      <c r="K1711" s="4">
        <f t="shared" si="46"/>
        <v>53412</v>
      </c>
      <c r="L1711" s="4">
        <f t="shared" si="47"/>
        <v>18694.199999999997</v>
      </c>
      <c r="M1711" s="3">
        <v>0.35</v>
      </c>
    </row>
    <row r="1712" spans="2:13" x14ac:dyDescent="0.3">
      <c r="B1712" t="s">
        <v>65</v>
      </c>
      <c r="C1712" s="1" t="s">
        <v>64</v>
      </c>
      <c r="D1712" s="2">
        <v>45109</v>
      </c>
      <c r="E1712" s="8" t="s">
        <v>6</v>
      </c>
      <c r="F1712" s="8" t="s">
        <v>7</v>
      </c>
      <c r="G1712" s="8" t="s">
        <v>7</v>
      </c>
      <c r="H1712" t="s">
        <v>15</v>
      </c>
      <c r="I1712" s="4">
        <v>5300</v>
      </c>
      <c r="J1712" s="8">
        <v>12</v>
      </c>
      <c r="K1712" s="4">
        <f t="shared" si="46"/>
        <v>63600</v>
      </c>
      <c r="L1712" s="4">
        <f t="shared" si="47"/>
        <v>19080</v>
      </c>
      <c r="M1712" s="3">
        <v>0.3</v>
      </c>
    </row>
    <row r="1713" spans="2:13" x14ac:dyDescent="0.3">
      <c r="B1713" t="s">
        <v>60</v>
      </c>
      <c r="C1713" s="1" t="s">
        <v>63</v>
      </c>
      <c r="D1713" s="2">
        <v>45109</v>
      </c>
      <c r="E1713" s="8" t="s">
        <v>6</v>
      </c>
      <c r="F1713" s="8" t="s">
        <v>7</v>
      </c>
      <c r="G1713" s="8" t="s">
        <v>7</v>
      </c>
      <c r="H1713" t="s">
        <v>19</v>
      </c>
      <c r="I1713" s="4">
        <v>5340</v>
      </c>
      <c r="J1713" s="8">
        <v>12</v>
      </c>
      <c r="K1713" s="4">
        <f t="shared" si="46"/>
        <v>64080</v>
      </c>
      <c r="L1713" s="4">
        <f t="shared" si="47"/>
        <v>19224</v>
      </c>
      <c r="M1713" s="3">
        <v>0.3</v>
      </c>
    </row>
    <row r="1714" spans="2:13" x14ac:dyDescent="0.3">
      <c r="B1714" t="s">
        <v>60</v>
      </c>
      <c r="C1714" s="1" t="s">
        <v>64</v>
      </c>
      <c r="D1714" s="2">
        <v>45116</v>
      </c>
      <c r="E1714" s="8" t="s">
        <v>6</v>
      </c>
      <c r="F1714" s="8" t="s">
        <v>76</v>
      </c>
      <c r="G1714" s="8" t="s">
        <v>77</v>
      </c>
      <c r="H1714" t="s">
        <v>12</v>
      </c>
      <c r="I1714" s="4">
        <v>500</v>
      </c>
      <c r="J1714" s="8">
        <v>7</v>
      </c>
      <c r="K1714" s="4">
        <f t="shared" si="46"/>
        <v>3500</v>
      </c>
      <c r="L1714" s="4">
        <f t="shared" si="47"/>
        <v>875</v>
      </c>
      <c r="M1714" s="3">
        <v>0.25</v>
      </c>
    </row>
    <row r="1715" spans="2:13" x14ac:dyDescent="0.3">
      <c r="B1715" t="s">
        <v>65</v>
      </c>
      <c r="C1715" s="1" t="s">
        <v>63</v>
      </c>
      <c r="D1715" s="2">
        <v>45116</v>
      </c>
      <c r="E1715" s="8" t="s">
        <v>6</v>
      </c>
      <c r="F1715" s="8" t="s">
        <v>7</v>
      </c>
      <c r="G1715" s="8" t="s">
        <v>7</v>
      </c>
      <c r="H1715" t="s">
        <v>19</v>
      </c>
      <c r="I1715" s="4">
        <v>5340</v>
      </c>
      <c r="J1715" s="8">
        <v>2</v>
      </c>
      <c r="K1715" s="4">
        <f t="shared" si="46"/>
        <v>10680</v>
      </c>
      <c r="L1715" s="4">
        <f t="shared" si="47"/>
        <v>3204</v>
      </c>
      <c r="M1715" s="3">
        <v>0.3</v>
      </c>
    </row>
    <row r="1716" spans="2:13" x14ac:dyDescent="0.3">
      <c r="B1716" t="s">
        <v>62</v>
      </c>
      <c r="C1716" s="1" t="s">
        <v>64</v>
      </c>
      <c r="D1716" s="2">
        <v>45116</v>
      </c>
      <c r="E1716" s="8" t="s">
        <v>6</v>
      </c>
      <c r="F1716" s="8" t="s">
        <v>7</v>
      </c>
      <c r="G1716" s="8" t="s">
        <v>7</v>
      </c>
      <c r="H1716" t="s">
        <v>13</v>
      </c>
      <c r="I1716" s="4">
        <v>3200</v>
      </c>
      <c r="J1716" s="8">
        <v>8</v>
      </c>
      <c r="K1716" s="4">
        <f t="shared" si="46"/>
        <v>25600</v>
      </c>
      <c r="L1716" s="4">
        <f t="shared" si="47"/>
        <v>5120</v>
      </c>
      <c r="M1716" s="3">
        <v>0.2</v>
      </c>
    </row>
    <row r="1717" spans="2:13" x14ac:dyDescent="0.3">
      <c r="B1717" t="s">
        <v>65</v>
      </c>
      <c r="C1717" s="1" t="s">
        <v>63</v>
      </c>
      <c r="D1717" s="2">
        <v>45116</v>
      </c>
      <c r="E1717" s="8" t="s">
        <v>6</v>
      </c>
      <c r="F1717" s="8" t="s">
        <v>7</v>
      </c>
      <c r="G1717" s="8" t="s">
        <v>7</v>
      </c>
      <c r="H1717" t="s">
        <v>18</v>
      </c>
      <c r="I1717" s="4">
        <v>4600</v>
      </c>
      <c r="J1717" s="8">
        <v>8</v>
      </c>
      <c r="K1717" s="4">
        <f t="shared" si="46"/>
        <v>36800</v>
      </c>
      <c r="L1717" s="4">
        <f t="shared" si="47"/>
        <v>9200</v>
      </c>
      <c r="M1717" s="3">
        <v>0.25</v>
      </c>
    </row>
    <row r="1718" spans="2:13" x14ac:dyDescent="0.3">
      <c r="B1718" t="s">
        <v>65</v>
      </c>
      <c r="C1718" s="1" t="s">
        <v>63</v>
      </c>
      <c r="D1718" s="2">
        <v>45123</v>
      </c>
      <c r="E1718" s="8" t="s">
        <v>6</v>
      </c>
      <c r="F1718" s="8" t="s">
        <v>7</v>
      </c>
      <c r="G1718" s="8" t="s">
        <v>7</v>
      </c>
      <c r="H1718" t="s">
        <v>10</v>
      </c>
      <c r="I1718" s="4">
        <v>1700</v>
      </c>
      <c r="J1718" s="8">
        <v>6</v>
      </c>
      <c r="K1718" s="4">
        <f t="shared" si="46"/>
        <v>10200</v>
      </c>
      <c r="L1718" s="4">
        <f t="shared" si="47"/>
        <v>5100</v>
      </c>
      <c r="M1718" s="3">
        <v>0.5</v>
      </c>
    </row>
    <row r="1719" spans="2:13" x14ac:dyDescent="0.3">
      <c r="B1719" t="s">
        <v>65</v>
      </c>
      <c r="C1719" s="1" t="s">
        <v>63</v>
      </c>
      <c r="D1719" s="2">
        <v>45123</v>
      </c>
      <c r="E1719" s="8" t="s">
        <v>6</v>
      </c>
      <c r="F1719" s="8" t="s">
        <v>76</v>
      </c>
      <c r="G1719" s="8" t="s">
        <v>77</v>
      </c>
      <c r="H1719" t="s">
        <v>16</v>
      </c>
      <c r="I1719" s="4">
        <v>3400</v>
      </c>
      <c r="J1719" s="8">
        <v>8</v>
      </c>
      <c r="K1719" s="4">
        <f t="shared" si="46"/>
        <v>27200</v>
      </c>
      <c r="L1719" s="4">
        <f t="shared" si="47"/>
        <v>9520</v>
      </c>
      <c r="M1719" s="3">
        <v>0.35</v>
      </c>
    </row>
    <row r="1720" spans="2:13" x14ac:dyDescent="0.3">
      <c r="B1720" t="s">
        <v>61</v>
      </c>
      <c r="C1720" s="1" t="s">
        <v>63</v>
      </c>
      <c r="D1720" s="2">
        <v>45123</v>
      </c>
      <c r="E1720" s="8" t="s">
        <v>6</v>
      </c>
      <c r="F1720" s="8" t="s">
        <v>7</v>
      </c>
      <c r="G1720" s="8" t="s">
        <v>7</v>
      </c>
      <c r="H1720" t="s">
        <v>14</v>
      </c>
      <c r="I1720" s="4">
        <v>4500</v>
      </c>
      <c r="J1720" s="8">
        <v>7</v>
      </c>
      <c r="K1720" s="4">
        <f t="shared" si="46"/>
        <v>31500</v>
      </c>
      <c r="L1720" s="4">
        <f t="shared" si="47"/>
        <v>7875</v>
      </c>
      <c r="M1720" s="3">
        <v>0.25</v>
      </c>
    </row>
    <row r="1721" spans="2:13" x14ac:dyDescent="0.3">
      <c r="B1721" t="s">
        <v>65</v>
      </c>
      <c r="C1721" s="1" t="s">
        <v>64</v>
      </c>
      <c r="D1721" s="2">
        <v>45123</v>
      </c>
      <c r="E1721" s="8" t="s">
        <v>6</v>
      </c>
      <c r="F1721" s="8" t="s">
        <v>7</v>
      </c>
      <c r="G1721" s="8" t="s">
        <v>7</v>
      </c>
      <c r="H1721" t="s">
        <v>18</v>
      </c>
      <c r="I1721" s="4">
        <v>4600</v>
      </c>
      <c r="J1721" s="8">
        <v>11</v>
      </c>
      <c r="K1721" s="4">
        <f t="shared" si="46"/>
        <v>50600</v>
      </c>
      <c r="L1721" s="4">
        <f t="shared" si="47"/>
        <v>12650</v>
      </c>
      <c r="M1721" s="3">
        <v>0.25</v>
      </c>
    </row>
    <row r="1722" spans="2:13" x14ac:dyDescent="0.3">
      <c r="B1722" t="s">
        <v>65</v>
      </c>
      <c r="C1722" s="1" t="s">
        <v>63</v>
      </c>
      <c r="D1722" s="2">
        <v>45130</v>
      </c>
      <c r="E1722" s="8" t="s">
        <v>6</v>
      </c>
      <c r="F1722" s="8" t="s">
        <v>7</v>
      </c>
      <c r="G1722" s="8" t="s">
        <v>7</v>
      </c>
      <c r="H1722" t="s">
        <v>11</v>
      </c>
      <c r="I1722" s="4">
        <v>300</v>
      </c>
      <c r="J1722" s="8">
        <v>12</v>
      </c>
      <c r="K1722" s="4">
        <f t="shared" si="46"/>
        <v>3600</v>
      </c>
      <c r="L1722" s="4">
        <f t="shared" si="47"/>
        <v>540</v>
      </c>
      <c r="M1722" s="3">
        <v>0.15</v>
      </c>
    </row>
    <row r="1723" spans="2:13" x14ac:dyDescent="0.3">
      <c r="B1723" t="s">
        <v>65</v>
      </c>
      <c r="C1723" s="1" t="s">
        <v>63</v>
      </c>
      <c r="D1723" s="2">
        <v>45130</v>
      </c>
      <c r="E1723" s="8" t="s">
        <v>6</v>
      </c>
      <c r="F1723" s="8" t="s">
        <v>7</v>
      </c>
      <c r="G1723" s="8" t="s">
        <v>7</v>
      </c>
      <c r="H1723" t="s">
        <v>18</v>
      </c>
      <c r="I1723" s="4">
        <v>4600</v>
      </c>
      <c r="J1723" s="8">
        <v>3</v>
      </c>
      <c r="K1723" s="4">
        <f t="shared" si="46"/>
        <v>13800</v>
      </c>
      <c r="L1723" s="4">
        <f t="shared" si="47"/>
        <v>3450</v>
      </c>
      <c r="M1723" s="3">
        <v>0.25</v>
      </c>
    </row>
    <row r="1724" spans="2:13" x14ac:dyDescent="0.3">
      <c r="B1724" t="s">
        <v>65</v>
      </c>
      <c r="C1724" s="1" t="s">
        <v>64</v>
      </c>
      <c r="D1724" s="2">
        <v>45130</v>
      </c>
      <c r="E1724" s="8" t="s">
        <v>6</v>
      </c>
      <c r="F1724" s="8" t="s">
        <v>76</v>
      </c>
      <c r="G1724" s="8" t="s">
        <v>77</v>
      </c>
      <c r="H1724" t="s">
        <v>17</v>
      </c>
      <c r="I1724" s="4">
        <v>5130</v>
      </c>
      <c r="J1724" s="8">
        <v>6</v>
      </c>
      <c r="K1724" s="4">
        <f t="shared" si="46"/>
        <v>30780</v>
      </c>
      <c r="L1724" s="4">
        <f t="shared" si="47"/>
        <v>12312</v>
      </c>
      <c r="M1724" s="3">
        <v>0.4</v>
      </c>
    </row>
    <row r="1725" spans="2:13" x14ac:dyDescent="0.3">
      <c r="B1725" t="s">
        <v>61</v>
      </c>
      <c r="C1725" s="1" t="s">
        <v>64</v>
      </c>
      <c r="D1725" s="2">
        <v>45130</v>
      </c>
      <c r="E1725" s="8" t="s">
        <v>6</v>
      </c>
      <c r="F1725" s="8" t="s">
        <v>7</v>
      </c>
      <c r="G1725" s="8" t="s">
        <v>7</v>
      </c>
      <c r="H1725" t="s">
        <v>18</v>
      </c>
      <c r="I1725" s="4">
        <v>4600</v>
      </c>
      <c r="J1725" s="8">
        <v>8</v>
      </c>
      <c r="K1725" s="4">
        <f t="shared" si="46"/>
        <v>36800</v>
      </c>
      <c r="L1725" s="4">
        <f t="shared" si="47"/>
        <v>9200</v>
      </c>
      <c r="M1725" s="3">
        <v>0.25</v>
      </c>
    </row>
    <row r="1726" spans="2:13" x14ac:dyDescent="0.3">
      <c r="B1726" t="s">
        <v>65</v>
      </c>
      <c r="C1726" s="1" t="s">
        <v>63</v>
      </c>
      <c r="D1726" s="2">
        <v>45137</v>
      </c>
      <c r="E1726" s="8" t="s">
        <v>6</v>
      </c>
      <c r="F1726" s="8" t="s">
        <v>76</v>
      </c>
      <c r="G1726" s="8" t="s">
        <v>77</v>
      </c>
      <c r="H1726" t="s">
        <v>9</v>
      </c>
      <c r="I1726" s="4">
        <v>1500</v>
      </c>
      <c r="J1726" s="8">
        <v>4</v>
      </c>
      <c r="K1726" s="4">
        <f t="shared" si="46"/>
        <v>6000</v>
      </c>
      <c r="L1726" s="4">
        <f t="shared" si="47"/>
        <v>2400</v>
      </c>
      <c r="M1726" s="3">
        <v>0.4</v>
      </c>
    </row>
    <row r="1727" spans="2:13" x14ac:dyDescent="0.3">
      <c r="B1727" t="s">
        <v>60</v>
      </c>
      <c r="C1727" s="1" t="s">
        <v>64</v>
      </c>
      <c r="D1727" s="2">
        <v>45137</v>
      </c>
      <c r="E1727" s="8" t="s">
        <v>6</v>
      </c>
      <c r="F1727" s="8" t="s">
        <v>7</v>
      </c>
      <c r="G1727" s="8" t="s">
        <v>7</v>
      </c>
      <c r="H1727" t="s">
        <v>8</v>
      </c>
      <c r="I1727" s="4">
        <v>1200</v>
      </c>
      <c r="J1727" s="8">
        <v>9</v>
      </c>
      <c r="K1727" s="4">
        <f t="shared" si="46"/>
        <v>10800</v>
      </c>
      <c r="L1727" s="4">
        <f t="shared" si="47"/>
        <v>3240</v>
      </c>
      <c r="M1727" s="3">
        <v>0.3</v>
      </c>
    </row>
    <row r="1728" spans="2:13" x14ac:dyDescent="0.3">
      <c r="B1728" t="s">
        <v>65</v>
      </c>
      <c r="C1728" s="1" t="s">
        <v>63</v>
      </c>
      <c r="D1728" s="2">
        <v>45137</v>
      </c>
      <c r="E1728" s="8" t="s">
        <v>6</v>
      </c>
      <c r="F1728" s="8" t="s">
        <v>76</v>
      </c>
      <c r="G1728" s="8" t="s">
        <v>77</v>
      </c>
      <c r="H1728" t="s">
        <v>16</v>
      </c>
      <c r="I1728" s="4">
        <v>3400</v>
      </c>
      <c r="J1728" s="8">
        <v>4</v>
      </c>
      <c r="K1728" s="4">
        <f t="shared" si="46"/>
        <v>13600</v>
      </c>
      <c r="L1728" s="4">
        <f t="shared" si="47"/>
        <v>4760</v>
      </c>
      <c r="M1728" s="3">
        <v>0.35</v>
      </c>
    </row>
    <row r="1729" spans="2:13" x14ac:dyDescent="0.3">
      <c r="B1729" t="s">
        <v>60</v>
      </c>
      <c r="C1729" s="1" t="s">
        <v>63</v>
      </c>
      <c r="D1729" s="2">
        <v>45137</v>
      </c>
      <c r="E1729" s="8" t="s">
        <v>6</v>
      </c>
      <c r="F1729" s="8" t="s">
        <v>7</v>
      </c>
      <c r="G1729" s="8" t="s">
        <v>7</v>
      </c>
      <c r="H1729" t="s">
        <v>15</v>
      </c>
      <c r="I1729" s="4">
        <v>5300</v>
      </c>
      <c r="J1729" s="8">
        <v>11</v>
      </c>
      <c r="K1729" s="4">
        <f t="shared" si="46"/>
        <v>58300</v>
      </c>
      <c r="L1729" s="4">
        <f t="shared" si="47"/>
        <v>17490</v>
      </c>
      <c r="M1729" s="3">
        <v>0.3</v>
      </c>
    </row>
    <row r="1730" spans="2:13" x14ac:dyDescent="0.3">
      <c r="B1730" t="s">
        <v>60</v>
      </c>
      <c r="C1730" s="1" t="s">
        <v>63</v>
      </c>
      <c r="D1730" s="2">
        <v>45144</v>
      </c>
      <c r="E1730" s="8" t="s">
        <v>6</v>
      </c>
      <c r="F1730" s="8" t="s">
        <v>7</v>
      </c>
      <c r="G1730" s="8" t="s">
        <v>7</v>
      </c>
      <c r="H1730" t="s">
        <v>12</v>
      </c>
      <c r="I1730" s="4">
        <v>500</v>
      </c>
      <c r="J1730" s="8">
        <v>9</v>
      </c>
      <c r="K1730" s="4">
        <f t="shared" si="46"/>
        <v>4500</v>
      </c>
      <c r="L1730" s="4">
        <f t="shared" si="47"/>
        <v>1125</v>
      </c>
      <c r="M1730" s="3">
        <v>0.25</v>
      </c>
    </row>
    <row r="1731" spans="2:13" x14ac:dyDescent="0.3">
      <c r="B1731" t="s">
        <v>65</v>
      </c>
      <c r="C1731" s="1" t="s">
        <v>64</v>
      </c>
      <c r="D1731" s="2">
        <v>45144</v>
      </c>
      <c r="E1731" s="8" t="s">
        <v>6</v>
      </c>
      <c r="F1731" s="8" t="s">
        <v>76</v>
      </c>
      <c r="G1731" s="8" t="s">
        <v>77</v>
      </c>
      <c r="H1731" t="s">
        <v>19</v>
      </c>
      <c r="I1731" s="4">
        <v>5340</v>
      </c>
      <c r="J1731" s="8">
        <v>3</v>
      </c>
      <c r="K1731" s="4">
        <f t="shared" si="46"/>
        <v>16020</v>
      </c>
      <c r="L1731" s="4">
        <f t="shared" si="47"/>
        <v>4806</v>
      </c>
      <c r="M1731" s="3">
        <v>0.3</v>
      </c>
    </row>
    <row r="1732" spans="2:13" x14ac:dyDescent="0.3">
      <c r="B1732" t="s">
        <v>66</v>
      </c>
      <c r="C1732" s="1" t="s">
        <v>64</v>
      </c>
      <c r="D1732" s="2">
        <v>45144</v>
      </c>
      <c r="E1732" s="8" t="s">
        <v>6</v>
      </c>
      <c r="F1732" s="8" t="s">
        <v>7</v>
      </c>
      <c r="G1732" s="8" t="s">
        <v>7</v>
      </c>
      <c r="H1732" t="s">
        <v>10</v>
      </c>
      <c r="I1732" s="4">
        <v>1700</v>
      </c>
      <c r="J1732" s="8">
        <v>12</v>
      </c>
      <c r="K1732" s="4">
        <f t="shared" si="46"/>
        <v>20400</v>
      </c>
      <c r="L1732" s="4">
        <f t="shared" si="47"/>
        <v>10200</v>
      </c>
      <c r="M1732" s="3">
        <v>0.5</v>
      </c>
    </row>
    <row r="1733" spans="2:13" x14ac:dyDescent="0.3">
      <c r="B1733" t="s">
        <v>66</v>
      </c>
      <c r="C1733" s="1" t="s">
        <v>63</v>
      </c>
      <c r="D1733" s="2">
        <v>45144</v>
      </c>
      <c r="E1733" s="8" t="s">
        <v>6</v>
      </c>
      <c r="F1733" s="8" t="s">
        <v>76</v>
      </c>
      <c r="G1733" s="8" t="s">
        <v>77</v>
      </c>
      <c r="H1733" t="s">
        <v>14</v>
      </c>
      <c r="I1733" s="4">
        <v>4500</v>
      </c>
      <c r="J1733" s="8">
        <v>6</v>
      </c>
      <c r="K1733" s="4">
        <f t="shared" si="46"/>
        <v>27000</v>
      </c>
      <c r="L1733" s="4">
        <f t="shared" si="47"/>
        <v>6750</v>
      </c>
      <c r="M1733" s="3">
        <v>0.25</v>
      </c>
    </row>
    <row r="1734" spans="2:13" x14ac:dyDescent="0.3">
      <c r="B1734" t="s">
        <v>66</v>
      </c>
      <c r="C1734" s="1" t="s">
        <v>64</v>
      </c>
      <c r="D1734" s="2">
        <v>45151</v>
      </c>
      <c r="E1734" s="8" t="s">
        <v>6</v>
      </c>
      <c r="F1734" s="8" t="s">
        <v>7</v>
      </c>
      <c r="G1734" s="8" t="s">
        <v>7</v>
      </c>
      <c r="H1734" t="s">
        <v>11</v>
      </c>
      <c r="I1734" s="4">
        <v>300</v>
      </c>
      <c r="J1734" s="8">
        <v>5</v>
      </c>
      <c r="K1734" s="4">
        <f t="shared" si="46"/>
        <v>1500</v>
      </c>
      <c r="L1734" s="4">
        <f t="shared" si="47"/>
        <v>225</v>
      </c>
      <c r="M1734" s="3">
        <v>0.15</v>
      </c>
    </row>
    <row r="1735" spans="2:13" x14ac:dyDescent="0.3">
      <c r="B1735" t="s">
        <v>65</v>
      </c>
      <c r="C1735" s="1" t="s">
        <v>63</v>
      </c>
      <c r="D1735" s="2">
        <v>45151</v>
      </c>
      <c r="E1735" s="8" t="s">
        <v>6</v>
      </c>
      <c r="F1735" s="8" t="s">
        <v>7</v>
      </c>
      <c r="G1735" s="8" t="s">
        <v>7</v>
      </c>
      <c r="H1735" t="s">
        <v>14</v>
      </c>
      <c r="I1735" s="4">
        <v>4500</v>
      </c>
      <c r="J1735" s="8">
        <v>1</v>
      </c>
      <c r="K1735" s="4">
        <f t="shared" si="46"/>
        <v>4500</v>
      </c>
      <c r="L1735" s="4">
        <f t="shared" si="47"/>
        <v>1125</v>
      </c>
      <c r="M1735" s="3">
        <v>0.25</v>
      </c>
    </row>
    <row r="1736" spans="2:13" x14ac:dyDescent="0.3">
      <c r="B1736" t="s">
        <v>65</v>
      </c>
      <c r="C1736" s="1" t="s">
        <v>63</v>
      </c>
      <c r="D1736" s="2">
        <v>45151</v>
      </c>
      <c r="E1736" s="8" t="s">
        <v>6</v>
      </c>
      <c r="F1736" s="8" t="s">
        <v>7</v>
      </c>
      <c r="G1736" s="8" t="s">
        <v>7</v>
      </c>
      <c r="H1736" t="s">
        <v>12</v>
      </c>
      <c r="I1736" s="4">
        <v>500</v>
      </c>
      <c r="J1736" s="8">
        <v>9</v>
      </c>
      <c r="K1736" s="4">
        <f t="shared" si="46"/>
        <v>4500</v>
      </c>
      <c r="L1736" s="4">
        <f t="shared" si="47"/>
        <v>1125</v>
      </c>
      <c r="M1736" s="3">
        <v>0.25</v>
      </c>
    </row>
    <row r="1737" spans="2:13" x14ac:dyDescent="0.3">
      <c r="B1737" t="s">
        <v>66</v>
      </c>
      <c r="C1737" s="1" t="s">
        <v>63</v>
      </c>
      <c r="D1737" s="2">
        <v>45151</v>
      </c>
      <c r="E1737" s="8" t="s">
        <v>6</v>
      </c>
      <c r="F1737" s="8" t="s">
        <v>7</v>
      </c>
      <c r="G1737" s="8" t="s">
        <v>7</v>
      </c>
      <c r="H1737" t="s">
        <v>17</v>
      </c>
      <c r="I1737" s="4">
        <v>5130</v>
      </c>
      <c r="J1737" s="8">
        <v>11</v>
      </c>
      <c r="K1737" s="4">
        <f t="shared" si="46"/>
        <v>56430</v>
      </c>
      <c r="L1737" s="4">
        <f t="shared" si="47"/>
        <v>22572</v>
      </c>
      <c r="M1737" s="3">
        <v>0.4</v>
      </c>
    </row>
    <row r="1738" spans="2:13" x14ac:dyDescent="0.3">
      <c r="B1738" t="s">
        <v>65</v>
      </c>
      <c r="C1738" s="1" t="s">
        <v>63</v>
      </c>
      <c r="D1738" s="2">
        <v>45158</v>
      </c>
      <c r="E1738" s="8" t="s">
        <v>6</v>
      </c>
      <c r="F1738" s="8" t="s">
        <v>7</v>
      </c>
      <c r="G1738" s="8" t="s">
        <v>7</v>
      </c>
      <c r="H1738" t="s">
        <v>12</v>
      </c>
      <c r="I1738" s="4">
        <v>500</v>
      </c>
      <c r="J1738" s="8">
        <v>12</v>
      </c>
      <c r="K1738" s="4">
        <f t="shared" si="46"/>
        <v>6000</v>
      </c>
      <c r="L1738" s="4">
        <f t="shared" si="47"/>
        <v>1500</v>
      </c>
      <c r="M1738" s="3">
        <v>0.25</v>
      </c>
    </row>
    <row r="1739" spans="2:13" x14ac:dyDescent="0.3">
      <c r="B1739" t="s">
        <v>60</v>
      </c>
      <c r="C1739" s="1" t="s">
        <v>63</v>
      </c>
      <c r="D1739" s="2">
        <v>45158</v>
      </c>
      <c r="E1739" s="8" t="s">
        <v>6</v>
      </c>
      <c r="F1739" s="8" t="s">
        <v>7</v>
      </c>
      <c r="G1739" s="8" t="s">
        <v>7</v>
      </c>
      <c r="H1739" t="s">
        <v>15</v>
      </c>
      <c r="I1739" s="4">
        <v>5300</v>
      </c>
      <c r="J1739" s="8">
        <v>7</v>
      </c>
      <c r="K1739" s="4">
        <f t="shared" si="46"/>
        <v>37100</v>
      </c>
      <c r="L1739" s="4">
        <f t="shared" si="47"/>
        <v>11130</v>
      </c>
      <c r="M1739" s="3">
        <v>0.3</v>
      </c>
    </row>
    <row r="1740" spans="2:13" x14ac:dyDescent="0.3">
      <c r="B1740" t="s">
        <v>65</v>
      </c>
      <c r="C1740" s="1" t="s">
        <v>64</v>
      </c>
      <c r="D1740" s="2">
        <v>45158</v>
      </c>
      <c r="E1740" s="8" t="s">
        <v>6</v>
      </c>
      <c r="F1740" s="8" t="s">
        <v>7</v>
      </c>
      <c r="G1740" s="8" t="s">
        <v>7</v>
      </c>
      <c r="H1740" t="s">
        <v>13</v>
      </c>
      <c r="I1740" s="4">
        <v>3200</v>
      </c>
      <c r="J1740" s="8">
        <v>15</v>
      </c>
      <c r="K1740" s="4">
        <f t="shared" si="46"/>
        <v>48000</v>
      </c>
      <c r="L1740" s="4">
        <f t="shared" si="47"/>
        <v>9600</v>
      </c>
      <c r="M1740" s="3">
        <v>0.2</v>
      </c>
    </row>
    <row r="1741" spans="2:13" x14ac:dyDescent="0.3">
      <c r="B1741" t="s">
        <v>66</v>
      </c>
      <c r="C1741" s="1" t="s">
        <v>64</v>
      </c>
      <c r="D1741" s="2">
        <v>45158</v>
      </c>
      <c r="E1741" s="8" t="s">
        <v>6</v>
      </c>
      <c r="F1741" s="8" t="s">
        <v>7</v>
      </c>
      <c r="G1741" s="8" t="s">
        <v>7</v>
      </c>
      <c r="H1741" t="s">
        <v>17</v>
      </c>
      <c r="I1741" s="4">
        <v>5130</v>
      </c>
      <c r="J1741" s="8">
        <v>15</v>
      </c>
      <c r="K1741" s="4">
        <f t="shared" si="46"/>
        <v>76950</v>
      </c>
      <c r="L1741" s="4">
        <f t="shared" si="47"/>
        <v>30780</v>
      </c>
      <c r="M1741" s="3">
        <v>0.4</v>
      </c>
    </row>
    <row r="1742" spans="2:13" x14ac:dyDescent="0.3">
      <c r="B1742" t="s">
        <v>65</v>
      </c>
      <c r="C1742" s="1" t="s">
        <v>63</v>
      </c>
      <c r="D1742" s="2">
        <v>45165</v>
      </c>
      <c r="E1742" s="8" t="s">
        <v>6</v>
      </c>
      <c r="F1742" s="8" t="s">
        <v>7</v>
      </c>
      <c r="G1742" s="8" t="s">
        <v>7</v>
      </c>
      <c r="H1742" t="s">
        <v>10</v>
      </c>
      <c r="I1742" s="4">
        <v>1700</v>
      </c>
      <c r="J1742" s="8">
        <v>7</v>
      </c>
      <c r="K1742" s="4">
        <f t="shared" si="46"/>
        <v>11900</v>
      </c>
      <c r="L1742" s="4">
        <f t="shared" si="47"/>
        <v>5950</v>
      </c>
      <c r="M1742" s="3">
        <v>0.5</v>
      </c>
    </row>
    <row r="1743" spans="2:13" x14ac:dyDescent="0.3">
      <c r="B1743" t="s">
        <v>66</v>
      </c>
      <c r="C1743" s="1" t="s">
        <v>63</v>
      </c>
      <c r="D1743" s="2">
        <v>45165</v>
      </c>
      <c r="E1743" s="8" t="s">
        <v>6</v>
      </c>
      <c r="F1743" s="8" t="s">
        <v>7</v>
      </c>
      <c r="G1743" s="8" t="s">
        <v>7</v>
      </c>
      <c r="H1743" t="s">
        <v>15</v>
      </c>
      <c r="I1743" s="4">
        <v>5300</v>
      </c>
      <c r="J1743" s="8">
        <v>6</v>
      </c>
      <c r="K1743" s="4">
        <f t="shared" si="46"/>
        <v>31800</v>
      </c>
      <c r="L1743" s="4">
        <f t="shared" si="47"/>
        <v>9540</v>
      </c>
      <c r="M1743" s="3">
        <v>0.3</v>
      </c>
    </row>
    <row r="1744" spans="2:13" x14ac:dyDescent="0.3">
      <c r="B1744" t="s">
        <v>65</v>
      </c>
      <c r="C1744" s="1" t="s">
        <v>63</v>
      </c>
      <c r="D1744" s="2">
        <v>45165</v>
      </c>
      <c r="E1744" s="8" t="s">
        <v>6</v>
      </c>
      <c r="F1744" s="8" t="s">
        <v>7</v>
      </c>
      <c r="G1744" s="8" t="s">
        <v>7</v>
      </c>
      <c r="H1744" t="s">
        <v>15</v>
      </c>
      <c r="I1744" s="4">
        <v>5300</v>
      </c>
      <c r="J1744" s="8">
        <v>8</v>
      </c>
      <c r="K1744" s="4">
        <f t="shared" si="46"/>
        <v>42400</v>
      </c>
      <c r="L1744" s="4">
        <f t="shared" si="47"/>
        <v>12720</v>
      </c>
      <c r="M1744" s="3">
        <v>0.3</v>
      </c>
    </row>
    <row r="1745" spans="2:13" x14ac:dyDescent="0.3">
      <c r="B1745" t="s">
        <v>65</v>
      </c>
      <c r="C1745" s="1" t="s">
        <v>63</v>
      </c>
      <c r="D1745" s="2">
        <v>45165</v>
      </c>
      <c r="E1745" s="8" t="s">
        <v>6</v>
      </c>
      <c r="F1745" s="8" t="s">
        <v>7</v>
      </c>
      <c r="G1745" s="8" t="s">
        <v>7</v>
      </c>
      <c r="H1745" t="s">
        <v>19</v>
      </c>
      <c r="I1745" s="4">
        <v>5340</v>
      </c>
      <c r="J1745" s="8">
        <v>10</v>
      </c>
      <c r="K1745" s="4">
        <f t="shared" si="46"/>
        <v>53400</v>
      </c>
      <c r="L1745" s="4">
        <f t="shared" si="47"/>
        <v>16020</v>
      </c>
      <c r="M1745" s="3">
        <v>0.3</v>
      </c>
    </row>
    <row r="1746" spans="2:13" x14ac:dyDescent="0.3">
      <c r="B1746" t="s">
        <v>62</v>
      </c>
      <c r="C1746" s="1" t="s">
        <v>64</v>
      </c>
      <c r="D1746" s="2">
        <v>44562</v>
      </c>
      <c r="E1746" s="8" t="s">
        <v>6</v>
      </c>
      <c r="F1746" s="8" t="s">
        <v>76</v>
      </c>
      <c r="G1746" s="8" t="s">
        <v>77</v>
      </c>
      <c r="H1746" t="s">
        <v>11</v>
      </c>
      <c r="I1746" s="4">
        <v>300</v>
      </c>
      <c r="J1746" s="8">
        <v>7</v>
      </c>
      <c r="K1746" s="4">
        <v>2100</v>
      </c>
      <c r="L1746" s="4">
        <v>315</v>
      </c>
      <c r="M1746" s="3">
        <v>0.15</v>
      </c>
    </row>
    <row r="1747" spans="2:13" x14ac:dyDescent="0.3">
      <c r="B1747" t="s">
        <v>62</v>
      </c>
      <c r="C1747" s="1" t="s">
        <v>64</v>
      </c>
      <c r="D1747" s="2">
        <v>44577</v>
      </c>
      <c r="E1747" s="8" t="s">
        <v>6</v>
      </c>
      <c r="F1747" s="8" t="s">
        <v>76</v>
      </c>
      <c r="G1747" s="8" t="s">
        <v>77</v>
      </c>
      <c r="H1747" t="s">
        <v>9</v>
      </c>
      <c r="I1747" s="4">
        <v>1500</v>
      </c>
      <c r="J1747" s="8">
        <v>10</v>
      </c>
      <c r="K1747" s="4">
        <v>15000</v>
      </c>
      <c r="L1747" s="4">
        <v>6000</v>
      </c>
      <c r="M1747" s="3">
        <v>0.4</v>
      </c>
    </row>
    <row r="1748" spans="2:13" x14ac:dyDescent="0.3">
      <c r="B1748" t="s">
        <v>61</v>
      </c>
      <c r="C1748" s="1" t="s">
        <v>64</v>
      </c>
      <c r="D1748" s="2">
        <v>44584</v>
      </c>
      <c r="E1748" s="8" t="s">
        <v>6</v>
      </c>
      <c r="F1748" s="8" t="s">
        <v>76</v>
      </c>
      <c r="G1748" s="8" t="s">
        <v>77</v>
      </c>
      <c r="H1748" t="s">
        <v>11</v>
      </c>
      <c r="I1748" s="4">
        <v>300</v>
      </c>
      <c r="J1748" s="8">
        <v>11</v>
      </c>
      <c r="K1748" s="4">
        <v>3300</v>
      </c>
      <c r="L1748" s="4">
        <v>495</v>
      </c>
      <c r="M1748" s="3">
        <v>0.15</v>
      </c>
    </row>
    <row r="1749" spans="2:13" x14ac:dyDescent="0.3">
      <c r="B1749" t="s">
        <v>65</v>
      </c>
      <c r="C1749" s="1" t="s">
        <v>63</v>
      </c>
      <c r="D1749" s="2">
        <v>44591</v>
      </c>
      <c r="E1749" s="8" t="s">
        <v>6</v>
      </c>
      <c r="F1749" s="8" t="s">
        <v>76</v>
      </c>
      <c r="G1749" s="8" t="s">
        <v>77</v>
      </c>
      <c r="H1749" t="s">
        <v>17</v>
      </c>
      <c r="I1749" s="4">
        <v>5130</v>
      </c>
      <c r="J1749" s="8">
        <v>9</v>
      </c>
      <c r="K1749" s="4">
        <v>46170</v>
      </c>
      <c r="L1749" s="4">
        <v>18468</v>
      </c>
      <c r="M1749" s="3">
        <v>0.4</v>
      </c>
    </row>
    <row r="1750" spans="2:13" x14ac:dyDescent="0.3">
      <c r="B1750" t="s">
        <v>60</v>
      </c>
      <c r="C1750" s="1" t="s">
        <v>63</v>
      </c>
      <c r="D1750" s="2">
        <v>44598</v>
      </c>
      <c r="E1750" s="8" t="s">
        <v>6</v>
      </c>
      <c r="F1750" s="8" t="s">
        <v>76</v>
      </c>
      <c r="G1750" s="8" t="s">
        <v>77</v>
      </c>
      <c r="H1750" t="s">
        <v>17</v>
      </c>
      <c r="I1750" s="4">
        <v>5130</v>
      </c>
      <c r="J1750" s="8">
        <v>4</v>
      </c>
      <c r="K1750" s="4">
        <v>20520</v>
      </c>
      <c r="L1750" s="4">
        <v>8208</v>
      </c>
      <c r="M1750" s="3">
        <v>0.4</v>
      </c>
    </row>
    <row r="1751" spans="2:13" x14ac:dyDescent="0.3">
      <c r="B1751" t="s">
        <v>60</v>
      </c>
      <c r="C1751" s="1" t="s">
        <v>64</v>
      </c>
      <c r="D1751" s="2">
        <v>44605</v>
      </c>
      <c r="E1751" s="8" t="s">
        <v>6</v>
      </c>
      <c r="F1751" s="8" t="s">
        <v>76</v>
      </c>
      <c r="G1751" s="8" t="s">
        <v>77</v>
      </c>
      <c r="H1751" t="s">
        <v>10</v>
      </c>
      <c r="I1751" s="4">
        <v>1700</v>
      </c>
      <c r="J1751" s="8">
        <v>8</v>
      </c>
      <c r="K1751" s="4">
        <v>13600</v>
      </c>
      <c r="L1751" s="4">
        <v>6800</v>
      </c>
      <c r="M1751" s="3">
        <v>0.5</v>
      </c>
    </row>
    <row r="1752" spans="2:13" x14ac:dyDescent="0.3">
      <c r="B1752" t="s">
        <v>60</v>
      </c>
      <c r="C1752" s="1" t="s">
        <v>63</v>
      </c>
      <c r="D1752" s="2">
        <v>44612</v>
      </c>
      <c r="E1752" s="8" t="s">
        <v>6</v>
      </c>
      <c r="F1752" s="8" t="s">
        <v>76</v>
      </c>
      <c r="G1752" s="8" t="s">
        <v>77</v>
      </c>
      <c r="H1752" t="s">
        <v>14</v>
      </c>
      <c r="I1752" s="4">
        <v>4500</v>
      </c>
      <c r="J1752" s="8">
        <v>9</v>
      </c>
      <c r="K1752" s="4">
        <v>40500</v>
      </c>
      <c r="L1752" s="4">
        <v>10125</v>
      </c>
      <c r="M1752" s="3">
        <v>0.25</v>
      </c>
    </row>
    <row r="1753" spans="2:13" x14ac:dyDescent="0.3">
      <c r="B1753" t="s">
        <v>65</v>
      </c>
      <c r="C1753" s="1" t="s">
        <v>64</v>
      </c>
      <c r="D1753" s="2">
        <v>44619</v>
      </c>
      <c r="E1753" s="8" t="s">
        <v>6</v>
      </c>
      <c r="F1753" s="8" t="s">
        <v>76</v>
      </c>
      <c r="G1753" s="8" t="s">
        <v>77</v>
      </c>
      <c r="H1753" t="s">
        <v>13</v>
      </c>
      <c r="I1753" s="4">
        <v>3200</v>
      </c>
      <c r="J1753" s="8">
        <v>9</v>
      </c>
      <c r="K1753" s="4">
        <v>28800</v>
      </c>
      <c r="L1753" s="4">
        <v>5760</v>
      </c>
      <c r="M1753" s="3">
        <v>0.2</v>
      </c>
    </row>
    <row r="1754" spans="2:13" x14ac:dyDescent="0.3">
      <c r="B1754" t="s">
        <v>65</v>
      </c>
      <c r="C1754" s="1" t="s">
        <v>64</v>
      </c>
      <c r="D1754" s="2">
        <v>44626</v>
      </c>
      <c r="E1754" s="8" t="s">
        <v>6</v>
      </c>
      <c r="F1754" s="8" t="s">
        <v>76</v>
      </c>
      <c r="G1754" s="8" t="s">
        <v>77</v>
      </c>
      <c r="H1754" t="s">
        <v>13</v>
      </c>
      <c r="I1754" s="4">
        <v>3200</v>
      </c>
      <c r="J1754" s="8">
        <v>2</v>
      </c>
      <c r="K1754" s="4">
        <v>6400</v>
      </c>
      <c r="L1754" s="4">
        <v>1280</v>
      </c>
      <c r="M1754" s="3">
        <v>0.2</v>
      </c>
    </row>
    <row r="1755" spans="2:13" x14ac:dyDescent="0.3">
      <c r="B1755" t="s">
        <v>65</v>
      </c>
      <c r="C1755" s="1" t="s">
        <v>64</v>
      </c>
      <c r="D1755" s="2">
        <v>44633</v>
      </c>
      <c r="E1755" s="8" t="s">
        <v>6</v>
      </c>
      <c r="F1755" s="8" t="s">
        <v>76</v>
      </c>
      <c r="G1755" s="8" t="s">
        <v>77</v>
      </c>
      <c r="H1755" t="s">
        <v>20</v>
      </c>
      <c r="I1755" s="4">
        <v>8902</v>
      </c>
      <c r="J1755" s="8">
        <v>6</v>
      </c>
      <c r="K1755" s="4">
        <v>53412</v>
      </c>
      <c r="L1755" s="4">
        <v>18694.199999999997</v>
      </c>
      <c r="M1755" s="3">
        <v>0.35</v>
      </c>
    </row>
    <row r="1756" spans="2:13" x14ac:dyDescent="0.3">
      <c r="B1756" t="s">
        <v>65</v>
      </c>
      <c r="C1756" s="1" t="s">
        <v>63</v>
      </c>
      <c r="D1756" s="2">
        <v>44640</v>
      </c>
      <c r="E1756" s="8" t="s">
        <v>6</v>
      </c>
      <c r="F1756" s="8" t="s">
        <v>76</v>
      </c>
      <c r="G1756" s="8" t="s">
        <v>77</v>
      </c>
      <c r="H1756" t="s">
        <v>16</v>
      </c>
      <c r="I1756" s="4">
        <v>3400</v>
      </c>
      <c r="J1756" s="8">
        <v>11</v>
      </c>
      <c r="K1756" s="4">
        <v>37400</v>
      </c>
      <c r="L1756" s="4">
        <v>13090</v>
      </c>
      <c r="M1756" s="3">
        <v>0.35</v>
      </c>
    </row>
    <row r="1757" spans="2:13" x14ac:dyDescent="0.3">
      <c r="B1757" t="s">
        <v>65</v>
      </c>
      <c r="C1757" s="1" t="s">
        <v>63</v>
      </c>
      <c r="D1757" s="2">
        <v>44647</v>
      </c>
      <c r="E1757" s="8" t="s">
        <v>6</v>
      </c>
      <c r="F1757" s="8" t="s">
        <v>76</v>
      </c>
      <c r="G1757" s="8" t="s">
        <v>77</v>
      </c>
      <c r="H1757" t="s">
        <v>20</v>
      </c>
      <c r="I1757" s="4">
        <v>8902</v>
      </c>
      <c r="J1757" s="8">
        <v>6</v>
      </c>
      <c r="K1757" s="4">
        <v>53412</v>
      </c>
      <c r="L1757" s="4">
        <v>18694.199999999997</v>
      </c>
      <c r="M1757" s="3">
        <v>0.35</v>
      </c>
    </row>
    <row r="1758" spans="2:13" x14ac:dyDescent="0.3">
      <c r="B1758" t="s">
        <v>65</v>
      </c>
      <c r="C1758" s="1" t="s">
        <v>64</v>
      </c>
      <c r="D1758" s="2">
        <v>44654</v>
      </c>
      <c r="E1758" s="8" t="s">
        <v>6</v>
      </c>
      <c r="F1758" s="8" t="s">
        <v>76</v>
      </c>
      <c r="G1758" s="8" t="s">
        <v>77</v>
      </c>
      <c r="H1758" t="s">
        <v>13</v>
      </c>
      <c r="I1758" s="4">
        <v>3200</v>
      </c>
      <c r="J1758" s="8">
        <v>9</v>
      </c>
      <c r="K1758" s="4">
        <v>28800</v>
      </c>
      <c r="L1758" s="4">
        <v>5760</v>
      </c>
      <c r="M1758" s="3">
        <v>0.2</v>
      </c>
    </row>
    <row r="1759" spans="2:13" x14ac:dyDescent="0.3">
      <c r="B1759" t="s">
        <v>66</v>
      </c>
      <c r="C1759" s="1" t="s">
        <v>63</v>
      </c>
      <c r="D1759" s="2">
        <v>44661</v>
      </c>
      <c r="E1759" s="8" t="s">
        <v>6</v>
      </c>
      <c r="F1759" s="8" t="s">
        <v>76</v>
      </c>
      <c r="G1759" s="8" t="s">
        <v>77</v>
      </c>
      <c r="H1759" t="s">
        <v>13</v>
      </c>
      <c r="I1759" s="4">
        <v>3200</v>
      </c>
      <c r="J1759" s="8">
        <v>12</v>
      </c>
      <c r="K1759" s="4">
        <v>38400</v>
      </c>
      <c r="L1759" s="4">
        <v>7680</v>
      </c>
      <c r="M1759" s="3">
        <v>0.2</v>
      </c>
    </row>
    <row r="1760" spans="2:13" x14ac:dyDescent="0.3">
      <c r="B1760" t="s">
        <v>60</v>
      </c>
      <c r="C1760" s="1" t="s">
        <v>64</v>
      </c>
      <c r="D1760" s="2">
        <v>44668</v>
      </c>
      <c r="E1760" s="8" t="s">
        <v>6</v>
      </c>
      <c r="F1760" s="8" t="s">
        <v>76</v>
      </c>
      <c r="G1760" s="8" t="s">
        <v>77</v>
      </c>
      <c r="H1760" t="s">
        <v>14</v>
      </c>
      <c r="I1760" s="4">
        <v>4500</v>
      </c>
      <c r="J1760" s="8">
        <v>1</v>
      </c>
      <c r="K1760" s="4">
        <v>4500</v>
      </c>
      <c r="L1760" s="4">
        <v>1125</v>
      </c>
      <c r="M1760" s="3">
        <v>0.25</v>
      </c>
    </row>
    <row r="1761" spans="2:13" x14ac:dyDescent="0.3">
      <c r="B1761" t="s">
        <v>65</v>
      </c>
      <c r="C1761" s="1" t="s">
        <v>63</v>
      </c>
      <c r="D1761" s="2">
        <v>44675</v>
      </c>
      <c r="E1761" s="8" t="s">
        <v>6</v>
      </c>
      <c r="F1761" s="8" t="s">
        <v>76</v>
      </c>
      <c r="G1761" s="8" t="s">
        <v>77</v>
      </c>
      <c r="H1761" t="s">
        <v>8</v>
      </c>
      <c r="I1761" s="4">
        <v>1200</v>
      </c>
      <c r="J1761" s="8">
        <v>10</v>
      </c>
      <c r="K1761" s="4">
        <v>12000</v>
      </c>
      <c r="L1761" s="4">
        <v>3600</v>
      </c>
      <c r="M1761" s="3">
        <v>0.3</v>
      </c>
    </row>
    <row r="1762" spans="2:13" x14ac:dyDescent="0.3">
      <c r="B1762" t="s">
        <v>60</v>
      </c>
      <c r="C1762" s="1" t="s">
        <v>64</v>
      </c>
      <c r="D1762" s="2">
        <v>44682</v>
      </c>
      <c r="E1762" s="8" t="s">
        <v>6</v>
      </c>
      <c r="F1762" s="8" t="s">
        <v>76</v>
      </c>
      <c r="G1762" s="8" t="s">
        <v>77</v>
      </c>
      <c r="H1762" t="s">
        <v>17</v>
      </c>
      <c r="I1762" s="4">
        <v>5130</v>
      </c>
      <c r="J1762" s="8">
        <v>5</v>
      </c>
      <c r="K1762" s="4">
        <v>25650</v>
      </c>
      <c r="L1762" s="4">
        <v>10260</v>
      </c>
      <c r="M1762" s="3">
        <v>0.4</v>
      </c>
    </row>
    <row r="1763" spans="2:13" x14ac:dyDescent="0.3">
      <c r="B1763" t="s">
        <v>65</v>
      </c>
      <c r="C1763" s="1" t="s">
        <v>63</v>
      </c>
      <c r="D1763" s="2">
        <v>44689</v>
      </c>
      <c r="E1763" s="8" t="s">
        <v>6</v>
      </c>
      <c r="F1763" s="8" t="s">
        <v>76</v>
      </c>
      <c r="G1763" s="8" t="s">
        <v>77</v>
      </c>
      <c r="H1763" t="s">
        <v>11</v>
      </c>
      <c r="I1763" s="4">
        <v>300</v>
      </c>
      <c r="J1763" s="8">
        <v>4</v>
      </c>
      <c r="K1763" s="4">
        <v>1200</v>
      </c>
      <c r="L1763" s="4">
        <v>180</v>
      </c>
      <c r="M1763" s="3">
        <v>0.15</v>
      </c>
    </row>
    <row r="1764" spans="2:13" x14ac:dyDescent="0.3">
      <c r="B1764" t="s">
        <v>61</v>
      </c>
      <c r="C1764" s="1" t="s">
        <v>64</v>
      </c>
      <c r="D1764" s="2">
        <v>44562</v>
      </c>
      <c r="E1764" s="8" t="s">
        <v>24</v>
      </c>
      <c r="F1764" s="8" t="s">
        <v>69</v>
      </c>
      <c r="G1764" s="8" t="s">
        <v>30</v>
      </c>
      <c r="H1764" t="s">
        <v>17</v>
      </c>
      <c r="I1764" s="4">
        <v>5130</v>
      </c>
      <c r="J1764" s="8">
        <v>10</v>
      </c>
      <c r="K1764" s="4">
        <f t="shared" ref="K1764:K1795" si="48">I1764*J1764</f>
        <v>51300</v>
      </c>
      <c r="L1764" s="4">
        <f t="shared" ref="L1764:L1795" si="49">K1764*M1764</f>
        <v>20520</v>
      </c>
      <c r="M1764" s="3">
        <v>0.4</v>
      </c>
    </row>
    <row r="1765" spans="2:13" x14ac:dyDescent="0.3">
      <c r="B1765" t="s">
        <v>65</v>
      </c>
      <c r="C1765" s="1" t="s">
        <v>64</v>
      </c>
      <c r="D1765" s="2">
        <v>44577</v>
      </c>
      <c r="E1765" s="8" t="s">
        <v>24</v>
      </c>
      <c r="F1765" s="8" t="s">
        <v>69</v>
      </c>
      <c r="G1765" s="8" t="s">
        <v>30</v>
      </c>
      <c r="H1765" t="s">
        <v>18</v>
      </c>
      <c r="I1765" s="4">
        <v>4600</v>
      </c>
      <c r="J1765" s="8">
        <v>2</v>
      </c>
      <c r="K1765" s="4">
        <f t="shared" si="48"/>
        <v>9200</v>
      </c>
      <c r="L1765" s="4">
        <f t="shared" si="49"/>
        <v>2300</v>
      </c>
      <c r="M1765" s="3">
        <v>0.25</v>
      </c>
    </row>
    <row r="1766" spans="2:13" x14ac:dyDescent="0.3">
      <c r="B1766" t="s">
        <v>60</v>
      </c>
      <c r="C1766" s="1" t="s">
        <v>63</v>
      </c>
      <c r="D1766" s="2">
        <v>44584</v>
      </c>
      <c r="E1766" s="8" t="s">
        <v>24</v>
      </c>
      <c r="F1766" s="8" t="s">
        <v>69</v>
      </c>
      <c r="G1766" s="8" t="s">
        <v>30</v>
      </c>
      <c r="H1766" t="s">
        <v>12</v>
      </c>
      <c r="I1766" s="4">
        <v>500</v>
      </c>
      <c r="J1766" s="8">
        <v>10</v>
      </c>
      <c r="K1766" s="4">
        <f t="shared" si="48"/>
        <v>5000</v>
      </c>
      <c r="L1766" s="4">
        <f t="shared" si="49"/>
        <v>1250</v>
      </c>
      <c r="M1766" s="3">
        <v>0.25</v>
      </c>
    </row>
    <row r="1767" spans="2:13" x14ac:dyDescent="0.3">
      <c r="B1767" t="s">
        <v>65</v>
      </c>
      <c r="C1767" s="1" t="s">
        <v>63</v>
      </c>
      <c r="D1767" s="2">
        <v>44591</v>
      </c>
      <c r="E1767" s="8" t="s">
        <v>24</v>
      </c>
      <c r="F1767" s="8" t="s">
        <v>69</v>
      </c>
      <c r="G1767" s="8" t="s">
        <v>30</v>
      </c>
      <c r="H1767" t="s">
        <v>17</v>
      </c>
      <c r="I1767" s="4">
        <v>5130</v>
      </c>
      <c r="J1767" s="8">
        <v>7</v>
      </c>
      <c r="K1767" s="4">
        <f t="shared" si="48"/>
        <v>35910</v>
      </c>
      <c r="L1767" s="4">
        <f t="shared" si="49"/>
        <v>14364</v>
      </c>
      <c r="M1767" s="3">
        <v>0.4</v>
      </c>
    </row>
    <row r="1768" spans="2:13" x14ac:dyDescent="0.3">
      <c r="B1768" t="s">
        <v>60</v>
      </c>
      <c r="C1768" s="1" t="s">
        <v>63</v>
      </c>
      <c r="D1768" s="2">
        <v>44598</v>
      </c>
      <c r="E1768" s="8" t="s">
        <v>24</v>
      </c>
      <c r="F1768" s="8" t="s">
        <v>69</v>
      </c>
      <c r="G1768" s="8" t="s">
        <v>30</v>
      </c>
      <c r="H1768" t="s">
        <v>8</v>
      </c>
      <c r="I1768" s="4">
        <v>1200</v>
      </c>
      <c r="J1768" s="8">
        <v>11</v>
      </c>
      <c r="K1768" s="4">
        <f t="shared" si="48"/>
        <v>13200</v>
      </c>
      <c r="L1768" s="4">
        <f t="shared" si="49"/>
        <v>3960</v>
      </c>
      <c r="M1768" s="3">
        <v>0.3</v>
      </c>
    </row>
    <row r="1769" spans="2:13" x14ac:dyDescent="0.3">
      <c r="B1769" t="s">
        <v>60</v>
      </c>
      <c r="C1769" s="1" t="s">
        <v>63</v>
      </c>
      <c r="D1769" s="2">
        <v>44605</v>
      </c>
      <c r="E1769" s="8" t="s">
        <v>24</v>
      </c>
      <c r="F1769" s="8" t="s">
        <v>69</v>
      </c>
      <c r="G1769" s="8" t="s">
        <v>30</v>
      </c>
      <c r="H1769" t="s">
        <v>19</v>
      </c>
      <c r="I1769" s="4">
        <v>5340</v>
      </c>
      <c r="J1769" s="8">
        <v>3</v>
      </c>
      <c r="K1769" s="4">
        <f t="shared" si="48"/>
        <v>16020</v>
      </c>
      <c r="L1769" s="4">
        <f t="shared" si="49"/>
        <v>4806</v>
      </c>
      <c r="M1769" s="3">
        <v>0.3</v>
      </c>
    </row>
    <row r="1770" spans="2:13" x14ac:dyDescent="0.3">
      <c r="B1770" t="s">
        <v>62</v>
      </c>
      <c r="C1770" s="1" t="s">
        <v>63</v>
      </c>
      <c r="D1770" s="2">
        <v>44612</v>
      </c>
      <c r="E1770" s="8" t="s">
        <v>24</v>
      </c>
      <c r="F1770" s="8" t="s">
        <v>69</v>
      </c>
      <c r="G1770" s="8" t="s">
        <v>30</v>
      </c>
      <c r="H1770" t="s">
        <v>14</v>
      </c>
      <c r="I1770" s="4">
        <v>4500</v>
      </c>
      <c r="J1770" s="8">
        <v>2</v>
      </c>
      <c r="K1770" s="4">
        <f t="shared" si="48"/>
        <v>9000</v>
      </c>
      <c r="L1770" s="4">
        <f t="shared" si="49"/>
        <v>2250</v>
      </c>
      <c r="M1770" s="3">
        <v>0.25</v>
      </c>
    </row>
    <row r="1771" spans="2:13" x14ac:dyDescent="0.3">
      <c r="B1771" t="s">
        <v>61</v>
      </c>
      <c r="C1771" s="1" t="s">
        <v>63</v>
      </c>
      <c r="D1771" s="2">
        <v>44619</v>
      </c>
      <c r="E1771" s="8" t="s">
        <v>24</v>
      </c>
      <c r="F1771" s="8" t="s">
        <v>69</v>
      </c>
      <c r="G1771" s="8" t="s">
        <v>30</v>
      </c>
      <c r="H1771" t="s">
        <v>20</v>
      </c>
      <c r="I1771" s="4">
        <v>8902</v>
      </c>
      <c r="J1771" s="8">
        <v>1</v>
      </c>
      <c r="K1771" s="4">
        <f t="shared" si="48"/>
        <v>8902</v>
      </c>
      <c r="L1771" s="4">
        <f t="shared" si="49"/>
        <v>3115.7</v>
      </c>
      <c r="M1771" s="3">
        <v>0.35</v>
      </c>
    </row>
    <row r="1772" spans="2:13" x14ac:dyDescent="0.3">
      <c r="B1772" t="s">
        <v>65</v>
      </c>
      <c r="C1772" s="1" t="s">
        <v>64</v>
      </c>
      <c r="D1772" s="2">
        <v>44626</v>
      </c>
      <c r="E1772" s="8" t="s">
        <v>24</v>
      </c>
      <c r="F1772" s="8" t="s">
        <v>69</v>
      </c>
      <c r="G1772" s="8" t="s">
        <v>30</v>
      </c>
      <c r="H1772" t="s">
        <v>18</v>
      </c>
      <c r="I1772" s="4">
        <v>4600</v>
      </c>
      <c r="J1772" s="8">
        <v>4</v>
      </c>
      <c r="K1772" s="4">
        <f t="shared" si="48"/>
        <v>18400</v>
      </c>
      <c r="L1772" s="4">
        <f t="shared" si="49"/>
        <v>4600</v>
      </c>
      <c r="M1772" s="3">
        <v>0.25</v>
      </c>
    </row>
    <row r="1773" spans="2:13" x14ac:dyDescent="0.3">
      <c r="B1773" t="s">
        <v>65</v>
      </c>
      <c r="C1773" s="1" t="s">
        <v>64</v>
      </c>
      <c r="D1773" s="2">
        <v>44633</v>
      </c>
      <c r="E1773" s="8" t="s">
        <v>24</v>
      </c>
      <c r="F1773" s="8" t="s">
        <v>69</v>
      </c>
      <c r="G1773" s="8" t="s">
        <v>30</v>
      </c>
      <c r="H1773" t="s">
        <v>19</v>
      </c>
      <c r="I1773" s="4">
        <v>5340</v>
      </c>
      <c r="J1773" s="8">
        <v>9</v>
      </c>
      <c r="K1773" s="4">
        <f t="shared" si="48"/>
        <v>48060</v>
      </c>
      <c r="L1773" s="4">
        <f t="shared" si="49"/>
        <v>14418</v>
      </c>
      <c r="M1773" s="3">
        <v>0.3</v>
      </c>
    </row>
    <row r="1774" spans="2:13" x14ac:dyDescent="0.3">
      <c r="B1774" t="s">
        <v>66</v>
      </c>
      <c r="C1774" s="1" t="s">
        <v>64</v>
      </c>
      <c r="D1774" s="2">
        <v>44640</v>
      </c>
      <c r="E1774" s="8" t="s">
        <v>24</v>
      </c>
      <c r="F1774" s="8" t="s">
        <v>69</v>
      </c>
      <c r="G1774" s="8" t="s">
        <v>30</v>
      </c>
      <c r="H1774" t="s">
        <v>15</v>
      </c>
      <c r="I1774" s="4">
        <v>5300</v>
      </c>
      <c r="J1774" s="8">
        <v>7</v>
      </c>
      <c r="K1774" s="4">
        <f t="shared" si="48"/>
        <v>37100</v>
      </c>
      <c r="L1774" s="4">
        <f t="shared" si="49"/>
        <v>11130</v>
      </c>
      <c r="M1774" s="3">
        <v>0.3</v>
      </c>
    </row>
    <row r="1775" spans="2:13" x14ac:dyDescent="0.3">
      <c r="B1775" t="s">
        <v>61</v>
      </c>
      <c r="C1775" s="1" t="s">
        <v>63</v>
      </c>
      <c r="D1775" s="2">
        <v>44647</v>
      </c>
      <c r="E1775" s="8" t="s">
        <v>24</v>
      </c>
      <c r="F1775" s="8" t="s">
        <v>69</v>
      </c>
      <c r="G1775" s="8" t="s">
        <v>30</v>
      </c>
      <c r="H1775" t="s">
        <v>17</v>
      </c>
      <c r="I1775" s="4">
        <v>5130</v>
      </c>
      <c r="J1775" s="8">
        <v>9</v>
      </c>
      <c r="K1775" s="4">
        <f t="shared" si="48"/>
        <v>46170</v>
      </c>
      <c r="L1775" s="4">
        <f t="shared" si="49"/>
        <v>18468</v>
      </c>
      <c r="M1775" s="3">
        <v>0.4</v>
      </c>
    </row>
    <row r="1776" spans="2:13" x14ac:dyDescent="0.3">
      <c r="B1776" t="s">
        <v>62</v>
      </c>
      <c r="C1776" s="1" t="s">
        <v>63</v>
      </c>
      <c r="D1776" s="2">
        <v>44654</v>
      </c>
      <c r="E1776" s="8" t="s">
        <v>24</v>
      </c>
      <c r="F1776" s="8" t="s">
        <v>69</v>
      </c>
      <c r="G1776" s="8" t="s">
        <v>30</v>
      </c>
      <c r="H1776" t="s">
        <v>12</v>
      </c>
      <c r="I1776" s="4">
        <v>500</v>
      </c>
      <c r="J1776" s="8">
        <v>12</v>
      </c>
      <c r="K1776" s="4">
        <f t="shared" si="48"/>
        <v>6000</v>
      </c>
      <c r="L1776" s="4">
        <f t="shared" si="49"/>
        <v>1500</v>
      </c>
      <c r="M1776" s="3">
        <v>0.25</v>
      </c>
    </row>
    <row r="1777" spans="2:13" x14ac:dyDescent="0.3">
      <c r="B1777" t="s">
        <v>62</v>
      </c>
      <c r="C1777" s="1" t="s">
        <v>64</v>
      </c>
      <c r="D1777" s="2">
        <v>44661</v>
      </c>
      <c r="E1777" s="8" t="s">
        <v>24</v>
      </c>
      <c r="F1777" s="8" t="s">
        <v>69</v>
      </c>
      <c r="G1777" s="8" t="s">
        <v>30</v>
      </c>
      <c r="H1777" t="s">
        <v>20</v>
      </c>
      <c r="I1777" s="4">
        <v>8902</v>
      </c>
      <c r="J1777" s="8">
        <v>9</v>
      </c>
      <c r="K1777" s="4">
        <f t="shared" si="48"/>
        <v>80118</v>
      </c>
      <c r="L1777" s="4">
        <f t="shared" si="49"/>
        <v>28041.3</v>
      </c>
      <c r="M1777" s="3">
        <v>0.35</v>
      </c>
    </row>
    <row r="1778" spans="2:13" x14ac:dyDescent="0.3">
      <c r="B1778" t="s">
        <v>61</v>
      </c>
      <c r="C1778" s="1" t="s">
        <v>64</v>
      </c>
      <c r="D1778" s="2">
        <v>44668</v>
      </c>
      <c r="E1778" s="8" t="s">
        <v>24</v>
      </c>
      <c r="F1778" s="8" t="s">
        <v>69</v>
      </c>
      <c r="G1778" s="8" t="s">
        <v>30</v>
      </c>
      <c r="H1778" t="s">
        <v>11</v>
      </c>
      <c r="I1778" s="4">
        <v>300</v>
      </c>
      <c r="J1778" s="8">
        <v>3</v>
      </c>
      <c r="K1778" s="4">
        <f t="shared" si="48"/>
        <v>900</v>
      </c>
      <c r="L1778" s="4">
        <f t="shared" si="49"/>
        <v>135</v>
      </c>
      <c r="M1778" s="3">
        <v>0.15</v>
      </c>
    </row>
    <row r="1779" spans="2:13" x14ac:dyDescent="0.3">
      <c r="B1779" t="s">
        <v>65</v>
      </c>
      <c r="C1779" s="1" t="s">
        <v>63</v>
      </c>
      <c r="D1779" s="2">
        <v>44675</v>
      </c>
      <c r="E1779" s="8" t="s">
        <v>24</v>
      </c>
      <c r="F1779" s="8" t="s">
        <v>69</v>
      </c>
      <c r="G1779" s="8" t="s">
        <v>30</v>
      </c>
      <c r="H1779" t="s">
        <v>17</v>
      </c>
      <c r="I1779" s="4">
        <v>5130</v>
      </c>
      <c r="J1779" s="8">
        <v>2</v>
      </c>
      <c r="K1779" s="4">
        <f t="shared" si="48"/>
        <v>10260</v>
      </c>
      <c r="L1779" s="4">
        <f t="shared" si="49"/>
        <v>4104</v>
      </c>
      <c r="M1779" s="3">
        <v>0.4</v>
      </c>
    </row>
    <row r="1780" spans="2:13" x14ac:dyDescent="0.3">
      <c r="B1780" t="s">
        <v>60</v>
      </c>
      <c r="C1780" s="1" t="s">
        <v>63</v>
      </c>
      <c r="D1780" s="2">
        <v>44682</v>
      </c>
      <c r="E1780" s="8" t="s">
        <v>24</v>
      </c>
      <c r="F1780" s="8" t="s">
        <v>69</v>
      </c>
      <c r="G1780" s="8" t="s">
        <v>30</v>
      </c>
      <c r="H1780" t="s">
        <v>17</v>
      </c>
      <c r="I1780" s="4">
        <v>5130</v>
      </c>
      <c r="J1780" s="8">
        <v>4</v>
      </c>
      <c r="K1780" s="4">
        <f t="shared" si="48"/>
        <v>20520</v>
      </c>
      <c r="L1780" s="4">
        <f t="shared" si="49"/>
        <v>8208</v>
      </c>
      <c r="M1780" s="3">
        <v>0.4</v>
      </c>
    </row>
    <row r="1781" spans="2:13" x14ac:dyDescent="0.3">
      <c r="B1781" t="s">
        <v>66</v>
      </c>
      <c r="C1781" s="1" t="s">
        <v>63</v>
      </c>
      <c r="D1781" s="2">
        <v>44689</v>
      </c>
      <c r="E1781" s="8" t="s">
        <v>24</v>
      </c>
      <c r="F1781" s="8" t="s">
        <v>69</v>
      </c>
      <c r="G1781" s="8" t="s">
        <v>30</v>
      </c>
      <c r="H1781" t="s">
        <v>8</v>
      </c>
      <c r="I1781" s="4">
        <v>1200</v>
      </c>
      <c r="J1781" s="8">
        <v>12</v>
      </c>
      <c r="K1781" s="4">
        <f t="shared" si="48"/>
        <v>14400</v>
      </c>
      <c r="L1781" s="4">
        <f t="shared" si="49"/>
        <v>4320</v>
      </c>
      <c r="M1781" s="3">
        <v>0.3</v>
      </c>
    </row>
    <row r="1782" spans="2:13" x14ac:dyDescent="0.3">
      <c r="B1782" t="s">
        <v>62</v>
      </c>
      <c r="C1782" s="1" t="s">
        <v>64</v>
      </c>
      <c r="D1782" s="2">
        <v>44696</v>
      </c>
      <c r="E1782" s="8" t="s">
        <v>24</v>
      </c>
      <c r="F1782" s="8" t="s">
        <v>69</v>
      </c>
      <c r="G1782" s="8" t="s">
        <v>30</v>
      </c>
      <c r="H1782" t="s">
        <v>14</v>
      </c>
      <c r="I1782" s="4">
        <v>4500</v>
      </c>
      <c r="J1782" s="8">
        <v>11</v>
      </c>
      <c r="K1782" s="4">
        <f t="shared" si="48"/>
        <v>49500</v>
      </c>
      <c r="L1782" s="4">
        <f t="shared" si="49"/>
        <v>12375</v>
      </c>
      <c r="M1782" s="3">
        <v>0.25</v>
      </c>
    </row>
    <row r="1783" spans="2:13" x14ac:dyDescent="0.3">
      <c r="B1783" t="s">
        <v>65</v>
      </c>
      <c r="C1783" s="1" t="s">
        <v>63</v>
      </c>
      <c r="D1783" s="2">
        <v>44703</v>
      </c>
      <c r="E1783" s="8" t="s">
        <v>24</v>
      </c>
      <c r="F1783" s="8" t="s">
        <v>69</v>
      </c>
      <c r="G1783" s="8" t="s">
        <v>30</v>
      </c>
      <c r="H1783" t="s">
        <v>9</v>
      </c>
      <c r="I1783" s="4">
        <v>1500</v>
      </c>
      <c r="J1783" s="8">
        <v>8</v>
      </c>
      <c r="K1783" s="4">
        <f t="shared" si="48"/>
        <v>12000</v>
      </c>
      <c r="L1783" s="4">
        <f t="shared" si="49"/>
        <v>4800</v>
      </c>
      <c r="M1783" s="3">
        <v>0.4</v>
      </c>
    </row>
    <row r="1784" spans="2:13" x14ac:dyDescent="0.3">
      <c r="B1784" t="s">
        <v>60</v>
      </c>
      <c r="C1784" s="1" t="s">
        <v>64</v>
      </c>
      <c r="D1784" s="2">
        <v>44710</v>
      </c>
      <c r="E1784" s="8" t="s">
        <v>24</v>
      </c>
      <c r="F1784" s="8" t="s">
        <v>69</v>
      </c>
      <c r="G1784" s="8" t="s">
        <v>30</v>
      </c>
      <c r="H1784" t="s">
        <v>8</v>
      </c>
      <c r="I1784" s="4">
        <v>1200</v>
      </c>
      <c r="J1784" s="8">
        <v>8</v>
      </c>
      <c r="K1784" s="4">
        <f t="shared" si="48"/>
        <v>9600</v>
      </c>
      <c r="L1784" s="4">
        <f t="shared" si="49"/>
        <v>2880</v>
      </c>
      <c r="M1784" s="3">
        <v>0.3</v>
      </c>
    </row>
    <row r="1785" spans="2:13" x14ac:dyDescent="0.3">
      <c r="B1785" t="s">
        <v>60</v>
      </c>
      <c r="C1785" s="1" t="s">
        <v>63</v>
      </c>
      <c r="D1785" s="2">
        <v>44717</v>
      </c>
      <c r="E1785" s="8" t="s">
        <v>24</v>
      </c>
      <c r="F1785" s="8" t="s">
        <v>69</v>
      </c>
      <c r="G1785" s="8" t="s">
        <v>30</v>
      </c>
      <c r="H1785" t="s">
        <v>15</v>
      </c>
      <c r="I1785" s="4">
        <v>5300</v>
      </c>
      <c r="J1785" s="8">
        <v>2</v>
      </c>
      <c r="K1785" s="4">
        <f t="shared" si="48"/>
        <v>10600</v>
      </c>
      <c r="L1785" s="4">
        <f t="shared" si="49"/>
        <v>3180</v>
      </c>
      <c r="M1785" s="3">
        <v>0.3</v>
      </c>
    </row>
    <row r="1786" spans="2:13" x14ac:dyDescent="0.3">
      <c r="B1786" t="s">
        <v>66</v>
      </c>
      <c r="C1786" s="1" t="s">
        <v>64</v>
      </c>
      <c r="D1786" s="2">
        <v>44724</v>
      </c>
      <c r="E1786" s="8" t="s">
        <v>24</v>
      </c>
      <c r="F1786" s="8" t="s">
        <v>69</v>
      </c>
      <c r="G1786" s="8" t="s">
        <v>30</v>
      </c>
      <c r="H1786" t="s">
        <v>17</v>
      </c>
      <c r="I1786" s="4">
        <v>5130</v>
      </c>
      <c r="J1786" s="8">
        <v>10</v>
      </c>
      <c r="K1786" s="4">
        <f t="shared" si="48"/>
        <v>51300</v>
      </c>
      <c r="L1786" s="4">
        <f t="shared" si="49"/>
        <v>20520</v>
      </c>
      <c r="M1786" s="3">
        <v>0.4</v>
      </c>
    </row>
    <row r="1787" spans="2:13" x14ac:dyDescent="0.3">
      <c r="B1787" t="s">
        <v>66</v>
      </c>
      <c r="C1787" s="1" t="s">
        <v>63</v>
      </c>
      <c r="D1787" s="2">
        <v>44731</v>
      </c>
      <c r="E1787" s="8" t="s">
        <v>24</v>
      </c>
      <c r="F1787" s="8" t="s">
        <v>69</v>
      </c>
      <c r="G1787" s="8" t="s">
        <v>30</v>
      </c>
      <c r="H1787" t="s">
        <v>9</v>
      </c>
      <c r="I1787" s="4">
        <v>1500</v>
      </c>
      <c r="J1787" s="8">
        <v>12</v>
      </c>
      <c r="K1787" s="4">
        <f t="shared" si="48"/>
        <v>18000</v>
      </c>
      <c r="L1787" s="4">
        <f t="shared" si="49"/>
        <v>7200</v>
      </c>
      <c r="M1787" s="3">
        <v>0.4</v>
      </c>
    </row>
    <row r="1788" spans="2:13" x14ac:dyDescent="0.3">
      <c r="B1788" t="s">
        <v>66</v>
      </c>
      <c r="C1788" s="1" t="s">
        <v>63</v>
      </c>
      <c r="D1788" s="2">
        <v>44738</v>
      </c>
      <c r="E1788" s="8" t="s">
        <v>24</v>
      </c>
      <c r="F1788" s="8" t="s">
        <v>69</v>
      </c>
      <c r="G1788" s="8" t="s">
        <v>30</v>
      </c>
      <c r="H1788" t="s">
        <v>20</v>
      </c>
      <c r="I1788" s="4">
        <v>8902</v>
      </c>
      <c r="J1788" s="8">
        <v>1</v>
      </c>
      <c r="K1788" s="4">
        <f t="shared" si="48"/>
        <v>8902</v>
      </c>
      <c r="L1788" s="4">
        <f t="shared" si="49"/>
        <v>3115.7</v>
      </c>
      <c r="M1788" s="3">
        <v>0.35</v>
      </c>
    </row>
    <row r="1789" spans="2:13" x14ac:dyDescent="0.3">
      <c r="B1789" t="s">
        <v>66</v>
      </c>
      <c r="C1789" s="1" t="s">
        <v>63</v>
      </c>
      <c r="D1789" s="2">
        <v>44745</v>
      </c>
      <c r="E1789" s="8" t="s">
        <v>24</v>
      </c>
      <c r="F1789" s="8" t="s">
        <v>69</v>
      </c>
      <c r="G1789" s="8" t="s">
        <v>30</v>
      </c>
      <c r="H1789" t="s">
        <v>8</v>
      </c>
      <c r="I1789" s="4">
        <v>1200</v>
      </c>
      <c r="J1789" s="8">
        <v>4</v>
      </c>
      <c r="K1789" s="4">
        <f t="shared" si="48"/>
        <v>4800</v>
      </c>
      <c r="L1789" s="4">
        <f t="shared" si="49"/>
        <v>1440</v>
      </c>
      <c r="M1789" s="3">
        <v>0.3</v>
      </c>
    </row>
    <row r="1790" spans="2:13" x14ac:dyDescent="0.3">
      <c r="B1790" t="s">
        <v>60</v>
      </c>
      <c r="C1790" s="1" t="s">
        <v>63</v>
      </c>
      <c r="D1790" s="2">
        <v>44752</v>
      </c>
      <c r="E1790" s="8" t="s">
        <v>24</v>
      </c>
      <c r="F1790" s="8" t="s">
        <v>69</v>
      </c>
      <c r="G1790" s="8" t="s">
        <v>30</v>
      </c>
      <c r="H1790" t="s">
        <v>15</v>
      </c>
      <c r="I1790" s="4">
        <v>5300</v>
      </c>
      <c r="J1790" s="8">
        <v>10</v>
      </c>
      <c r="K1790" s="4">
        <f t="shared" si="48"/>
        <v>53000</v>
      </c>
      <c r="L1790" s="4">
        <f t="shared" si="49"/>
        <v>15900</v>
      </c>
      <c r="M1790" s="3">
        <v>0.3</v>
      </c>
    </row>
    <row r="1791" spans="2:13" x14ac:dyDescent="0.3">
      <c r="B1791" t="s">
        <v>66</v>
      </c>
      <c r="C1791" s="1" t="s">
        <v>63</v>
      </c>
      <c r="D1791" s="2">
        <v>44759</v>
      </c>
      <c r="E1791" s="8" t="s">
        <v>24</v>
      </c>
      <c r="F1791" s="8" t="s">
        <v>69</v>
      </c>
      <c r="G1791" s="8" t="s">
        <v>30</v>
      </c>
      <c r="H1791" t="s">
        <v>8</v>
      </c>
      <c r="I1791" s="4">
        <v>1200</v>
      </c>
      <c r="J1791" s="8">
        <v>9</v>
      </c>
      <c r="K1791" s="4">
        <f t="shared" si="48"/>
        <v>10800</v>
      </c>
      <c r="L1791" s="4">
        <f t="shared" si="49"/>
        <v>3240</v>
      </c>
      <c r="M1791" s="3">
        <v>0.3</v>
      </c>
    </row>
    <row r="1792" spans="2:13" x14ac:dyDescent="0.3">
      <c r="B1792" t="s">
        <v>60</v>
      </c>
      <c r="C1792" s="1" t="s">
        <v>64</v>
      </c>
      <c r="D1792" s="2">
        <v>44766</v>
      </c>
      <c r="E1792" s="8" t="s">
        <v>24</v>
      </c>
      <c r="F1792" s="8" t="s">
        <v>69</v>
      </c>
      <c r="G1792" s="8" t="s">
        <v>30</v>
      </c>
      <c r="H1792" t="s">
        <v>8</v>
      </c>
      <c r="I1792" s="4">
        <v>1200</v>
      </c>
      <c r="J1792" s="8">
        <v>11</v>
      </c>
      <c r="K1792" s="4">
        <f t="shared" si="48"/>
        <v>13200</v>
      </c>
      <c r="L1792" s="4">
        <f t="shared" si="49"/>
        <v>3960</v>
      </c>
      <c r="M1792" s="3">
        <v>0.3</v>
      </c>
    </row>
    <row r="1793" spans="2:13" x14ac:dyDescent="0.3">
      <c r="B1793" t="s">
        <v>60</v>
      </c>
      <c r="C1793" s="1" t="s">
        <v>63</v>
      </c>
      <c r="D1793" s="2">
        <v>44766</v>
      </c>
      <c r="E1793" s="8" t="s">
        <v>24</v>
      </c>
      <c r="F1793" s="8" t="s">
        <v>69</v>
      </c>
      <c r="G1793" s="8" t="s">
        <v>30</v>
      </c>
      <c r="H1793" t="s">
        <v>16</v>
      </c>
      <c r="I1793" s="4">
        <v>3400</v>
      </c>
      <c r="J1793" s="8">
        <v>5</v>
      </c>
      <c r="K1793" s="4">
        <f t="shared" si="48"/>
        <v>17000</v>
      </c>
      <c r="L1793" s="4">
        <f t="shared" si="49"/>
        <v>5950</v>
      </c>
      <c r="M1793" s="3">
        <v>0.35</v>
      </c>
    </row>
    <row r="1794" spans="2:13" x14ac:dyDescent="0.3">
      <c r="B1794" t="s">
        <v>60</v>
      </c>
      <c r="C1794" s="1" t="s">
        <v>63</v>
      </c>
      <c r="D1794" s="2">
        <v>44773</v>
      </c>
      <c r="E1794" s="8" t="s">
        <v>24</v>
      </c>
      <c r="F1794" s="8" t="s">
        <v>69</v>
      </c>
      <c r="G1794" s="8" t="s">
        <v>30</v>
      </c>
      <c r="H1794" t="s">
        <v>16</v>
      </c>
      <c r="I1794" s="4">
        <v>3400</v>
      </c>
      <c r="J1794" s="8">
        <v>4</v>
      </c>
      <c r="K1794" s="4">
        <f t="shared" si="48"/>
        <v>13600</v>
      </c>
      <c r="L1794" s="4">
        <f t="shared" si="49"/>
        <v>4760</v>
      </c>
      <c r="M1794" s="3">
        <v>0.35</v>
      </c>
    </row>
    <row r="1795" spans="2:13" x14ac:dyDescent="0.3">
      <c r="B1795" t="s">
        <v>61</v>
      </c>
      <c r="C1795" s="1" t="s">
        <v>63</v>
      </c>
      <c r="D1795" s="2">
        <v>44780</v>
      </c>
      <c r="E1795" s="8" t="s">
        <v>24</v>
      </c>
      <c r="F1795" s="8" t="s">
        <v>69</v>
      </c>
      <c r="G1795" s="8" t="s">
        <v>30</v>
      </c>
      <c r="H1795" t="s">
        <v>11</v>
      </c>
      <c r="I1795" s="4">
        <v>300</v>
      </c>
      <c r="J1795" s="8">
        <v>9</v>
      </c>
      <c r="K1795" s="4">
        <f t="shared" si="48"/>
        <v>2700</v>
      </c>
      <c r="L1795" s="4">
        <f t="shared" si="49"/>
        <v>405</v>
      </c>
      <c r="M1795" s="3">
        <v>0.15</v>
      </c>
    </row>
    <row r="1796" spans="2:13" x14ac:dyDescent="0.3">
      <c r="B1796" t="s">
        <v>65</v>
      </c>
      <c r="C1796" s="1" t="s">
        <v>63</v>
      </c>
      <c r="D1796" s="2">
        <v>44787</v>
      </c>
      <c r="E1796" s="8" t="s">
        <v>24</v>
      </c>
      <c r="F1796" s="8" t="s">
        <v>69</v>
      </c>
      <c r="G1796" s="8" t="s">
        <v>30</v>
      </c>
      <c r="H1796" t="s">
        <v>8</v>
      </c>
      <c r="I1796" s="4">
        <v>1200</v>
      </c>
      <c r="J1796" s="8">
        <v>6</v>
      </c>
      <c r="K1796" s="4">
        <f t="shared" ref="K1796:K1827" si="50">I1796*J1796</f>
        <v>7200</v>
      </c>
      <c r="L1796" s="4">
        <f t="shared" ref="L1796:L1827" si="51">K1796*M1796</f>
        <v>2160</v>
      </c>
      <c r="M1796" s="3">
        <v>0.3</v>
      </c>
    </row>
    <row r="1797" spans="2:13" x14ac:dyDescent="0.3">
      <c r="B1797" t="s">
        <v>65</v>
      </c>
      <c r="C1797" s="1" t="s">
        <v>64</v>
      </c>
      <c r="D1797" s="2">
        <v>44794</v>
      </c>
      <c r="E1797" s="8" t="s">
        <v>24</v>
      </c>
      <c r="F1797" s="8" t="s">
        <v>69</v>
      </c>
      <c r="G1797" s="8" t="s">
        <v>30</v>
      </c>
      <c r="H1797" t="s">
        <v>14</v>
      </c>
      <c r="I1797" s="4">
        <v>4500</v>
      </c>
      <c r="J1797" s="8">
        <v>6</v>
      </c>
      <c r="K1797" s="4">
        <f t="shared" si="50"/>
        <v>27000</v>
      </c>
      <c r="L1797" s="4">
        <f t="shared" si="51"/>
        <v>6750</v>
      </c>
      <c r="M1797" s="3">
        <v>0.25</v>
      </c>
    </row>
    <row r="1798" spans="2:13" x14ac:dyDescent="0.3">
      <c r="B1798" t="s">
        <v>60</v>
      </c>
      <c r="C1798" s="1" t="s">
        <v>64</v>
      </c>
      <c r="D1798" s="2">
        <v>44801</v>
      </c>
      <c r="E1798" s="8" t="s">
        <v>24</v>
      </c>
      <c r="F1798" s="8" t="s">
        <v>69</v>
      </c>
      <c r="G1798" s="8" t="s">
        <v>30</v>
      </c>
      <c r="H1798" t="s">
        <v>12</v>
      </c>
      <c r="I1798" s="4">
        <v>500</v>
      </c>
      <c r="J1798" s="8">
        <v>10</v>
      </c>
      <c r="K1798" s="4">
        <f t="shared" si="50"/>
        <v>5000</v>
      </c>
      <c r="L1798" s="4">
        <f t="shared" si="51"/>
        <v>1250</v>
      </c>
      <c r="M1798" s="3">
        <v>0.25</v>
      </c>
    </row>
    <row r="1799" spans="2:13" x14ac:dyDescent="0.3">
      <c r="B1799" t="s">
        <v>60</v>
      </c>
      <c r="C1799" s="1" t="s">
        <v>63</v>
      </c>
      <c r="D1799" s="2">
        <v>44808</v>
      </c>
      <c r="E1799" s="8" t="s">
        <v>24</v>
      </c>
      <c r="F1799" s="8" t="s">
        <v>69</v>
      </c>
      <c r="G1799" s="8" t="s">
        <v>30</v>
      </c>
      <c r="H1799" t="s">
        <v>20</v>
      </c>
      <c r="I1799" s="4">
        <v>8902</v>
      </c>
      <c r="J1799" s="8">
        <v>9</v>
      </c>
      <c r="K1799" s="4">
        <f t="shared" si="50"/>
        <v>80118</v>
      </c>
      <c r="L1799" s="4">
        <f t="shared" si="51"/>
        <v>28041.3</v>
      </c>
      <c r="M1799" s="3">
        <v>0.35</v>
      </c>
    </row>
    <row r="1800" spans="2:13" x14ac:dyDescent="0.3">
      <c r="B1800" t="s">
        <v>62</v>
      </c>
      <c r="C1800" s="1" t="s">
        <v>63</v>
      </c>
      <c r="D1800" s="2">
        <v>44815</v>
      </c>
      <c r="E1800" s="8" t="s">
        <v>24</v>
      </c>
      <c r="F1800" s="8" t="s">
        <v>69</v>
      </c>
      <c r="G1800" s="8" t="s">
        <v>30</v>
      </c>
      <c r="H1800" t="s">
        <v>10</v>
      </c>
      <c r="I1800" s="4">
        <v>1700</v>
      </c>
      <c r="J1800" s="8">
        <v>4</v>
      </c>
      <c r="K1800" s="4">
        <f t="shared" si="50"/>
        <v>6800</v>
      </c>
      <c r="L1800" s="4">
        <f t="shared" si="51"/>
        <v>3400</v>
      </c>
      <c r="M1800" s="3">
        <v>0.5</v>
      </c>
    </row>
    <row r="1801" spans="2:13" x14ac:dyDescent="0.3">
      <c r="B1801" t="s">
        <v>62</v>
      </c>
      <c r="C1801" s="1" t="s">
        <v>64</v>
      </c>
      <c r="D1801" s="2">
        <v>44822</v>
      </c>
      <c r="E1801" s="8" t="s">
        <v>24</v>
      </c>
      <c r="F1801" s="8" t="s">
        <v>69</v>
      </c>
      <c r="G1801" s="8" t="s">
        <v>30</v>
      </c>
      <c r="H1801" t="s">
        <v>20</v>
      </c>
      <c r="I1801" s="4">
        <v>8902</v>
      </c>
      <c r="J1801" s="8">
        <v>7</v>
      </c>
      <c r="K1801" s="4">
        <f t="shared" si="50"/>
        <v>62314</v>
      </c>
      <c r="L1801" s="4">
        <f t="shared" si="51"/>
        <v>21809.899999999998</v>
      </c>
      <c r="M1801" s="3">
        <v>0.35</v>
      </c>
    </row>
    <row r="1802" spans="2:13" x14ac:dyDescent="0.3">
      <c r="B1802" t="s">
        <v>61</v>
      </c>
      <c r="C1802" s="1" t="s">
        <v>63</v>
      </c>
      <c r="D1802" s="2">
        <v>44829</v>
      </c>
      <c r="E1802" s="8" t="s">
        <v>24</v>
      </c>
      <c r="F1802" s="8" t="s">
        <v>69</v>
      </c>
      <c r="G1802" s="8" t="s">
        <v>30</v>
      </c>
      <c r="H1802" t="s">
        <v>13</v>
      </c>
      <c r="I1802" s="4">
        <v>3200</v>
      </c>
      <c r="J1802" s="8">
        <v>2</v>
      </c>
      <c r="K1802" s="4">
        <f t="shared" si="50"/>
        <v>6400</v>
      </c>
      <c r="L1802" s="4">
        <f t="shared" si="51"/>
        <v>1280</v>
      </c>
      <c r="M1802" s="3">
        <v>0.2</v>
      </c>
    </row>
    <row r="1803" spans="2:13" x14ac:dyDescent="0.3">
      <c r="B1803" t="s">
        <v>62</v>
      </c>
      <c r="C1803" s="1" t="s">
        <v>63</v>
      </c>
      <c r="D1803" s="2">
        <v>44836</v>
      </c>
      <c r="E1803" s="8" t="s">
        <v>24</v>
      </c>
      <c r="F1803" s="8" t="s">
        <v>69</v>
      </c>
      <c r="G1803" s="8" t="s">
        <v>30</v>
      </c>
      <c r="H1803" t="s">
        <v>8</v>
      </c>
      <c r="I1803" s="4">
        <v>1200</v>
      </c>
      <c r="J1803" s="8">
        <v>7</v>
      </c>
      <c r="K1803" s="4">
        <f t="shared" si="50"/>
        <v>8400</v>
      </c>
      <c r="L1803" s="4">
        <f t="shared" si="51"/>
        <v>2520</v>
      </c>
      <c r="M1803" s="3">
        <v>0.3</v>
      </c>
    </row>
    <row r="1804" spans="2:13" x14ac:dyDescent="0.3">
      <c r="B1804" t="s">
        <v>62</v>
      </c>
      <c r="C1804" s="1" t="s">
        <v>63</v>
      </c>
      <c r="D1804" s="2">
        <v>44843</v>
      </c>
      <c r="E1804" s="8" t="s">
        <v>24</v>
      </c>
      <c r="F1804" s="8" t="s">
        <v>69</v>
      </c>
      <c r="G1804" s="8" t="s">
        <v>30</v>
      </c>
      <c r="H1804" t="s">
        <v>16</v>
      </c>
      <c r="I1804" s="4">
        <v>3400</v>
      </c>
      <c r="J1804" s="8">
        <v>9</v>
      </c>
      <c r="K1804" s="4">
        <f t="shared" si="50"/>
        <v>30600</v>
      </c>
      <c r="L1804" s="4">
        <f t="shared" si="51"/>
        <v>10710</v>
      </c>
      <c r="M1804" s="3">
        <v>0.35</v>
      </c>
    </row>
    <row r="1805" spans="2:13" x14ac:dyDescent="0.3">
      <c r="B1805" t="s">
        <v>65</v>
      </c>
      <c r="C1805" s="1" t="s">
        <v>63</v>
      </c>
      <c r="D1805" s="2">
        <v>44850</v>
      </c>
      <c r="E1805" s="8" t="s">
        <v>24</v>
      </c>
      <c r="F1805" s="8" t="s">
        <v>69</v>
      </c>
      <c r="G1805" s="8" t="s">
        <v>30</v>
      </c>
      <c r="H1805" t="s">
        <v>16</v>
      </c>
      <c r="I1805" s="4">
        <v>3400</v>
      </c>
      <c r="J1805" s="8">
        <v>7</v>
      </c>
      <c r="K1805" s="4">
        <f t="shared" si="50"/>
        <v>23800</v>
      </c>
      <c r="L1805" s="4">
        <f t="shared" si="51"/>
        <v>8330</v>
      </c>
      <c r="M1805" s="3">
        <v>0.35</v>
      </c>
    </row>
    <row r="1806" spans="2:13" x14ac:dyDescent="0.3">
      <c r="B1806" t="s">
        <v>65</v>
      </c>
      <c r="C1806" s="1" t="s">
        <v>63</v>
      </c>
      <c r="D1806" s="2">
        <v>44857</v>
      </c>
      <c r="E1806" s="8" t="s">
        <v>24</v>
      </c>
      <c r="F1806" s="8" t="s">
        <v>69</v>
      </c>
      <c r="G1806" s="8" t="s">
        <v>30</v>
      </c>
      <c r="H1806" t="s">
        <v>18</v>
      </c>
      <c r="I1806" s="4">
        <v>4600</v>
      </c>
      <c r="J1806" s="8">
        <v>8</v>
      </c>
      <c r="K1806" s="4">
        <f t="shared" si="50"/>
        <v>36800</v>
      </c>
      <c r="L1806" s="4">
        <f t="shared" si="51"/>
        <v>9200</v>
      </c>
      <c r="M1806" s="3">
        <v>0.25</v>
      </c>
    </row>
    <row r="1807" spans="2:13" x14ac:dyDescent="0.3">
      <c r="B1807" t="s">
        <v>60</v>
      </c>
      <c r="C1807" s="1" t="s">
        <v>64</v>
      </c>
      <c r="D1807" s="2">
        <v>44864</v>
      </c>
      <c r="E1807" s="8" t="s">
        <v>24</v>
      </c>
      <c r="F1807" s="8" t="s">
        <v>69</v>
      </c>
      <c r="G1807" s="8" t="s">
        <v>30</v>
      </c>
      <c r="H1807" t="s">
        <v>14</v>
      </c>
      <c r="I1807" s="4">
        <v>4500</v>
      </c>
      <c r="J1807" s="8">
        <v>12</v>
      </c>
      <c r="K1807" s="4">
        <f t="shared" si="50"/>
        <v>54000</v>
      </c>
      <c r="L1807" s="4">
        <f t="shared" si="51"/>
        <v>13500</v>
      </c>
      <c r="M1807" s="3">
        <v>0.25</v>
      </c>
    </row>
    <row r="1808" spans="2:13" x14ac:dyDescent="0.3">
      <c r="B1808" t="s">
        <v>60</v>
      </c>
      <c r="C1808" s="1" t="s">
        <v>63</v>
      </c>
      <c r="D1808" s="2">
        <v>44871</v>
      </c>
      <c r="E1808" s="8" t="s">
        <v>24</v>
      </c>
      <c r="F1808" s="8" t="s">
        <v>69</v>
      </c>
      <c r="G1808" s="8" t="s">
        <v>30</v>
      </c>
      <c r="H1808" t="s">
        <v>14</v>
      </c>
      <c r="I1808" s="4">
        <v>4500</v>
      </c>
      <c r="J1808" s="8">
        <v>12</v>
      </c>
      <c r="K1808" s="4">
        <f t="shared" si="50"/>
        <v>54000</v>
      </c>
      <c r="L1808" s="4">
        <f t="shared" si="51"/>
        <v>13500</v>
      </c>
      <c r="M1808" s="3">
        <v>0.25</v>
      </c>
    </row>
    <row r="1809" spans="2:13" x14ac:dyDescent="0.3">
      <c r="B1809" t="s">
        <v>65</v>
      </c>
      <c r="C1809" s="1" t="s">
        <v>63</v>
      </c>
      <c r="D1809" s="2">
        <v>44878</v>
      </c>
      <c r="E1809" s="8" t="s">
        <v>24</v>
      </c>
      <c r="F1809" s="8" t="s">
        <v>69</v>
      </c>
      <c r="G1809" s="8" t="s">
        <v>30</v>
      </c>
      <c r="H1809" t="s">
        <v>13</v>
      </c>
      <c r="I1809" s="4">
        <v>3200</v>
      </c>
      <c r="J1809" s="8">
        <v>1</v>
      </c>
      <c r="K1809" s="4">
        <f t="shared" si="50"/>
        <v>3200</v>
      </c>
      <c r="L1809" s="4">
        <f t="shared" si="51"/>
        <v>640</v>
      </c>
      <c r="M1809" s="3">
        <v>0.2</v>
      </c>
    </row>
    <row r="1810" spans="2:13" x14ac:dyDescent="0.3">
      <c r="B1810" t="s">
        <v>65</v>
      </c>
      <c r="C1810" s="1" t="s">
        <v>64</v>
      </c>
      <c r="D1810" s="2">
        <v>44885</v>
      </c>
      <c r="E1810" s="8" t="s">
        <v>24</v>
      </c>
      <c r="F1810" s="8" t="s">
        <v>69</v>
      </c>
      <c r="G1810" s="8" t="s">
        <v>30</v>
      </c>
      <c r="H1810" t="s">
        <v>8</v>
      </c>
      <c r="I1810" s="4">
        <v>1200</v>
      </c>
      <c r="J1810" s="8">
        <v>10</v>
      </c>
      <c r="K1810" s="4">
        <f t="shared" si="50"/>
        <v>12000</v>
      </c>
      <c r="L1810" s="4">
        <f t="shared" si="51"/>
        <v>3600</v>
      </c>
      <c r="M1810" s="3">
        <v>0.3</v>
      </c>
    </row>
    <row r="1811" spans="2:13" x14ac:dyDescent="0.3">
      <c r="B1811" t="s">
        <v>60</v>
      </c>
      <c r="C1811" s="1" t="s">
        <v>63</v>
      </c>
      <c r="D1811" s="2">
        <v>44892</v>
      </c>
      <c r="E1811" s="8" t="s">
        <v>24</v>
      </c>
      <c r="F1811" s="8" t="s">
        <v>69</v>
      </c>
      <c r="G1811" s="8" t="s">
        <v>30</v>
      </c>
      <c r="H1811" t="s">
        <v>10</v>
      </c>
      <c r="I1811" s="4">
        <v>1700</v>
      </c>
      <c r="J1811" s="8">
        <v>1</v>
      </c>
      <c r="K1811" s="4">
        <f t="shared" si="50"/>
        <v>1700</v>
      </c>
      <c r="L1811" s="4">
        <f t="shared" si="51"/>
        <v>850</v>
      </c>
      <c r="M1811" s="3">
        <v>0.5</v>
      </c>
    </row>
    <row r="1812" spans="2:13" x14ac:dyDescent="0.3">
      <c r="B1812" t="s">
        <v>66</v>
      </c>
      <c r="C1812" s="1" t="s">
        <v>63</v>
      </c>
      <c r="D1812" s="2">
        <v>44899</v>
      </c>
      <c r="E1812" s="8" t="s">
        <v>24</v>
      </c>
      <c r="F1812" s="8" t="s">
        <v>69</v>
      </c>
      <c r="G1812" s="8" t="s">
        <v>30</v>
      </c>
      <c r="H1812" t="s">
        <v>17</v>
      </c>
      <c r="I1812" s="4">
        <v>5130</v>
      </c>
      <c r="J1812" s="8">
        <v>10</v>
      </c>
      <c r="K1812" s="4">
        <f t="shared" si="50"/>
        <v>51300</v>
      </c>
      <c r="L1812" s="4">
        <f t="shared" si="51"/>
        <v>20520</v>
      </c>
      <c r="M1812" s="3">
        <v>0.4</v>
      </c>
    </row>
    <row r="1813" spans="2:13" x14ac:dyDescent="0.3">
      <c r="B1813" t="s">
        <v>60</v>
      </c>
      <c r="C1813" s="1" t="s">
        <v>63</v>
      </c>
      <c r="D1813" s="2">
        <v>44906</v>
      </c>
      <c r="E1813" s="8" t="s">
        <v>24</v>
      </c>
      <c r="F1813" s="8" t="s">
        <v>69</v>
      </c>
      <c r="G1813" s="8" t="s">
        <v>30</v>
      </c>
      <c r="H1813" t="s">
        <v>13</v>
      </c>
      <c r="I1813" s="4">
        <v>3200</v>
      </c>
      <c r="J1813" s="8">
        <v>5</v>
      </c>
      <c r="K1813" s="4">
        <f t="shared" si="50"/>
        <v>16000</v>
      </c>
      <c r="L1813" s="4">
        <f t="shared" si="51"/>
        <v>3200</v>
      </c>
      <c r="M1813" s="3">
        <v>0.2</v>
      </c>
    </row>
    <row r="1814" spans="2:13" x14ac:dyDescent="0.3">
      <c r="B1814" t="s">
        <v>65</v>
      </c>
      <c r="C1814" s="1" t="s">
        <v>63</v>
      </c>
      <c r="D1814" s="2">
        <v>44913</v>
      </c>
      <c r="E1814" s="8" t="s">
        <v>24</v>
      </c>
      <c r="F1814" s="8" t="s">
        <v>69</v>
      </c>
      <c r="G1814" s="8" t="s">
        <v>30</v>
      </c>
      <c r="H1814" t="s">
        <v>12</v>
      </c>
      <c r="I1814" s="4">
        <v>500</v>
      </c>
      <c r="J1814" s="8">
        <v>5</v>
      </c>
      <c r="K1814" s="4">
        <f t="shared" si="50"/>
        <v>2500</v>
      </c>
      <c r="L1814" s="4">
        <f t="shared" si="51"/>
        <v>625</v>
      </c>
      <c r="M1814" s="3">
        <v>0.25</v>
      </c>
    </row>
    <row r="1815" spans="2:13" x14ac:dyDescent="0.3">
      <c r="B1815" t="s">
        <v>66</v>
      </c>
      <c r="C1815" s="1" t="s">
        <v>64</v>
      </c>
      <c r="D1815" s="2">
        <v>44920</v>
      </c>
      <c r="E1815" s="8" t="s">
        <v>24</v>
      </c>
      <c r="F1815" s="8" t="s">
        <v>69</v>
      </c>
      <c r="G1815" s="8" t="s">
        <v>30</v>
      </c>
      <c r="H1815" t="s">
        <v>17</v>
      </c>
      <c r="I1815" s="4">
        <v>5130</v>
      </c>
      <c r="J1815" s="8">
        <v>7</v>
      </c>
      <c r="K1815" s="4">
        <f t="shared" si="50"/>
        <v>35910</v>
      </c>
      <c r="L1815" s="4">
        <f t="shared" si="51"/>
        <v>14364</v>
      </c>
      <c r="M1815" s="3">
        <v>0.4</v>
      </c>
    </row>
    <row r="1816" spans="2:13" x14ac:dyDescent="0.3">
      <c r="B1816" t="s">
        <v>60</v>
      </c>
      <c r="C1816" s="1" t="s">
        <v>64</v>
      </c>
      <c r="D1816" s="2">
        <v>44927</v>
      </c>
      <c r="E1816" s="8" t="s">
        <v>24</v>
      </c>
      <c r="F1816" s="8" t="s">
        <v>69</v>
      </c>
      <c r="G1816" s="8" t="s">
        <v>30</v>
      </c>
      <c r="H1816" t="s">
        <v>12</v>
      </c>
      <c r="I1816" s="4">
        <v>500</v>
      </c>
      <c r="J1816" s="8">
        <v>21</v>
      </c>
      <c r="K1816" s="4">
        <f t="shared" si="50"/>
        <v>10500</v>
      </c>
      <c r="L1816" s="4">
        <f t="shared" si="51"/>
        <v>2625</v>
      </c>
      <c r="M1816" s="3">
        <v>0.25</v>
      </c>
    </row>
    <row r="1817" spans="2:13" x14ac:dyDescent="0.3">
      <c r="B1817" t="s">
        <v>62</v>
      </c>
      <c r="C1817" s="1" t="s">
        <v>63</v>
      </c>
      <c r="D1817" s="2">
        <v>44934</v>
      </c>
      <c r="E1817" s="8" t="s">
        <v>24</v>
      </c>
      <c r="F1817" s="8" t="s">
        <v>69</v>
      </c>
      <c r="G1817" s="8" t="s">
        <v>30</v>
      </c>
      <c r="H1817" t="s">
        <v>11</v>
      </c>
      <c r="I1817" s="4">
        <v>300</v>
      </c>
      <c r="J1817" s="8">
        <v>3</v>
      </c>
      <c r="K1817" s="4">
        <f t="shared" si="50"/>
        <v>900</v>
      </c>
      <c r="L1817" s="4">
        <f t="shared" si="51"/>
        <v>135</v>
      </c>
      <c r="M1817" s="3">
        <v>0.15</v>
      </c>
    </row>
    <row r="1818" spans="2:13" x14ac:dyDescent="0.3">
      <c r="B1818" t="s">
        <v>62</v>
      </c>
      <c r="C1818" s="1" t="s">
        <v>63</v>
      </c>
      <c r="D1818" s="2">
        <v>44941</v>
      </c>
      <c r="E1818" s="8" t="s">
        <v>24</v>
      </c>
      <c r="F1818" s="8" t="s">
        <v>69</v>
      </c>
      <c r="G1818" s="8" t="s">
        <v>30</v>
      </c>
      <c r="H1818" t="s">
        <v>8</v>
      </c>
      <c r="I1818" s="4">
        <v>1200</v>
      </c>
      <c r="J1818" s="8">
        <v>12</v>
      </c>
      <c r="K1818" s="4">
        <f t="shared" si="50"/>
        <v>14400</v>
      </c>
      <c r="L1818" s="4">
        <f t="shared" si="51"/>
        <v>4320</v>
      </c>
      <c r="M1818" s="3">
        <v>0.3</v>
      </c>
    </row>
    <row r="1819" spans="2:13" x14ac:dyDescent="0.3">
      <c r="B1819" t="s">
        <v>60</v>
      </c>
      <c r="C1819" s="1" t="s">
        <v>63</v>
      </c>
      <c r="D1819" s="2">
        <v>44948</v>
      </c>
      <c r="E1819" s="8" t="s">
        <v>24</v>
      </c>
      <c r="F1819" s="8" t="s">
        <v>69</v>
      </c>
      <c r="G1819" s="8" t="s">
        <v>30</v>
      </c>
      <c r="H1819" t="s">
        <v>14</v>
      </c>
      <c r="I1819" s="4">
        <v>4500</v>
      </c>
      <c r="J1819" s="8">
        <v>8</v>
      </c>
      <c r="K1819" s="4">
        <f t="shared" si="50"/>
        <v>36000</v>
      </c>
      <c r="L1819" s="4">
        <f t="shared" si="51"/>
        <v>9000</v>
      </c>
      <c r="M1819" s="3">
        <v>0.25</v>
      </c>
    </row>
    <row r="1820" spans="2:13" x14ac:dyDescent="0.3">
      <c r="B1820" t="s">
        <v>65</v>
      </c>
      <c r="C1820" s="1" t="s">
        <v>63</v>
      </c>
      <c r="D1820" s="2">
        <v>44955</v>
      </c>
      <c r="E1820" s="8" t="s">
        <v>24</v>
      </c>
      <c r="F1820" s="8" t="s">
        <v>69</v>
      </c>
      <c r="G1820" s="8" t="s">
        <v>30</v>
      </c>
      <c r="H1820" t="s">
        <v>18</v>
      </c>
      <c r="I1820" s="4">
        <v>4600</v>
      </c>
      <c r="J1820" s="8">
        <v>11</v>
      </c>
      <c r="K1820" s="4">
        <f t="shared" si="50"/>
        <v>50600</v>
      </c>
      <c r="L1820" s="4">
        <f t="shared" si="51"/>
        <v>12650</v>
      </c>
      <c r="M1820" s="3">
        <v>0.25</v>
      </c>
    </row>
    <row r="1821" spans="2:13" x14ac:dyDescent="0.3">
      <c r="B1821" t="s">
        <v>65</v>
      </c>
      <c r="C1821" s="1" t="s">
        <v>63</v>
      </c>
      <c r="D1821" s="2">
        <v>44962</v>
      </c>
      <c r="E1821" s="8" t="s">
        <v>24</v>
      </c>
      <c r="F1821" s="8" t="s">
        <v>69</v>
      </c>
      <c r="G1821" s="8" t="s">
        <v>30</v>
      </c>
      <c r="H1821" t="s">
        <v>10</v>
      </c>
      <c r="I1821" s="4">
        <v>1700</v>
      </c>
      <c r="J1821" s="8">
        <v>12</v>
      </c>
      <c r="K1821" s="4">
        <f t="shared" si="50"/>
        <v>20400</v>
      </c>
      <c r="L1821" s="4">
        <f t="shared" si="51"/>
        <v>10200</v>
      </c>
      <c r="M1821" s="3">
        <v>0.5</v>
      </c>
    </row>
    <row r="1822" spans="2:13" x14ac:dyDescent="0.3">
      <c r="B1822" t="s">
        <v>66</v>
      </c>
      <c r="C1822" s="1" t="s">
        <v>64</v>
      </c>
      <c r="D1822" s="2">
        <v>44969</v>
      </c>
      <c r="E1822" s="8" t="s">
        <v>24</v>
      </c>
      <c r="F1822" s="8" t="s">
        <v>69</v>
      </c>
      <c r="G1822" s="8" t="s">
        <v>30</v>
      </c>
      <c r="H1822" t="s">
        <v>13</v>
      </c>
      <c r="I1822" s="4">
        <v>3200</v>
      </c>
      <c r="J1822" s="8">
        <v>9</v>
      </c>
      <c r="K1822" s="4">
        <f t="shared" si="50"/>
        <v>28800</v>
      </c>
      <c r="L1822" s="4">
        <f t="shared" si="51"/>
        <v>5760</v>
      </c>
      <c r="M1822" s="3">
        <v>0.2</v>
      </c>
    </row>
    <row r="1823" spans="2:13" x14ac:dyDescent="0.3">
      <c r="B1823" t="s">
        <v>65</v>
      </c>
      <c r="C1823" s="1" t="s">
        <v>63</v>
      </c>
      <c r="D1823" s="2">
        <v>44976</v>
      </c>
      <c r="E1823" s="8" t="s">
        <v>24</v>
      </c>
      <c r="F1823" s="8" t="s">
        <v>69</v>
      </c>
      <c r="G1823" s="8" t="s">
        <v>30</v>
      </c>
      <c r="H1823" t="s">
        <v>20</v>
      </c>
      <c r="I1823" s="4">
        <v>8902</v>
      </c>
      <c r="J1823" s="8">
        <v>9</v>
      </c>
      <c r="K1823" s="4">
        <f t="shared" si="50"/>
        <v>80118</v>
      </c>
      <c r="L1823" s="4">
        <f t="shared" si="51"/>
        <v>28041.3</v>
      </c>
      <c r="M1823" s="3">
        <v>0.35</v>
      </c>
    </row>
    <row r="1824" spans="2:13" x14ac:dyDescent="0.3">
      <c r="B1824" t="s">
        <v>66</v>
      </c>
      <c r="C1824" s="1" t="s">
        <v>63</v>
      </c>
      <c r="D1824" s="2">
        <v>44983</v>
      </c>
      <c r="E1824" s="8" t="s">
        <v>24</v>
      </c>
      <c r="F1824" s="8" t="s">
        <v>69</v>
      </c>
      <c r="G1824" s="8" t="s">
        <v>30</v>
      </c>
      <c r="H1824" t="s">
        <v>14</v>
      </c>
      <c r="I1824" s="4">
        <v>4500</v>
      </c>
      <c r="J1824" s="8">
        <v>3</v>
      </c>
      <c r="K1824" s="4">
        <f t="shared" si="50"/>
        <v>13500</v>
      </c>
      <c r="L1824" s="4">
        <f t="shared" si="51"/>
        <v>3375</v>
      </c>
      <c r="M1824" s="3">
        <v>0.25</v>
      </c>
    </row>
    <row r="1825" spans="2:13" x14ac:dyDescent="0.3">
      <c r="B1825" t="s">
        <v>60</v>
      </c>
      <c r="C1825" s="1" t="s">
        <v>64</v>
      </c>
      <c r="D1825" s="2">
        <v>44990</v>
      </c>
      <c r="E1825" s="8" t="s">
        <v>24</v>
      </c>
      <c r="F1825" s="8" t="s">
        <v>69</v>
      </c>
      <c r="G1825" s="8" t="s">
        <v>30</v>
      </c>
      <c r="H1825" t="s">
        <v>19</v>
      </c>
      <c r="I1825" s="4">
        <v>5340</v>
      </c>
      <c r="J1825" s="8">
        <v>1</v>
      </c>
      <c r="K1825" s="4">
        <f t="shared" si="50"/>
        <v>5340</v>
      </c>
      <c r="L1825" s="4">
        <f t="shared" si="51"/>
        <v>1602</v>
      </c>
      <c r="M1825" s="3">
        <v>0.3</v>
      </c>
    </row>
    <row r="1826" spans="2:13" x14ac:dyDescent="0.3">
      <c r="B1826" t="s">
        <v>65</v>
      </c>
      <c r="C1826" s="1" t="s">
        <v>63</v>
      </c>
      <c r="D1826" s="2">
        <v>44997</v>
      </c>
      <c r="E1826" s="8" t="s">
        <v>24</v>
      </c>
      <c r="F1826" s="8" t="s">
        <v>69</v>
      </c>
      <c r="G1826" s="8" t="s">
        <v>30</v>
      </c>
      <c r="H1826" t="s">
        <v>14</v>
      </c>
      <c r="I1826" s="4">
        <v>4500</v>
      </c>
      <c r="J1826" s="8">
        <v>10</v>
      </c>
      <c r="K1826" s="4">
        <f t="shared" si="50"/>
        <v>45000</v>
      </c>
      <c r="L1826" s="4">
        <f t="shared" si="51"/>
        <v>11250</v>
      </c>
      <c r="M1826" s="3">
        <v>0.25</v>
      </c>
    </row>
    <row r="1827" spans="2:13" x14ac:dyDescent="0.3">
      <c r="B1827" t="s">
        <v>65</v>
      </c>
      <c r="C1827" s="1" t="s">
        <v>63</v>
      </c>
      <c r="D1827" s="2">
        <v>45004</v>
      </c>
      <c r="E1827" s="8" t="s">
        <v>24</v>
      </c>
      <c r="F1827" s="8" t="s">
        <v>69</v>
      </c>
      <c r="G1827" s="8" t="s">
        <v>30</v>
      </c>
      <c r="H1827" t="s">
        <v>12</v>
      </c>
      <c r="I1827" s="4">
        <v>500</v>
      </c>
      <c r="J1827" s="8">
        <v>12</v>
      </c>
      <c r="K1827" s="4">
        <f t="shared" si="50"/>
        <v>6000</v>
      </c>
      <c r="L1827" s="4">
        <f t="shared" si="51"/>
        <v>1500</v>
      </c>
      <c r="M1827" s="3">
        <v>0.25</v>
      </c>
    </row>
    <row r="1828" spans="2:13" x14ac:dyDescent="0.3">
      <c r="B1828" t="s">
        <v>65</v>
      </c>
      <c r="C1828" s="1" t="s">
        <v>63</v>
      </c>
      <c r="D1828" s="2">
        <v>45011</v>
      </c>
      <c r="E1828" s="8" t="s">
        <v>24</v>
      </c>
      <c r="F1828" s="8" t="s">
        <v>69</v>
      </c>
      <c r="G1828" s="8" t="s">
        <v>30</v>
      </c>
      <c r="H1828" t="s">
        <v>14</v>
      </c>
      <c r="I1828" s="4">
        <v>4500</v>
      </c>
      <c r="J1828" s="8">
        <v>12</v>
      </c>
      <c r="K1828" s="4">
        <f t="shared" ref="K1828:K1859" si="52">I1828*J1828</f>
        <v>54000</v>
      </c>
      <c r="L1828" s="4">
        <f t="shared" ref="L1828:L1859" si="53">K1828*M1828</f>
        <v>13500</v>
      </c>
      <c r="M1828" s="3">
        <v>0.25</v>
      </c>
    </row>
    <row r="1829" spans="2:13" x14ac:dyDescent="0.3">
      <c r="B1829" t="s">
        <v>62</v>
      </c>
      <c r="C1829" s="1" t="s">
        <v>63</v>
      </c>
      <c r="D1829" s="2">
        <v>45018</v>
      </c>
      <c r="E1829" s="8" t="s">
        <v>24</v>
      </c>
      <c r="F1829" s="8" t="s">
        <v>69</v>
      </c>
      <c r="G1829" s="8" t="s">
        <v>30</v>
      </c>
      <c r="H1829" t="s">
        <v>17</v>
      </c>
      <c r="I1829" s="4">
        <v>5130</v>
      </c>
      <c r="J1829" s="8">
        <v>9</v>
      </c>
      <c r="K1829" s="4">
        <f t="shared" si="52"/>
        <v>46170</v>
      </c>
      <c r="L1829" s="4">
        <f t="shared" si="53"/>
        <v>18468</v>
      </c>
      <c r="M1829" s="3">
        <v>0.4</v>
      </c>
    </row>
    <row r="1830" spans="2:13" x14ac:dyDescent="0.3">
      <c r="B1830" t="s">
        <v>65</v>
      </c>
      <c r="C1830" s="1" t="s">
        <v>63</v>
      </c>
      <c r="D1830" s="2">
        <v>45025</v>
      </c>
      <c r="E1830" s="8" t="s">
        <v>24</v>
      </c>
      <c r="F1830" s="8" t="s">
        <v>69</v>
      </c>
      <c r="G1830" s="8" t="s">
        <v>30</v>
      </c>
      <c r="H1830" t="s">
        <v>16</v>
      </c>
      <c r="I1830" s="4">
        <v>3400</v>
      </c>
      <c r="J1830" s="8">
        <v>11</v>
      </c>
      <c r="K1830" s="4">
        <f t="shared" si="52"/>
        <v>37400</v>
      </c>
      <c r="L1830" s="4">
        <f t="shared" si="53"/>
        <v>13090</v>
      </c>
      <c r="M1830" s="3">
        <v>0.35</v>
      </c>
    </row>
    <row r="1831" spans="2:13" x14ac:dyDescent="0.3">
      <c r="B1831" t="s">
        <v>65</v>
      </c>
      <c r="C1831" s="1" t="s">
        <v>64</v>
      </c>
      <c r="D1831" s="2">
        <v>45032</v>
      </c>
      <c r="E1831" s="8" t="s">
        <v>24</v>
      </c>
      <c r="F1831" s="8" t="s">
        <v>69</v>
      </c>
      <c r="G1831" s="8" t="s">
        <v>30</v>
      </c>
      <c r="H1831" t="s">
        <v>8</v>
      </c>
      <c r="I1831" s="4">
        <v>1200</v>
      </c>
      <c r="J1831" s="8">
        <v>3</v>
      </c>
      <c r="K1831" s="4">
        <f t="shared" si="52"/>
        <v>3600</v>
      </c>
      <c r="L1831" s="4">
        <f t="shared" si="53"/>
        <v>1080</v>
      </c>
      <c r="M1831" s="3">
        <v>0.3</v>
      </c>
    </row>
    <row r="1832" spans="2:13" x14ac:dyDescent="0.3">
      <c r="B1832" t="s">
        <v>65</v>
      </c>
      <c r="C1832" s="1" t="s">
        <v>63</v>
      </c>
      <c r="D1832" s="2">
        <v>45039</v>
      </c>
      <c r="E1832" s="8" t="s">
        <v>24</v>
      </c>
      <c r="F1832" s="8" t="s">
        <v>69</v>
      </c>
      <c r="G1832" s="8" t="s">
        <v>30</v>
      </c>
      <c r="H1832" t="s">
        <v>15</v>
      </c>
      <c r="I1832" s="4">
        <v>5300</v>
      </c>
      <c r="J1832" s="8">
        <v>12</v>
      </c>
      <c r="K1832" s="4">
        <f t="shared" si="52"/>
        <v>63600</v>
      </c>
      <c r="L1832" s="4">
        <f t="shared" si="53"/>
        <v>19080</v>
      </c>
      <c r="M1832" s="3">
        <v>0.3</v>
      </c>
    </row>
    <row r="1833" spans="2:13" x14ac:dyDescent="0.3">
      <c r="B1833" t="s">
        <v>60</v>
      </c>
      <c r="C1833" s="1" t="s">
        <v>63</v>
      </c>
      <c r="D1833" s="2">
        <v>45046</v>
      </c>
      <c r="E1833" s="8" t="s">
        <v>24</v>
      </c>
      <c r="F1833" s="8" t="s">
        <v>69</v>
      </c>
      <c r="G1833" s="8" t="s">
        <v>30</v>
      </c>
      <c r="H1833" t="s">
        <v>11</v>
      </c>
      <c r="I1833" s="4">
        <v>300</v>
      </c>
      <c r="J1833" s="8">
        <v>7</v>
      </c>
      <c r="K1833" s="4">
        <f t="shared" si="52"/>
        <v>2100</v>
      </c>
      <c r="L1833" s="4">
        <f t="shared" si="53"/>
        <v>315</v>
      </c>
      <c r="M1833" s="3">
        <v>0.15</v>
      </c>
    </row>
    <row r="1834" spans="2:13" x14ac:dyDescent="0.3">
      <c r="B1834" t="s">
        <v>60</v>
      </c>
      <c r="C1834" s="1" t="s">
        <v>64</v>
      </c>
      <c r="D1834" s="2">
        <v>45053</v>
      </c>
      <c r="E1834" s="8" t="s">
        <v>24</v>
      </c>
      <c r="F1834" s="8" t="s">
        <v>69</v>
      </c>
      <c r="G1834" s="8" t="s">
        <v>30</v>
      </c>
      <c r="H1834" t="s">
        <v>9</v>
      </c>
      <c r="I1834" s="4">
        <v>1500</v>
      </c>
      <c r="J1834" s="8">
        <v>3</v>
      </c>
      <c r="K1834" s="4">
        <f t="shared" si="52"/>
        <v>4500</v>
      </c>
      <c r="L1834" s="4">
        <f t="shared" si="53"/>
        <v>1800</v>
      </c>
      <c r="M1834" s="3">
        <v>0.4</v>
      </c>
    </row>
    <row r="1835" spans="2:13" x14ac:dyDescent="0.3">
      <c r="B1835" t="s">
        <v>60</v>
      </c>
      <c r="C1835" s="1" t="s">
        <v>63</v>
      </c>
      <c r="D1835" s="2">
        <v>45060</v>
      </c>
      <c r="E1835" s="8" t="s">
        <v>24</v>
      </c>
      <c r="F1835" s="8" t="s">
        <v>69</v>
      </c>
      <c r="G1835" s="8" t="s">
        <v>30</v>
      </c>
      <c r="H1835" t="s">
        <v>13</v>
      </c>
      <c r="I1835" s="4">
        <v>3200</v>
      </c>
      <c r="J1835" s="8">
        <v>5</v>
      </c>
      <c r="K1835" s="4">
        <f t="shared" si="52"/>
        <v>16000</v>
      </c>
      <c r="L1835" s="4">
        <f t="shared" si="53"/>
        <v>3200</v>
      </c>
      <c r="M1835" s="3">
        <v>0.2</v>
      </c>
    </row>
    <row r="1836" spans="2:13" x14ac:dyDescent="0.3">
      <c r="B1836" t="s">
        <v>60</v>
      </c>
      <c r="C1836" s="1" t="s">
        <v>63</v>
      </c>
      <c r="D1836" s="2">
        <v>45067</v>
      </c>
      <c r="E1836" s="8" t="s">
        <v>24</v>
      </c>
      <c r="F1836" s="8" t="s">
        <v>69</v>
      </c>
      <c r="G1836" s="8" t="s">
        <v>30</v>
      </c>
      <c r="H1836" t="s">
        <v>19</v>
      </c>
      <c r="I1836" s="4">
        <v>5340</v>
      </c>
      <c r="J1836" s="8">
        <v>5</v>
      </c>
      <c r="K1836" s="4">
        <f t="shared" si="52"/>
        <v>26700</v>
      </c>
      <c r="L1836" s="4">
        <f t="shared" si="53"/>
        <v>8010</v>
      </c>
      <c r="M1836" s="3">
        <v>0.3</v>
      </c>
    </row>
    <row r="1837" spans="2:13" x14ac:dyDescent="0.3">
      <c r="B1837" t="s">
        <v>65</v>
      </c>
      <c r="C1837" s="1" t="s">
        <v>63</v>
      </c>
      <c r="D1837" s="2">
        <v>45074</v>
      </c>
      <c r="E1837" s="8" t="s">
        <v>24</v>
      </c>
      <c r="F1837" s="8" t="s">
        <v>69</v>
      </c>
      <c r="G1837" s="8" t="s">
        <v>30</v>
      </c>
      <c r="H1837" t="s">
        <v>16</v>
      </c>
      <c r="I1837" s="4">
        <v>3400</v>
      </c>
      <c r="J1837" s="8">
        <v>3</v>
      </c>
      <c r="K1837" s="4">
        <f t="shared" si="52"/>
        <v>10200</v>
      </c>
      <c r="L1837" s="4">
        <f t="shared" si="53"/>
        <v>3570</v>
      </c>
      <c r="M1837" s="3">
        <v>0.35</v>
      </c>
    </row>
    <row r="1838" spans="2:13" x14ac:dyDescent="0.3">
      <c r="B1838" t="s">
        <v>66</v>
      </c>
      <c r="C1838" s="1" t="s">
        <v>64</v>
      </c>
      <c r="D1838" s="2">
        <v>45081</v>
      </c>
      <c r="E1838" s="8" t="s">
        <v>24</v>
      </c>
      <c r="F1838" s="8" t="s">
        <v>69</v>
      </c>
      <c r="G1838" s="8" t="s">
        <v>30</v>
      </c>
      <c r="H1838" t="s">
        <v>9</v>
      </c>
      <c r="I1838" s="4">
        <v>1500</v>
      </c>
      <c r="J1838" s="8">
        <v>20</v>
      </c>
      <c r="K1838" s="4">
        <f t="shared" si="52"/>
        <v>30000</v>
      </c>
      <c r="L1838" s="4">
        <f t="shared" si="53"/>
        <v>12000</v>
      </c>
      <c r="M1838" s="3">
        <v>0.4</v>
      </c>
    </row>
    <row r="1839" spans="2:13" x14ac:dyDescent="0.3">
      <c r="B1839" t="s">
        <v>60</v>
      </c>
      <c r="C1839" s="1" t="s">
        <v>63</v>
      </c>
      <c r="D1839" s="2">
        <v>45088</v>
      </c>
      <c r="E1839" s="8" t="s">
        <v>24</v>
      </c>
      <c r="F1839" s="8" t="s">
        <v>69</v>
      </c>
      <c r="G1839" s="8" t="s">
        <v>30</v>
      </c>
      <c r="H1839" t="s">
        <v>8</v>
      </c>
      <c r="I1839" s="4">
        <v>1200</v>
      </c>
      <c r="J1839" s="8">
        <v>11</v>
      </c>
      <c r="K1839" s="4">
        <f t="shared" si="52"/>
        <v>13200</v>
      </c>
      <c r="L1839" s="4">
        <f t="shared" si="53"/>
        <v>3960</v>
      </c>
      <c r="M1839" s="3">
        <v>0.3</v>
      </c>
    </row>
    <row r="1840" spans="2:13" x14ac:dyDescent="0.3">
      <c r="B1840" t="s">
        <v>65</v>
      </c>
      <c r="C1840" s="1" t="s">
        <v>63</v>
      </c>
      <c r="D1840" s="2">
        <v>45095</v>
      </c>
      <c r="E1840" s="8" t="s">
        <v>24</v>
      </c>
      <c r="F1840" s="8" t="s">
        <v>69</v>
      </c>
      <c r="G1840" s="8" t="s">
        <v>30</v>
      </c>
      <c r="H1840" t="s">
        <v>20</v>
      </c>
      <c r="I1840" s="4">
        <v>8902</v>
      </c>
      <c r="J1840" s="8">
        <v>20</v>
      </c>
      <c r="K1840" s="4">
        <f t="shared" si="52"/>
        <v>178040</v>
      </c>
      <c r="L1840" s="4">
        <f t="shared" si="53"/>
        <v>62313.999999999993</v>
      </c>
      <c r="M1840" s="3">
        <v>0.35</v>
      </c>
    </row>
    <row r="1841" spans="2:13" x14ac:dyDescent="0.3">
      <c r="B1841" t="s">
        <v>60</v>
      </c>
      <c r="C1841" s="1" t="s">
        <v>63</v>
      </c>
      <c r="D1841" s="2">
        <v>45102</v>
      </c>
      <c r="E1841" s="8" t="s">
        <v>24</v>
      </c>
      <c r="F1841" s="8" t="s">
        <v>69</v>
      </c>
      <c r="G1841" s="8" t="s">
        <v>30</v>
      </c>
      <c r="H1841" t="s">
        <v>8</v>
      </c>
      <c r="I1841" s="4">
        <v>1200</v>
      </c>
      <c r="J1841" s="8">
        <v>4</v>
      </c>
      <c r="K1841" s="4">
        <f t="shared" si="52"/>
        <v>4800</v>
      </c>
      <c r="L1841" s="4">
        <f t="shared" si="53"/>
        <v>1440</v>
      </c>
      <c r="M1841" s="3">
        <v>0.3</v>
      </c>
    </row>
    <row r="1842" spans="2:13" x14ac:dyDescent="0.3">
      <c r="B1842" t="s">
        <v>60</v>
      </c>
      <c r="C1842" s="1" t="s">
        <v>64</v>
      </c>
      <c r="D1842" s="2">
        <v>45109</v>
      </c>
      <c r="E1842" s="8" t="s">
        <v>24</v>
      </c>
      <c r="F1842" s="8" t="s">
        <v>69</v>
      </c>
      <c r="G1842" s="8" t="s">
        <v>30</v>
      </c>
      <c r="H1842" t="s">
        <v>13</v>
      </c>
      <c r="I1842" s="4">
        <v>3200</v>
      </c>
      <c r="J1842" s="8">
        <v>10</v>
      </c>
      <c r="K1842" s="4">
        <f t="shared" si="52"/>
        <v>32000</v>
      </c>
      <c r="L1842" s="4">
        <f t="shared" si="53"/>
        <v>6400</v>
      </c>
      <c r="M1842" s="3">
        <v>0.2</v>
      </c>
    </row>
    <row r="1843" spans="2:13" x14ac:dyDescent="0.3">
      <c r="B1843" t="s">
        <v>65</v>
      </c>
      <c r="C1843" s="1" t="s">
        <v>64</v>
      </c>
      <c r="D1843" s="2">
        <v>45116</v>
      </c>
      <c r="E1843" s="8" t="s">
        <v>24</v>
      </c>
      <c r="F1843" s="8" t="s">
        <v>69</v>
      </c>
      <c r="G1843" s="8" t="s">
        <v>30</v>
      </c>
      <c r="H1843" t="s">
        <v>18</v>
      </c>
      <c r="I1843" s="4">
        <v>4600</v>
      </c>
      <c r="J1843" s="8">
        <v>3</v>
      </c>
      <c r="K1843" s="4">
        <f t="shared" si="52"/>
        <v>13800</v>
      </c>
      <c r="L1843" s="4">
        <f t="shared" si="53"/>
        <v>3450</v>
      </c>
      <c r="M1843" s="3">
        <v>0.25</v>
      </c>
    </row>
    <row r="1844" spans="2:13" x14ac:dyDescent="0.3">
      <c r="B1844" t="s">
        <v>60</v>
      </c>
      <c r="C1844" s="1" t="s">
        <v>64</v>
      </c>
      <c r="D1844" s="2">
        <v>45123</v>
      </c>
      <c r="E1844" s="8" t="s">
        <v>24</v>
      </c>
      <c r="F1844" s="8" t="s">
        <v>69</v>
      </c>
      <c r="G1844" s="8" t="s">
        <v>30</v>
      </c>
      <c r="H1844" t="s">
        <v>10</v>
      </c>
      <c r="I1844" s="4">
        <v>1700</v>
      </c>
      <c r="J1844" s="8">
        <v>1</v>
      </c>
      <c r="K1844" s="4">
        <f t="shared" si="52"/>
        <v>1700</v>
      </c>
      <c r="L1844" s="4">
        <f t="shared" si="53"/>
        <v>850</v>
      </c>
      <c r="M1844" s="3">
        <v>0.5</v>
      </c>
    </row>
    <row r="1845" spans="2:13" x14ac:dyDescent="0.3">
      <c r="B1845" t="s">
        <v>61</v>
      </c>
      <c r="C1845" s="1" t="s">
        <v>63</v>
      </c>
      <c r="D1845" s="2">
        <v>45130</v>
      </c>
      <c r="E1845" s="8" t="s">
        <v>24</v>
      </c>
      <c r="F1845" s="8" t="s">
        <v>69</v>
      </c>
      <c r="G1845" s="8" t="s">
        <v>30</v>
      </c>
      <c r="H1845" t="s">
        <v>14</v>
      </c>
      <c r="I1845" s="4">
        <v>4500</v>
      </c>
      <c r="J1845" s="8">
        <v>6</v>
      </c>
      <c r="K1845" s="4">
        <f t="shared" si="52"/>
        <v>27000</v>
      </c>
      <c r="L1845" s="4">
        <f t="shared" si="53"/>
        <v>6750</v>
      </c>
      <c r="M1845" s="3">
        <v>0.25</v>
      </c>
    </row>
    <row r="1846" spans="2:13" x14ac:dyDescent="0.3">
      <c r="B1846" t="s">
        <v>61</v>
      </c>
      <c r="C1846" s="1" t="s">
        <v>63</v>
      </c>
      <c r="D1846" s="2">
        <v>45137</v>
      </c>
      <c r="E1846" s="8" t="s">
        <v>24</v>
      </c>
      <c r="F1846" s="8" t="s">
        <v>69</v>
      </c>
      <c r="G1846" s="8" t="s">
        <v>30</v>
      </c>
      <c r="H1846" t="s">
        <v>16</v>
      </c>
      <c r="I1846" s="4">
        <v>3400</v>
      </c>
      <c r="J1846" s="8">
        <v>11</v>
      </c>
      <c r="K1846" s="4">
        <f t="shared" si="52"/>
        <v>37400</v>
      </c>
      <c r="L1846" s="4">
        <f t="shared" si="53"/>
        <v>13090</v>
      </c>
      <c r="M1846" s="3">
        <v>0.35</v>
      </c>
    </row>
    <row r="1847" spans="2:13" x14ac:dyDescent="0.3">
      <c r="B1847" t="s">
        <v>65</v>
      </c>
      <c r="C1847" s="1" t="s">
        <v>63</v>
      </c>
      <c r="D1847" s="2">
        <v>45144</v>
      </c>
      <c r="E1847" s="8" t="s">
        <v>24</v>
      </c>
      <c r="F1847" s="8" t="s">
        <v>69</v>
      </c>
      <c r="G1847" s="8" t="s">
        <v>30</v>
      </c>
      <c r="H1847" t="s">
        <v>18</v>
      </c>
      <c r="I1847" s="4">
        <v>4600</v>
      </c>
      <c r="J1847" s="8">
        <v>11</v>
      </c>
      <c r="K1847" s="4">
        <f t="shared" si="52"/>
        <v>50600</v>
      </c>
      <c r="L1847" s="4">
        <f t="shared" si="53"/>
        <v>12650</v>
      </c>
      <c r="M1847" s="3">
        <v>0.25</v>
      </c>
    </row>
    <row r="1848" spans="2:13" x14ac:dyDescent="0.3">
      <c r="B1848" t="s">
        <v>65</v>
      </c>
      <c r="C1848" s="1" t="s">
        <v>64</v>
      </c>
      <c r="D1848" s="2">
        <v>45151</v>
      </c>
      <c r="E1848" s="8" t="s">
        <v>24</v>
      </c>
      <c r="F1848" s="8" t="s">
        <v>69</v>
      </c>
      <c r="G1848" s="8" t="s">
        <v>30</v>
      </c>
      <c r="H1848" t="s">
        <v>8</v>
      </c>
      <c r="I1848" s="4">
        <v>1200</v>
      </c>
      <c r="J1848" s="8">
        <v>11</v>
      </c>
      <c r="K1848" s="4">
        <f t="shared" si="52"/>
        <v>13200</v>
      </c>
      <c r="L1848" s="4">
        <f t="shared" si="53"/>
        <v>3960</v>
      </c>
      <c r="M1848" s="3">
        <v>0.3</v>
      </c>
    </row>
    <row r="1849" spans="2:13" x14ac:dyDescent="0.3">
      <c r="B1849" t="s">
        <v>66</v>
      </c>
      <c r="C1849" s="1" t="s">
        <v>64</v>
      </c>
      <c r="D1849" s="2">
        <v>45158</v>
      </c>
      <c r="E1849" s="8" t="s">
        <v>24</v>
      </c>
      <c r="F1849" s="8" t="s">
        <v>69</v>
      </c>
      <c r="G1849" s="8" t="s">
        <v>30</v>
      </c>
      <c r="H1849" t="s">
        <v>17</v>
      </c>
      <c r="I1849" s="4">
        <v>5130</v>
      </c>
      <c r="J1849" s="8">
        <v>11</v>
      </c>
      <c r="K1849" s="4">
        <f t="shared" si="52"/>
        <v>56430</v>
      </c>
      <c r="L1849" s="4">
        <f t="shared" si="53"/>
        <v>22572</v>
      </c>
      <c r="M1849" s="3">
        <v>0.4</v>
      </c>
    </row>
    <row r="1850" spans="2:13" x14ac:dyDescent="0.3">
      <c r="B1850" t="s">
        <v>65</v>
      </c>
      <c r="C1850" s="1" t="s">
        <v>63</v>
      </c>
      <c r="D1850" s="2">
        <v>45165</v>
      </c>
      <c r="E1850" s="8" t="s">
        <v>24</v>
      </c>
      <c r="F1850" s="8" t="s">
        <v>69</v>
      </c>
      <c r="G1850" s="8" t="s">
        <v>30</v>
      </c>
      <c r="H1850" t="s">
        <v>20</v>
      </c>
      <c r="I1850" s="4">
        <v>8902</v>
      </c>
      <c r="J1850" s="8">
        <v>9</v>
      </c>
      <c r="K1850" s="4">
        <f t="shared" si="52"/>
        <v>80118</v>
      </c>
      <c r="L1850" s="4">
        <f t="shared" si="53"/>
        <v>28041.3</v>
      </c>
      <c r="M1850" s="3">
        <v>0.35</v>
      </c>
    </row>
    <row r="1851" spans="2:13" x14ac:dyDescent="0.3">
      <c r="B1851" t="s">
        <v>65</v>
      </c>
      <c r="C1851" s="1" t="s">
        <v>64</v>
      </c>
      <c r="D1851" s="2">
        <v>44562</v>
      </c>
      <c r="E1851" s="8" t="s">
        <v>24</v>
      </c>
      <c r="F1851" s="8" t="s">
        <v>58</v>
      </c>
      <c r="G1851" s="8" t="s">
        <v>29</v>
      </c>
      <c r="H1851" t="s">
        <v>17</v>
      </c>
      <c r="I1851" s="4">
        <v>5130</v>
      </c>
      <c r="J1851" s="8">
        <v>8</v>
      </c>
      <c r="K1851" s="4">
        <f t="shared" si="52"/>
        <v>41040</v>
      </c>
      <c r="L1851" s="4">
        <f t="shared" si="53"/>
        <v>16416</v>
      </c>
      <c r="M1851" s="3">
        <v>0.4</v>
      </c>
    </row>
    <row r="1852" spans="2:13" x14ac:dyDescent="0.3">
      <c r="B1852" t="s">
        <v>65</v>
      </c>
      <c r="C1852" s="1" t="s">
        <v>63</v>
      </c>
      <c r="D1852" s="2">
        <v>44577</v>
      </c>
      <c r="E1852" s="8" t="s">
        <v>24</v>
      </c>
      <c r="F1852" s="8" t="s">
        <v>58</v>
      </c>
      <c r="G1852" s="8" t="s">
        <v>29</v>
      </c>
      <c r="H1852" t="s">
        <v>11</v>
      </c>
      <c r="I1852" s="4">
        <v>300</v>
      </c>
      <c r="J1852" s="8">
        <v>9</v>
      </c>
      <c r="K1852" s="4">
        <f t="shared" si="52"/>
        <v>2700</v>
      </c>
      <c r="L1852" s="4">
        <f t="shared" si="53"/>
        <v>405</v>
      </c>
      <c r="M1852" s="3">
        <v>0.15</v>
      </c>
    </row>
    <row r="1853" spans="2:13" x14ac:dyDescent="0.3">
      <c r="B1853" t="s">
        <v>62</v>
      </c>
      <c r="C1853" s="1" t="s">
        <v>64</v>
      </c>
      <c r="D1853" s="2">
        <v>44584</v>
      </c>
      <c r="E1853" s="8" t="s">
        <v>24</v>
      </c>
      <c r="F1853" s="8" t="s">
        <v>58</v>
      </c>
      <c r="G1853" s="8" t="s">
        <v>29</v>
      </c>
      <c r="H1853" t="s">
        <v>14</v>
      </c>
      <c r="I1853" s="4">
        <v>4500</v>
      </c>
      <c r="J1853" s="8">
        <v>12</v>
      </c>
      <c r="K1853" s="4">
        <f t="shared" si="52"/>
        <v>54000</v>
      </c>
      <c r="L1853" s="4">
        <f t="shared" si="53"/>
        <v>13500</v>
      </c>
      <c r="M1853" s="3">
        <v>0.25</v>
      </c>
    </row>
    <row r="1854" spans="2:13" x14ac:dyDescent="0.3">
      <c r="B1854" t="s">
        <v>66</v>
      </c>
      <c r="C1854" s="1" t="s">
        <v>63</v>
      </c>
      <c r="D1854" s="2">
        <v>44591</v>
      </c>
      <c r="E1854" s="8" t="s">
        <v>24</v>
      </c>
      <c r="F1854" s="8" t="s">
        <v>58</v>
      </c>
      <c r="G1854" s="8" t="s">
        <v>29</v>
      </c>
      <c r="H1854" t="s">
        <v>11</v>
      </c>
      <c r="I1854" s="4">
        <v>300</v>
      </c>
      <c r="J1854" s="8">
        <v>1</v>
      </c>
      <c r="K1854" s="4">
        <f t="shared" si="52"/>
        <v>300</v>
      </c>
      <c r="L1854" s="4">
        <f t="shared" si="53"/>
        <v>45</v>
      </c>
      <c r="M1854" s="3">
        <v>0.15</v>
      </c>
    </row>
    <row r="1855" spans="2:13" x14ac:dyDescent="0.3">
      <c r="B1855" t="s">
        <v>65</v>
      </c>
      <c r="C1855" s="1" t="s">
        <v>63</v>
      </c>
      <c r="D1855" s="2">
        <v>44598</v>
      </c>
      <c r="E1855" s="8" t="s">
        <v>24</v>
      </c>
      <c r="F1855" s="8" t="s">
        <v>58</v>
      </c>
      <c r="G1855" s="8" t="s">
        <v>29</v>
      </c>
      <c r="H1855" t="s">
        <v>17</v>
      </c>
      <c r="I1855" s="4">
        <v>5130</v>
      </c>
      <c r="J1855" s="8">
        <v>2</v>
      </c>
      <c r="K1855" s="4">
        <f t="shared" si="52"/>
        <v>10260</v>
      </c>
      <c r="L1855" s="4">
        <f t="shared" si="53"/>
        <v>4104</v>
      </c>
      <c r="M1855" s="3">
        <v>0.4</v>
      </c>
    </row>
    <row r="1856" spans="2:13" x14ac:dyDescent="0.3">
      <c r="B1856" t="s">
        <v>65</v>
      </c>
      <c r="C1856" s="1" t="s">
        <v>63</v>
      </c>
      <c r="D1856" s="2">
        <v>44605</v>
      </c>
      <c r="E1856" s="8" t="s">
        <v>24</v>
      </c>
      <c r="F1856" s="8" t="s">
        <v>58</v>
      </c>
      <c r="G1856" s="8" t="s">
        <v>29</v>
      </c>
      <c r="H1856" t="s">
        <v>14</v>
      </c>
      <c r="I1856" s="4">
        <v>4500</v>
      </c>
      <c r="J1856" s="8">
        <v>7</v>
      </c>
      <c r="K1856" s="4">
        <f t="shared" si="52"/>
        <v>31500</v>
      </c>
      <c r="L1856" s="4">
        <f t="shared" si="53"/>
        <v>7875</v>
      </c>
      <c r="M1856" s="3">
        <v>0.25</v>
      </c>
    </row>
    <row r="1857" spans="2:13" x14ac:dyDescent="0.3">
      <c r="B1857" t="s">
        <v>66</v>
      </c>
      <c r="C1857" s="1" t="s">
        <v>63</v>
      </c>
      <c r="D1857" s="2">
        <v>44612</v>
      </c>
      <c r="E1857" s="8" t="s">
        <v>24</v>
      </c>
      <c r="F1857" s="8" t="s">
        <v>58</v>
      </c>
      <c r="G1857" s="8" t="s">
        <v>29</v>
      </c>
      <c r="H1857" t="s">
        <v>13</v>
      </c>
      <c r="I1857" s="4">
        <v>3200</v>
      </c>
      <c r="J1857" s="8">
        <v>12</v>
      </c>
      <c r="K1857" s="4">
        <f t="shared" si="52"/>
        <v>38400</v>
      </c>
      <c r="L1857" s="4">
        <f t="shared" si="53"/>
        <v>7680</v>
      </c>
      <c r="M1857" s="3">
        <v>0.2</v>
      </c>
    </row>
    <row r="1858" spans="2:13" x14ac:dyDescent="0.3">
      <c r="B1858" t="s">
        <v>62</v>
      </c>
      <c r="C1858" s="1" t="s">
        <v>63</v>
      </c>
      <c r="D1858" s="2">
        <v>44619</v>
      </c>
      <c r="E1858" s="8" t="s">
        <v>24</v>
      </c>
      <c r="F1858" s="8" t="s">
        <v>58</v>
      </c>
      <c r="G1858" s="8" t="s">
        <v>29</v>
      </c>
      <c r="H1858" t="s">
        <v>12</v>
      </c>
      <c r="I1858" s="4">
        <v>500</v>
      </c>
      <c r="J1858" s="8">
        <v>15</v>
      </c>
      <c r="K1858" s="4">
        <f t="shared" si="52"/>
        <v>7500</v>
      </c>
      <c r="L1858" s="4">
        <f t="shared" si="53"/>
        <v>1875</v>
      </c>
      <c r="M1858" s="3">
        <v>0.25</v>
      </c>
    </row>
    <row r="1859" spans="2:13" x14ac:dyDescent="0.3">
      <c r="B1859" t="s">
        <v>65</v>
      </c>
      <c r="C1859" s="1" t="s">
        <v>63</v>
      </c>
      <c r="D1859" s="2">
        <v>44626</v>
      </c>
      <c r="E1859" s="8" t="s">
        <v>24</v>
      </c>
      <c r="F1859" s="8" t="s">
        <v>58</v>
      </c>
      <c r="G1859" s="8" t="s">
        <v>29</v>
      </c>
      <c r="H1859" t="s">
        <v>11</v>
      </c>
      <c r="I1859" s="4">
        <v>300</v>
      </c>
      <c r="J1859" s="8">
        <v>3</v>
      </c>
      <c r="K1859" s="4">
        <f t="shared" si="52"/>
        <v>900</v>
      </c>
      <c r="L1859" s="4">
        <f t="shared" si="53"/>
        <v>135</v>
      </c>
      <c r="M1859" s="3">
        <v>0.15</v>
      </c>
    </row>
    <row r="1860" spans="2:13" x14ac:dyDescent="0.3">
      <c r="B1860" t="s">
        <v>60</v>
      </c>
      <c r="C1860" s="1" t="s">
        <v>64</v>
      </c>
      <c r="D1860" s="2">
        <v>44633</v>
      </c>
      <c r="E1860" s="8" t="s">
        <v>24</v>
      </c>
      <c r="F1860" s="8" t="s">
        <v>58</v>
      </c>
      <c r="G1860" s="8" t="s">
        <v>29</v>
      </c>
      <c r="H1860" t="s">
        <v>17</v>
      </c>
      <c r="I1860" s="4">
        <v>5130</v>
      </c>
      <c r="J1860" s="8">
        <v>5</v>
      </c>
      <c r="K1860" s="4">
        <f t="shared" ref="K1860:K1891" si="54">I1860*J1860</f>
        <v>25650</v>
      </c>
      <c r="L1860" s="4">
        <f t="shared" ref="L1860:L1891" si="55">K1860*M1860</f>
        <v>10260</v>
      </c>
      <c r="M1860" s="3">
        <v>0.4</v>
      </c>
    </row>
    <row r="1861" spans="2:13" x14ac:dyDescent="0.3">
      <c r="B1861" t="s">
        <v>65</v>
      </c>
      <c r="C1861" s="1" t="s">
        <v>64</v>
      </c>
      <c r="D1861" s="2">
        <v>44640</v>
      </c>
      <c r="E1861" s="8" t="s">
        <v>24</v>
      </c>
      <c r="F1861" s="8" t="s">
        <v>58</v>
      </c>
      <c r="G1861" s="8" t="s">
        <v>29</v>
      </c>
      <c r="H1861" t="s">
        <v>9</v>
      </c>
      <c r="I1861" s="4">
        <v>1500</v>
      </c>
      <c r="J1861" s="8">
        <v>4</v>
      </c>
      <c r="K1861" s="4">
        <f t="shared" si="54"/>
        <v>6000</v>
      </c>
      <c r="L1861" s="4">
        <f t="shared" si="55"/>
        <v>2400</v>
      </c>
      <c r="M1861" s="3">
        <v>0.4</v>
      </c>
    </row>
    <row r="1862" spans="2:13" x14ac:dyDescent="0.3">
      <c r="B1862" t="s">
        <v>66</v>
      </c>
      <c r="C1862" s="1" t="s">
        <v>63</v>
      </c>
      <c r="D1862" s="2">
        <v>44647</v>
      </c>
      <c r="E1862" s="8" t="s">
        <v>24</v>
      </c>
      <c r="F1862" s="8" t="s">
        <v>58</v>
      </c>
      <c r="G1862" s="8" t="s">
        <v>29</v>
      </c>
      <c r="H1862" t="s">
        <v>20</v>
      </c>
      <c r="I1862" s="4">
        <v>8902</v>
      </c>
      <c r="J1862" s="8">
        <v>1</v>
      </c>
      <c r="K1862" s="4">
        <f t="shared" si="54"/>
        <v>8902</v>
      </c>
      <c r="L1862" s="4">
        <f t="shared" si="55"/>
        <v>3115.7</v>
      </c>
      <c r="M1862" s="3">
        <v>0.35</v>
      </c>
    </row>
    <row r="1863" spans="2:13" x14ac:dyDescent="0.3">
      <c r="B1863" t="s">
        <v>61</v>
      </c>
      <c r="C1863" s="1" t="s">
        <v>63</v>
      </c>
      <c r="D1863" s="2">
        <v>44654</v>
      </c>
      <c r="E1863" s="8" t="s">
        <v>24</v>
      </c>
      <c r="F1863" s="8" t="s">
        <v>58</v>
      </c>
      <c r="G1863" s="8" t="s">
        <v>29</v>
      </c>
      <c r="H1863" t="s">
        <v>8</v>
      </c>
      <c r="I1863" s="4">
        <v>1200</v>
      </c>
      <c r="J1863" s="8">
        <v>9</v>
      </c>
      <c r="K1863" s="4">
        <f t="shared" si="54"/>
        <v>10800</v>
      </c>
      <c r="L1863" s="4">
        <f t="shared" si="55"/>
        <v>3240</v>
      </c>
      <c r="M1863" s="3">
        <v>0.3</v>
      </c>
    </row>
    <row r="1864" spans="2:13" x14ac:dyDescent="0.3">
      <c r="B1864" t="s">
        <v>65</v>
      </c>
      <c r="C1864" s="1" t="s">
        <v>63</v>
      </c>
      <c r="D1864" s="2">
        <v>44661</v>
      </c>
      <c r="E1864" s="8" t="s">
        <v>24</v>
      </c>
      <c r="F1864" s="8" t="s">
        <v>58</v>
      </c>
      <c r="G1864" s="8" t="s">
        <v>29</v>
      </c>
      <c r="H1864" t="s">
        <v>12</v>
      </c>
      <c r="I1864" s="4">
        <v>500</v>
      </c>
      <c r="J1864" s="8">
        <v>10</v>
      </c>
      <c r="K1864" s="4">
        <f t="shared" si="54"/>
        <v>5000</v>
      </c>
      <c r="L1864" s="4">
        <f t="shared" si="55"/>
        <v>1250</v>
      </c>
      <c r="M1864" s="3">
        <v>0.25</v>
      </c>
    </row>
    <row r="1865" spans="2:13" x14ac:dyDescent="0.3">
      <c r="B1865" t="s">
        <v>61</v>
      </c>
      <c r="C1865" s="1" t="s">
        <v>63</v>
      </c>
      <c r="D1865" s="2">
        <v>44668</v>
      </c>
      <c r="E1865" s="8" t="s">
        <v>24</v>
      </c>
      <c r="F1865" s="8" t="s">
        <v>58</v>
      </c>
      <c r="G1865" s="8" t="s">
        <v>29</v>
      </c>
      <c r="H1865" t="s">
        <v>14</v>
      </c>
      <c r="I1865" s="4">
        <v>4500</v>
      </c>
      <c r="J1865" s="8">
        <v>5</v>
      </c>
      <c r="K1865" s="4">
        <f t="shared" si="54"/>
        <v>22500</v>
      </c>
      <c r="L1865" s="4">
        <f t="shared" si="55"/>
        <v>5625</v>
      </c>
      <c r="M1865" s="3">
        <v>0.25</v>
      </c>
    </row>
    <row r="1866" spans="2:13" x14ac:dyDescent="0.3">
      <c r="B1866" t="s">
        <v>61</v>
      </c>
      <c r="C1866" s="1" t="s">
        <v>63</v>
      </c>
      <c r="D1866" s="2">
        <v>44675</v>
      </c>
      <c r="E1866" s="8" t="s">
        <v>24</v>
      </c>
      <c r="F1866" s="8" t="s">
        <v>58</v>
      </c>
      <c r="G1866" s="8" t="s">
        <v>29</v>
      </c>
      <c r="H1866" t="s">
        <v>11</v>
      </c>
      <c r="I1866" s="4">
        <v>300</v>
      </c>
      <c r="J1866" s="8">
        <v>3</v>
      </c>
      <c r="K1866" s="4">
        <f t="shared" si="54"/>
        <v>900</v>
      </c>
      <c r="L1866" s="4">
        <f t="shared" si="55"/>
        <v>135</v>
      </c>
      <c r="M1866" s="3">
        <v>0.15</v>
      </c>
    </row>
    <row r="1867" spans="2:13" x14ac:dyDescent="0.3">
      <c r="B1867" t="s">
        <v>65</v>
      </c>
      <c r="C1867" s="1" t="s">
        <v>63</v>
      </c>
      <c r="D1867" s="2">
        <v>44682</v>
      </c>
      <c r="E1867" s="8" t="s">
        <v>24</v>
      </c>
      <c r="F1867" s="8" t="s">
        <v>58</v>
      </c>
      <c r="G1867" s="8" t="s">
        <v>29</v>
      </c>
      <c r="H1867" t="s">
        <v>18</v>
      </c>
      <c r="I1867" s="4">
        <v>4600</v>
      </c>
      <c r="J1867" s="8">
        <v>12</v>
      </c>
      <c r="K1867" s="4">
        <f t="shared" si="54"/>
        <v>55200</v>
      </c>
      <c r="L1867" s="4">
        <f t="shared" si="55"/>
        <v>13800</v>
      </c>
      <c r="M1867" s="3">
        <v>0.25</v>
      </c>
    </row>
    <row r="1868" spans="2:13" x14ac:dyDescent="0.3">
      <c r="B1868" t="s">
        <v>65</v>
      </c>
      <c r="C1868" s="1" t="s">
        <v>63</v>
      </c>
      <c r="D1868" s="2">
        <v>44689</v>
      </c>
      <c r="E1868" s="8" t="s">
        <v>24</v>
      </c>
      <c r="F1868" s="8" t="s">
        <v>58</v>
      </c>
      <c r="G1868" s="8" t="s">
        <v>29</v>
      </c>
      <c r="H1868" t="s">
        <v>11</v>
      </c>
      <c r="I1868" s="4">
        <v>300</v>
      </c>
      <c r="J1868" s="8">
        <v>8</v>
      </c>
      <c r="K1868" s="4">
        <f t="shared" si="54"/>
        <v>2400</v>
      </c>
      <c r="L1868" s="4">
        <f t="shared" si="55"/>
        <v>360</v>
      </c>
      <c r="M1868" s="3">
        <v>0.15</v>
      </c>
    </row>
    <row r="1869" spans="2:13" x14ac:dyDescent="0.3">
      <c r="B1869" t="s">
        <v>65</v>
      </c>
      <c r="C1869" s="1" t="s">
        <v>64</v>
      </c>
      <c r="D1869" s="2">
        <v>44696</v>
      </c>
      <c r="E1869" s="8" t="s">
        <v>24</v>
      </c>
      <c r="F1869" s="8" t="s">
        <v>58</v>
      </c>
      <c r="G1869" s="8" t="s">
        <v>29</v>
      </c>
      <c r="H1869" t="s">
        <v>19</v>
      </c>
      <c r="I1869" s="4">
        <v>5340</v>
      </c>
      <c r="J1869" s="8">
        <v>3</v>
      </c>
      <c r="K1869" s="4">
        <f t="shared" si="54"/>
        <v>16020</v>
      </c>
      <c r="L1869" s="4">
        <f t="shared" si="55"/>
        <v>4806</v>
      </c>
      <c r="M1869" s="3">
        <v>0.3</v>
      </c>
    </row>
    <row r="1870" spans="2:13" x14ac:dyDescent="0.3">
      <c r="B1870" t="s">
        <v>62</v>
      </c>
      <c r="C1870" s="1" t="s">
        <v>64</v>
      </c>
      <c r="D1870" s="2">
        <v>44703</v>
      </c>
      <c r="E1870" s="8" t="s">
        <v>24</v>
      </c>
      <c r="F1870" s="8" t="s">
        <v>58</v>
      </c>
      <c r="G1870" s="8" t="s">
        <v>29</v>
      </c>
      <c r="H1870" t="s">
        <v>13</v>
      </c>
      <c r="I1870" s="4">
        <v>3200</v>
      </c>
      <c r="J1870" s="8">
        <v>10</v>
      </c>
      <c r="K1870" s="4">
        <f t="shared" si="54"/>
        <v>32000</v>
      </c>
      <c r="L1870" s="4">
        <f t="shared" si="55"/>
        <v>6400</v>
      </c>
      <c r="M1870" s="3">
        <v>0.2</v>
      </c>
    </row>
    <row r="1871" spans="2:13" x14ac:dyDescent="0.3">
      <c r="B1871" t="s">
        <v>61</v>
      </c>
      <c r="C1871" s="1" t="s">
        <v>63</v>
      </c>
      <c r="D1871" s="2">
        <v>44710</v>
      </c>
      <c r="E1871" s="8" t="s">
        <v>24</v>
      </c>
      <c r="F1871" s="8" t="s">
        <v>58</v>
      </c>
      <c r="G1871" s="8" t="s">
        <v>29</v>
      </c>
      <c r="H1871" t="s">
        <v>19</v>
      </c>
      <c r="I1871" s="4">
        <v>5340</v>
      </c>
      <c r="J1871" s="8">
        <v>9</v>
      </c>
      <c r="K1871" s="4">
        <f t="shared" si="54"/>
        <v>48060</v>
      </c>
      <c r="L1871" s="4">
        <f t="shared" si="55"/>
        <v>14418</v>
      </c>
      <c r="M1871" s="3">
        <v>0.3</v>
      </c>
    </row>
    <row r="1872" spans="2:13" x14ac:dyDescent="0.3">
      <c r="B1872" t="s">
        <v>65</v>
      </c>
      <c r="C1872" s="1" t="s">
        <v>63</v>
      </c>
      <c r="D1872" s="2">
        <v>44717</v>
      </c>
      <c r="E1872" s="8" t="s">
        <v>24</v>
      </c>
      <c r="F1872" s="8" t="s">
        <v>58</v>
      </c>
      <c r="G1872" s="8" t="s">
        <v>29</v>
      </c>
      <c r="H1872" t="s">
        <v>16</v>
      </c>
      <c r="I1872" s="4">
        <v>3400</v>
      </c>
      <c r="J1872" s="8">
        <v>12</v>
      </c>
      <c r="K1872" s="4">
        <f t="shared" si="54"/>
        <v>40800</v>
      </c>
      <c r="L1872" s="4">
        <f t="shared" si="55"/>
        <v>14280</v>
      </c>
      <c r="M1872" s="3">
        <v>0.35</v>
      </c>
    </row>
    <row r="1873" spans="2:13" x14ac:dyDescent="0.3">
      <c r="B1873" t="s">
        <v>66</v>
      </c>
      <c r="C1873" s="1" t="s">
        <v>63</v>
      </c>
      <c r="D1873" s="2">
        <v>44724</v>
      </c>
      <c r="E1873" s="8" t="s">
        <v>24</v>
      </c>
      <c r="F1873" s="8" t="s">
        <v>58</v>
      </c>
      <c r="G1873" s="8" t="s">
        <v>29</v>
      </c>
      <c r="H1873" t="s">
        <v>9</v>
      </c>
      <c r="I1873" s="4">
        <v>1500</v>
      </c>
      <c r="J1873" s="8">
        <v>7</v>
      </c>
      <c r="K1873" s="4">
        <f t="shared" si="54"/>
        <v>10500</v>
      </c>
      <c r="L1873" s="4">
        <f t="shared" si="55"/>
        <v>4200</v>
      </c>
      <c r="M1873" s="3">
        <v>0.4</v>
      </c>
    </row>
    <row r="1874" spans="2:13" x14ac:dyDescent="0.3">
      <c r="B1874" t="s">
        <v>66</v>
      </c>
      <c r="C1874" s="1" t="s">
        <v>64</v>
      </c>
      <c r="D1874" s="2">
        <v>44731</v>
      </c>
      <c r="E1874" s="8" t="s">
        <v>24</v>
      </c>
      <c r="F1874" s="8" t="s">
        <v>58</v>
      </c>
      <c r="G1874" s="8" t="s">
        <v>29</v>
      </c>
      <c r="H1874" t="s">
        <v>8</v>
      </c>
      <c r="I1874" s="4">
        <v>1200</v>
      </c>
      <c r="J1874" s="8">
        <v>4</v>
      </c>
      <c r="K1874" s="4">
        <f t="shared" si="54"/>
        <v>4800</v>
      </c>
      <c r="L1874" s="4">
        <f t="shared" si="55"/>
        <v>1440</v>
      </c>
      <c r="M1874" s="3">
        <v>0.3</v>
      </c>
    </row>
    <row r="1875" spans="2:13" x14ac:dyDescent="0.3">
      <c r="B1875" t="s">
        <v>65</v>
      </c>
      <c r="C1875" s="1" t="s">
        <v>63</v>
      </c>
      <c r="D1875" s="2">
        <v>44738</v>
      </c>
      <c r="E1875" s="8" t="s">
        <v>24</v>
      </c>
      <c r="F1875" s="8" t="s">
        <v>58</v>
      </c>
      <c r="G1875" s="8" t="s">
        <v>29</v>
      </c>
      <c r="H1875" t="s">
        <v>12</v>
      </c>
      <c r="I1875" s="4">
        <v>500</v>
      </c>
      <c r="J1875" s="8">
        <v>15</v>
      </c>
      <c r="K1875" s="4">
        <f t="shared" si="54"/>
        <v>7500</v>
      </c>
      <c r="L1875" s="4">
        <f t="shared" si="55"/>
        <v>1875</v>
      </c>
      <c r="M1875" s="3">
        <v>0.25</v>
      </c>
    </row>
    <row r="1876" spans="2:13" x14ac:dyDescent="0.3">
      <c r="B1876" t="s">
        <v>66</v>
      </c>
      <c r="C1876" s="1" t="s">
        <v>63</v>
      </c>
      <c r="D1876" s="2">
        <v>44745</v>
      </c>
      <c r="E1876" s="8" t="s">
        <v>24</v>
      </c>
      <c r="F1876" s="8" t="s">
        <v>58</v>
      </c>
      <c r="G1876" s="8" t="s">
        <v>29</v>
      </c>
      <c r="H1876" t="s">
        <v>8</v>
      </c>
      <c r="I1876" s="4">
        <v>1200</v>
      </c>
      <c r="J1876" s="8">
        <v>12</v>
      </c>
      <c r="K1876" s="4">
        <f t="shared" si="54"/>
        <v>14400</v>
      </c>
      <c r="L1876" s="4">
        <f t="shared" si="55"/>
        <v>4320</v>
      </c>
      <c r="M1876" s="3">
        <v>0.3</v>
      </c>
    </row>
    <row r="1877" spans="2:13" x14ac:dyDescent="0.3">
      <c r="B1877" t="s">
        <v>65</v>
      </c>
      <c r="C1877" s="1" t="s">
        <v>64</v>
      </c>
      <c r="D1877" s="2">
        <v>44752</v>
      </c>
      <c r="E1877" s="8" t="s">
        <v>24</v>
      </c>
      <c r="F1877" s="8" t="s">
        <v>58</v>
      </c>
      <c r="G1877" s="8" t="s">
        <v>29</v>
      </c>
      <c r="H1877" t="s">
        <v>16</v>
      </c>
      <c r="I1877" s="4">
        <v>3400</v>
      </c>
      <c r="J1877" s="8">
        <v>7</v>
      </c>
      <c r="K1877" s="4">
        <f t="shared" si="54"/>
        <v>23800</v>
      </c>
      <c r="L1877" s="4">
        <f t="shared" si="55"/>
        <v>8330</v>
      </c>
      <c r="M1877" s="3">
        <v>0.35</v>
      </c>
    </row>
    <row r="1878" spans="2:13" x14ac:dyDescent="0.3">
      <c r="B1878" t="s">
        <v>60</v>
      </c>
      <c r="C1878" s="1" t="s">
        <v>64</v>
      </c>
      <c r="D1878" s="2">
        <v>44759</v>
      </c>
      <c r="E1878" s="8" t="s">
        <v>24</v>
      </c>
      <c r="F1878" s="8" t="s">
        <v>58</v>
      </c>
      <c r="G1878" s="8" t="s">
        <v>29</v>
      </c>
      <c r="H1878" t="s">
        <v>19</v>
      </c>
      <c r="I1878" s="4">
        <v>5340</v>
      </c>
      <c r="J1878" s="8">
        <v>7</v>
      </c>
      <c r="K1878" s="4">
        <f t="shared" si="54"/>
        <v>37380</v>
      </c>
      <c r="L1878" s="4">
        <f t="shared" si="55"/>
        <v>11214</v>
      </c>
      <c r="M1878" s="3">
        <v>0.3</v>
      </c>
    </row>
    <row r="1879" spans="2:13" x14ac:dyDescent="0.3">
      <c r="B1879" t="s">
        <v>65</v>
      </c>
      <c r="C1879" s="1" t="s">
        <v>63</v>
      </c>
      <c r="D1879" s="2">
        <v>44766</v>
      </c>
      <c r="E1879" s="8" t="s">
        <v>24</v>
      </c>
      <c r="F1879" s="8" t="s">
        <v>58</v>
      </c>
      <c r="G1879" s="8" t="s">
        <v>29</v>
      </c>
      <c r="H1879" t="s">
        <v>13</v>
      </c>
      <c r="I1879" s="4">
        <v>3200</v>
      </c>
      <c r="J1879" s="8">
        <v>2</v>
      </c>
      <c r="K1879" s="4">
        <f t="shared" si="54"/>
        <v>6400</v>
      </c>
      <c r="L1879" s="4">
        <f t="shared" si="55"/>
        <v>1280</v>
      </c>
      <c r="M1879" s="3">
        <v>0.2</v>
      </c>
    </row>
    <row r="1880" spans="2:13" x14ac:dyDescent="0.3">
      <c r="B1880" t="s">
        <v>65</v>
      </c>
      <c r="C1880" s="1" t="s">
        <v>63</v>
      </c>
      <c r="D1880" s="2">
        <v>44766</v>
      </c>
      <c r="E1880" s="8" t="s">
        <v>24</v>
      </c>
      <c r="F1880" s="8" t="s">
        <v>58</v>
      </c>
      <c r="G1880" s="8" t="s">
        <v>29</v>
      </c>
      <c r="H1880" t="s">
        <v>13</v>
      </c>
      <c r="I1880" s="4">
        <v>3200</v>
      </c>
      <c r="J1880" s="8">
        <v>2</v>
      </c>
      <c r="K1880" s="4">
        <f t="shared" si="54"/>
        <v>6400</v>
      </c>
      <c r="L1880" s="4">
        <f t="shared" si="55"/>
        <v>1280</v>
      </c>
      <c r="M1880" s="3">
        <v>0.2</v>
      </c>
    </row>
    <row r="1881" spans="2:13" x14ac:dyDescent="0.3">
      <c r="B1881" t="s">
        <v>62</v>
      </c>
      <c r="C1881" s="1" t="s">
        <v>63</v>
      </c>
      <c r="D1881" s="2">
        <v>44773</v>
      </c>
      <c r="E1881" s="8" t="s">
        <v>24</v>
      </c>
      <c r="F1881" s="8" t="s">
        <v>58</v>
      </c>
      <c r="G1881" s="8" t="s">
        <v>29</v>
      </c>
      <c r="H1881" t="s">
        <v>11</v>
      </c>
      <c r="I1881" s="4">
        <v>300</v>
      </c>
      <c r="J1881" s="8">
        <v>1</v>
      </c>
      <c r="K1881" s="4">
        <f t="shared" si="54"/>
        <v>300</v>
      </c>
      <c r="L1881" s="4">
        <f t="shared" si="55"/>
        <v>45</v>
      </c>
      <c r="M1881" s="3">
        <v>0.15</v>
      </c>
    </row>
    <row r="1882" spans="2:13" x14ac:dyDescent="0.3">
      <c r="B1882" t="s">
        <v>65</v>
      </c>
      <c r="C1882" s="1" t="s">
        <v>63</v>
      </c>
      <c r="D1882" s="2">
        <v>44780</v>
      </c>
      <c r="E1882" s="8" t="s">
        <v>24</v>
      </c>
      <c r="F1882" s="8" t="s">
        <v>58</v>
      </c>
      <c r="G1882" s="8" t="s">
        <v>29</v>
      </c>
      <c r="H1882" t="s">
        <v>20</v>
      </c>
      <c r="I1882" s="4">
        <v>8902</v>
      </c>
      <c r="J1882" s="8">
        <v>8</v>
      </c>
      <c r="K1882" s="4">
        <f t="shared" si="54"/>
        <v>71216</v>
      </c>
      <c r="L1882" s="4">
        <f t="shared" si="55"/>
        <v>24925.599999999999</v>
      </c>
      <c r="M1882" s="3">
        <v>0.35</v>
      </c>
    </row>
    <row r="1883" spans="2:13" x14ac:dyDescent="0.3">
      <c r="B1883" t="s">
        <v>65</v>
      </c>
      <c r="C1883" s="1" t="s">
        <v>63</v>
      </c>
      <c r="D1883" s="2">
        <v>44787</v>
      </c>
      <c r="E1883" s="8" t="s">
        <v>24</v>
      </c>
      <c r="F1883" s="8" t="s">
        <v>58</v>
      </c>
      <c r="G1883" s="8" t="s">
        <v>29</v>
      </c>
      <c r="H1883" t="s">
        <v>11</v>
      </c>
      <c r="I1883" s="4">
        <v>300</v>
      </c>
      <c r="J1883" s="8">
        <v>4</v>
      </c>
      <c r="K1883" s="4">
        <f t="shared" si="54"/>
        <v>1200</v>
      </c>
      <c r="L1883" s="4">
        <f t="shared" si="55"/>
        <v>180</v>
      </c>
      <c r="M1883" s="3">
        <v>0.15</v>
      </c>
    </row>
    <row r="1884" spans="2:13" x14ac:dyDescent="0.3">
      <c r="B1884" t="s">
        <v>65</v>
      </c>
      <c r="C1884" s="1" t="s">
        <v>63</v>
      </c>
      <c r="D1884" s="2">
        <v>44794</v>
      </c>
      <c r="E1884" s="8" t="s">
        <v>24</v>
      </c>
      <c r="F1884" s="8" t="s">
        <v>58</v>
      </c>
      <c r="G1884" s="8" t="s">
        <v>29</v>
      </c>
      <c r="H1884" t="s">
        <v>18</v>
      </c>
      <c r="I1884" s="4">
        <v>4600</v>
      </c>
      <c r="J1884" s="8">
        <v>8</v>
      </c>
      <c r="K1884" s="4">
        <f t="shared" si="54"/>
        <v>36800</v>
      </c>
      <c r="L1884" s="4">
        <f t="shared" si="55"/>
        <v>9200</v>
      </c>
      <c r="M1884" s="3">
        <v>0.25</v>
      </c>
    </row>
    <row r="1885" spans="2:13" x14ac:dyDescent="0.3">
      <c r="B1885" t="s">
        <v>65</v>
      </c>
      <c r="C1885" s="1" t="s">
        <v>63</v>
      </c>
      <c r="D1885" s="2">
        <v>44801</v>
      </c>
      <c r="E1885" s="8" t="s">
        <v>24</v>
      </c>
      <c r="F1885" s="8" t="s">
        <v>58</v>
      </c>
      <c r="G1885" s="8" t="s">
        <v>29</v>
      </c>
      <c r="H1885" t="s">
        <v>15</v>
      </c>
      <c r="I1885" s="4">
        <v>5300</v>
      </c>
      <c r="J1885" s="8">
        <v>5</v>
      </c>
      <c r="K1885" s="4">
        <f t="shared" si="54"/>
        <v>26500</v>
      </c>
      <c r="L1885" s="4">
        <f t="shared" si="55"/>
        <v>7950</v>
      </c>
      <c r="M1885" s="3">
        <v>0.3</v>
      </c>
    </row>
    <row r="1886" spans="2:13" x14ac:dyDescent="0.3">
      <c r="B1886" t="s">
        <v>65</v>
      </c>
      <c r="C1886" s="1" t="s">
        <v>63</v>
      </c>
      <c r="D1886" s="2">
        <v>44808</v>
      </c>
      <c r="E1886" s="8" t="s">
        <v>24</v>
      </c>
      <c r="F1886" s="8" t="s">
        <v>58</v>
      </c>
      <c r="G1886" s="8" t="s">
        <v>29</v>
      </c>
      <c r="H1886" t="s">
        <v>10</v>
      </c>
      <c r="I1886" s="4">
        <v>1700</v>
      </c>
      <c r="J1886" s="8">
        <v>12</v>
      </c>
      <c r="K1886" s="4">
        <f t="shared" si="54"/>
        <v>20400</v>
      </c>
      <c r="L1886" s="4">
        <f t="shared" si="55"/>
        <v>10200</v>
      </c>
      <c r="M1886" s="3">
        <v>0.5</v>
      </c>
    </row>
    <row r="1887" spans="2:13" x14ac:dyDescent="0.3">
      <c r="B1887" t="s">
        <v>65</v>
      </c>
      <c r="C1887" s="1" t="s">
        <v>64</v>
      </c>
      <c r="D1887" s="2">
        <v>44815</v>
      </c>
      <c r="E1887" s="8" t="s">
        <v>24</v>
      </c>
      <c r="F1887" s="8" t="s">
        <v>58</v>
      </c>
      <c r="G1887" s="8" t="s">
        <v>29</v>
      </c>
      <c r="H1887" t="s">
        <v>10</v>
      </c>
      <c r="I1887" s="4">
        <v>1700</v>
      </c>
      <c r="J1887" s="8">
        <v>9</v>
      </c>
      <c r="K1887" s="4">
        <f t="shared" si="54"/>
        <v>15300</v>
      </c>
      <c r="L1887" s="4">
        <f t="shared" si="55"/>
        <v>7650</v>
      </c>
      <c r="M1887" s="3">
        <v>0.5</v>
      </c>
    </row>
    <row r="1888" spans="2:13" x14ac:dyDescent="0.3">
      <c r="B1888" t="s">
        <v>65</v>
      </c>
      <c r="C1888" s="1" t="s">
        <v>64</v>
      </c>
      <c r="D1888" s="2">
        <v>44822</v>
      </c>
      <c r="E1888" s="8" t="s">
        <v>24</v>
      </c>
      <c r="F1888" s="8" t="s">
        <v>58</v>
      </c>
      <c r="G1888" s="8" t="s">
        <v>29</v>
      </c>
      <c r="H1888" t="s">
        <v>13</v>
      </c>
      <c r="I1888" s="4">
        <v>3200</v>
      </c>
      <c r="J1888" s="8">
        <v>3</v>
      </c>
      <c r="K1888" s="4">
        <f t="shared" si="54"/>
        <v>9600</v>
      </c>
      <c r="L1888" s="4">
        <f t="shared" si="55"/>
        <v>1920</v>
      </c>
      <c r="M1888" s="3">
        <v>0.2</v>
      </c>
    </row>
    <row r="1889" spans="2:13" x14ac:dyDescent="0.3">
      <c r="B1889" t="s">
        <v>60</v>
      </c>
      <c r="C1889" s="1" t="s">
        <v>63</v>
      </c>
      <c r="D1889" s="2">
        <v>44829</v>
      </c>
      <c r="E1889" s="8" t="s">
        <v>24</v>
      </c>
      <c r="F1889" s="8" t="s">
        <v>58</v>
      </c>
      <c r="G1889" s="8" t="s">
        <v>29</v>
      </c>
      <c r="H1889" t="s">
        <v>14</v>
      </c>
      <c r="I1889" s="4">
        <v>4500</v>
      </c>
      <c r="J1889" s="8">
        <v>2</v>
      </c>
      <c r="K1889" s="4">
        <f t="shared" si="54"/>
        <v>9000</v>
      </c>
      <c r="L1889" s="4">
        <f t="shared" si="55"/>
        <v>2250</v>
      </c>
      <c r="M1889" s="3">
        <v>0.25</v>
      </c>
    </row>
    <row r="1890" spans="2:13" x14ac:dyDescent="0.3">
      <c r="B1890" t="s">
        <v>60</v>
      </c>
      <c r="C1890" s="1" t="s">
        <v>63</v>
      </c>
      <c r="D1890" s="2">
        <v>44836</v>
      </c>
      <c r="E1890" s="8" t="s">
        <v>24</v>
      </c>
      <c r="F1890" s="8" t="s">
        <v>58</v>
      </c>
      <c r="G1890" s="8" t="s">
        <v>29</v>
      </c>
      <c r="H1890" t="s">
        <v>16</v>
      </c>
      <c r="I1890" s="4">
        <v>3400</v>
      </c>
      <c r="J1890" s="8">
        <v>10</v>
      </c>
      <c r="K1890" s="4">
        <f t="shared" si="54"/>
        <v>34000</v>
      </c>
      <c r="L1890" s="4">
        <f t="shared" si="55"/>
        <v>11900</v>
      </c>
      <c r="M1890" s="3">
        <v>0.35</v>
      </c>
    </row>
    <row r="1891" spans="2:13" x14ac:dyDescent="0.3">
      <c r="B1891" t="s">
        <v>65</v>
      </c>
      <c r="C1891" s="1" t="s">
        <v>63</v>
      </c>
      <c r="D1891" s="2">
        <v>44843</v>
      </c>
      <c r="E1891" s="8" t="s">
        <v>24</v>
      </c>
      <c r="F1891" s="8" t="s">
        <v>58</v>
      </c>
      <c r="G1891" s="8" t="s">
        <v>29</v>
      </c>
      <c r="H1891" t="s">
        <v>8</v>
      </c>
      <c r="I1891" s="4">
        <v>1200</v>
      </c>
      <c r="J1891" s="8">
        <v>8</v>
      </c>
      <c r="K1891" s="4">
        <f t="shared" si="54"/>
        <v>9600</v>
      </c>
      <c r="L1891" s="4">
        <f t="shared" si="55"/>
        <v>2880</v>
      </c>
      <c r="M1891" s="3">
        <v>0.3</v>
      </c>
    </row>
    <row r="1892" spans="2:13" x14ac:dyDescent="0.3">
      <c r="B1892" t="s">
        <v>60</v>
      </c>
      <c r="C1892" s="1" t="s">
        <v>63</v>
      </c>
      <c r="D1892" s="2">
        <v>44850</v>
      </c>
      <c r="E1892" s="8" t="s">
        <v>24</v>
      </c>
      <c r="F1892" s="8" t="s">
        <v>58</v>
      </c>
      <c r="G1892" s="8" t="s">
        <v>29</v>
      </c>
      <c r="H1892" t="s">
        <v>14</v>
      </c>
      <c r="I1892" s="4">
        <v>4500</v>
      </c>
      <c r="J1892" s="8">
        <v>9</v>
      </c>
      <c r="K1892" s="4">
        <f t="shared" ref="K1892:K1923" si="56">I1892*J1892</f>
        <v>40500</v>
      </c>
      <c r="L1892" s="4">
        <f t="shared" ref="L1892:L1923" si="57">K1892*M1892</f>
        <v>10125</v>
      </c>
      <c r="M1892" s="3">
        <v>0.25</v>
      </c>
    </row>
    <row r="1893" spans="2:13" x14ac:dyDescent="0.3">
      <c r="B1893" t="s">
        <v>65</v>
      </c>
      <c r="C1893" s="1" t="s">
        <v>63</v>
      </c>
      <c r="D1893" s="2">
        <v>44857</v>
      </c>
      <c r="E1893" s="8" t="s">
        <v>24</v>
      </c>
      <c r="F1893" s="8" t="s">
        <v>58</v>
      </c>
      <c r="G1893" s="8" t="s">
        <v>29</v>
      </c>
      <c r="H1893" t="s">
        <v>10</v>
      </c>
      <c r="I1893" s="4">
        <v>1700</v>
      </c>
      <c r="J1893" s="8">
        <v>11</v>
      </c>
      <c r="K1893" s="4">
        <f t="shared" si="56"/>
        <v>18700</v>
      </c>
      <c r="L1893" s="4">
        <f t="shared" si="57"/>
        <v>9350</v>
      </c>
      <c r="M1893" s="3">
        <v>0.5</v>
      </c>
    </row>
    <row r="1894" spans="2:13" x14ac:dyDescent="0.3">
      <c r="B1894" t="s">
        <v>65</v>
      </c>
      <c r="C1894" s="1" t="s">
        <v>63</v>
      </c>
      <c r="D1894" s="2">
        <v>44864</v>
      </c>
      <c r="E1894" s="8" t="s">
        <v>24</v>
      </c>
      <c r="F1894" s="8" t="s">
        <v>58</v>
      </c>
      <c r="G1894" s="8" t="s">
        <v>29</v>
      </c>
      <c r="H1894" t="s">
        <v>10</v>
      </c>
      <c r="I1894" s="4">
        <v>1700</v>
      </c>
      <c r="J1894" s="8">
        <v>5</v>
      </c>
      <c r="K1894" s="4">
        <f t="shared" si="56"/>
        <v>8500</v>
      </c>
      <c r="L1894" s="4">
        <f t="shared" si="57"/>
        <v>4250</v>
      </c>
      <c r="M1894" s="3">
        <v>0.5</v>
      </c>
    </row>
    <row r="1895" spans="2:13" x14ac:dyDescent="0.3">
      <c r="B1895" t="s">
        <v>65</v>
      </c>
      <c r="C1895" s="1" t="s">
        <v>63</v>
      </c>
      <c r="D1895" s="2">
        <v>44871</v>
      </c>
      <c r="E1895" s="8" t="s">
        <v>24</v>
      </c>
      <c r="F1895" s="8" t="s">
        <v>58</v>
      </c>
      <c r="G1895" s="8" t="s">
        <v>29</v>
      </c>
      <c r="H1895" t="s">
        <v>14</v>
      </c>
      <c r="I1895" s="4">
        <v>4500</v>
      </c>
      <c r="J1895" s="8">
        <v>15</v>
      </c>
      <c r="K1895" s="4">
        <f t="shared" si="56"/>
        <v>67500</v>
      </c>
      <c r="L1895" s="4">
        <f t="shared" si="57"/>
        <v>16875</v>
      </c>
      <c r="M1895" s="3">
        <v>0.25</v>
      </c>
    </row>
    <row r="1896" spans="2:13" x14ac:dyDescent="0.3">
      <c r="B1896" t="s">
        <v>60</v>
      </c>
      <c r="C1896" s="1" t="s">
        <v>63</v>
      </c>
      <c r="D1896" s="2">
        <v>44878</v>
      </c>
      <c r="E1896" s="8" t="s">
        <v>24</v>
      </c>
      <c r="F1896" s="8" t="s">
        <v>58</v>
      </c>
      <c r="G1896" s="8" t="s">
        <v>29</v>
      </c>
      <c r="H1896" t="s">
        <v>16</v>
      </c>
      <c r="I1896" s="4">
        <v>3400</v>
      </c>
      <c r="J1896" s="8">
        <v>10</v>
      </c>
      <c r="K1896" s="4">
        <f t="shared" si="56"/>
        <v>34000</v>
      </c>
      <c r="L1896" s="4">
        <f t="shared" si="57"/>
        <v>11900</v>
      </c>
      <c r="M1896" s="3">
        <v>0.35</v>
      </c>
    </row>
    <row r="1897" spans="2:13" x14ac:dyDescent="0.3">
      <c r="B1897" t="s">
        <v>61</v>
      </c>
      <c r="C1897" s="1" t="s">
        <v>63</v>
      </c>
      <c r="D1897" s="2">
        <v>44885</v>
      </c>
      <c r="E1897" s="8" t="s">
        <v>24</v>
      </c>
      <c r="F1897" s="8" t="s">
        <v>58</v>
      </c>
      <c r="G1897" s="8" t="s">
        <v>29</v>
      </c>
      <c r="H1897" t="s">
        <v>15</v>
      </c>
      <c r="I1897" s="4">
        <v>5300</v>
      </c>
      <c r="J1897" s="8">
        <v>4</v>
      </c>
      <c r="K1897" s="4">
        <f t="shared" si="56"/>
        <v>21200</v>
      </c>
      <c r="L1897" s="4">
        <f t="shared" si="57"/>
        <v>6360</v>
      </c>
      <c r="M1897" s="3">
        <v>0.3</v>
      </c>
    </row>
    <row r="1898" spans="2:13" x14ac:dyDescent="0.3">
      <c r="B1898" t="s">
        <v>65</v>
      </c>
      <c r="C1898" s="1" t="s">
        <v>63</v>
      </c>
      <c r="D1898" s="2">
        <v>44892</v>
      </c>
      <c r="E1898" s="8" t="s">
        <v>24</v>
      </c>
      <c r="F1898" s="8" t="s">
        <v>58</v>
      </c>
      <c r="G1898" s="8" t="s">
        <v>29</v>
      </c>
      <c r="H1898" t="s">
        <v>18</v>
      </c>
      <c r="I1898" s="4">
        <v>4600</v>
      </c>
      <c r="J1898" s="8">
        <v>6</v>
      </c>
      <c r="K1898" s="4">
        <f t="shared" si="56"/>
        <v>27600</v>
      </c>
      <c r="L1898" s="4">
        <f t="shared" si="57"/>
        <v>6900</v>
      </c>
      <c r="M1898" s="3">
        <v>0.25</v>
      </c>
    </row>
    <row r="1899" spans="2:13" x14ac:dyDescent="0.3">
      <c r="B1899" t="s">
        <v>60</v>
      </c>
      <c r="C1899" s="1" t="s">
        <v>64</v>
      </c>
      <c r="D1899" s="2">
        <v>44899</v>
      </c>
      <c r="E1899" s="8" t="s">
        <v>24</v>
      </c>
      <c r="F1899" s="8" t="s">
        <v>58</v>
      </c>
      <c r="G1899" s="8" t="s">
        <v>29</v>
      </c>
      <c r="H1899" t="s">
        <v>16</v>
      </c>
      <c r="I1899" s="4">
        <v>3400</v>
      </c>
      <c r="J1899" s="8">
        <v>2</v>
      </c>
      <c r="K1899" s="4">
        <f t="shared" si="56"/>
        <v>6800</v>
      </c>
      <c r="L1899" s="4">
        <f t="shared" si="57"/>
        <v>2380</v>
      </c>
      <c r="M1899" s="3">
        <v>0.35</v>
      </c>
    </row>
    <row r="1900" spans="2:13" x14ac:dyDescent="0.3">
      <c r="B1900" t="s">
        <v>65</v>
      </c>
      <c r="C1900" s="1" t="s">
        <v>63</v>
      </c>
      <c r="D1900" s="2">
        <v>44906</v>
      </c>
      <c r="E1900" s="8" t="s">
        <v>24</v>
      </c>
      <c r="F1900" s="8" t="s">
        <v>58</v>
      </c>
      <c r="G1900" s="8" t="s">
        <v>29</v>
      </c>
      <c r="H1900" t="s">
        <v>18</v>
      </c>
      <c r="I1900" s="4">
        <v>4600</v>
      </c>
      <c r="J1900" s="8">
        <v>7</v>
      </c>
      <c r="K1900" s="4">
        <f t="shared" si="56"/>
        <v>32200</v>
      </c>
      <c r="L1900" s="4">
        <f t="shared" si="57"/>
        <v>8050</v>
      </c>
      <c r="M1900" s="3">
        <v>0.25</v>
      </c>
    </row>
    <row r="1901" spans="2:13" x14ac:dyDescent="0.3">
      <c r="B1901" t="s">
        <v>60</v>
      </c>
      <c r="C1901" s="1" t="s">
        <v>63</v>
      </c>
      <c r="D1901" s="2">
        <v>44913</v>
      </c>
      <c r="E1901" s="8" t="s">
        <v>24</v>
      </c>
      <c r="F1901" s="8" t="s">
        <v>58</v>
      </c>
      <c r="G1901" s="8" t="s">
        <v>29</v>
      </c>
      <c r="H1901" t="s">
        <v>15</v>
      </c>
      <c r="I1901" s="4">
        <v>5300</v>
      </c>
      <c r="J1901" s="8">
        <v>8</v>
      </c>
      <c r="K1901" s="4">
        <f t="shared" si="56"/>
        <v>42400</v>
      </c>
      <c r="L1901" s="4">
        <f t="shared" si="57"/>
        <v>12720</v>
      </c>
      <c r="M1901" s="3">
        <v>0.3</v>
      </c>
    </row>
    <row r="1902" spans="2:13" x14ac:dyDescent="0.3">
      <c r="B1902" t="s">
        <v>60</v>
      </c>
      <c r="C1902" s="1" t="s">
        <v>63</v>
      </c>
      <c r="D1902" s="2">
        <v>44920</v>
      </c>
      <c r="E1902" s="8" t="s">
        <v>24</v>
      </c>
      <c r="F1902" s="8" t="s">
        <v>58</v>
      </c>
      <c r="G1902" s="8" t="s">
        <v>29</v>
      </c>
      <c r="H1902" t="s">
        <v>8</v>
      </c>
      <c r="I1902" s="4">
        <v>1200</v>
      </c>
      <c r="J1902" s="8">
        <v>5</v>
      </c>
      <c r="K1902" s="4">
        <f t="shared" si="56"/>
        <v>6000</v>
      </c>
      <c r="L1902" s="4">
        <f t="shared" si="57"/>
        <v>1800</v>
      </c>
      <c r="M1902" s="3">
        <v>0.3</v>
      </c>
    </row>
    <row r="1903" spans="2:13" x14ac:dyDescent="0.3">
      <c r="B1903" t="s">
        <v>62</v>
      </c>
      <c r="C1903" s="1" t="s">
        <v>64</v>
      </c>
      <c r="D1903" s="2">
        <v>44927</v>
      </c>
      <c r="E1903" s="8" t="s">
        <v>24</v>
      </c>
      <c r="F1903" s="8" t="s">
        <v>58</v>
      </c>
      <c r="G1903" s="8" t="s">
        <v>29</v>
      </c>
      <c r="H1903" t="s">
        <v>17</v>
      </c>
      <c r="I1903" s="4">
        <v>5130</v>
      </c>
      <c r="J1903" s="8">
        <v>7</v>
      </c>
      <c r="K1903" s="4">
        <f t="shared" si="56"/>
        <v>35910</v>
      </c>
      <c r="L1903" s="4">
        <f t="shared" si="57"/>
        <v>14364</v>
      </c>
      <c r="M1903" s="3">
        <v>0.4</v>
      </c>
    </row>
    <row r="1904" spans="2:13" x14ac:dyDescent="0.3">
      <c r="B1904" t="s">
        <v>61</v>
      </c>
      <c r="C1904" s="1" t="s">
        <v>63</v>
      </c>
      <c r="D1904" s="2">
        <v>44934</v>
      </c>
      <c r="E1904" s="8" t="s">
        <v>24</v>
      </c>
      <c r="F1904" s="8" t="s">
        <v>58</v>
      </c>
      <c r="G1904" s="8" t="s">
        <v>29</v>
      </c>
      <c r="H1904" t="s">
        <v>20</v>
      </c>
      <c r="I1904" s="4">
        <v>8902</v>
      </c>
      <c r="J1904" s="8">
        <v>6</v>
      </c>
      <c r="K1904" s="4">
        <f t="shared" si="56"/>
        <v>53412</v>
      </c>
      <c r="L1904" s="4">
        <f t="shared" si="57"/>
        <v>18694.199999999997</v>
      </c>
      <c r="M1904" s="3">
        <v>0.35</v>
      </c>
    </row>
    <row r="1905" spans="2:13" x14ac:dyDescent="0.3">
      <c r="B1905" t="s">
        <v>65</v>
      </c>
      <c r="C1905" s="1" t="s">
        <v>63</v>
      </c>
      <c r="D1905" s="2">
        <v>44941</v>
      </c>
      <c r="E1905" s="8" t="s">
        <v>24</v>
      </c>
      <c r="F1905" s="8" t="s">
        <v>58</v>
      </c>
      <c r="G1905" s="8" t="s">
        <v>29</v>
      </c>
      <c r="H1905" t="s">
        <v>18</v>
      </c>
      <c r="I1905" s="4">
        <v>4600</v>
      </c>
      <c r="J1905" s="8">
        <v>11</v>
      </c>
      <c r="K1905" s="4">
        <f t="shared" si="56"/>
        <v>50600</v>
      </c>
      <c r="L1905" s="4">
        <f t="shared" si="57"/>
        <v>12650</v>
      </c>
      <c r="M1905" s="3">
        <v>0.25</v>
      </c>
    </row>
    <row r="1906" spans="2:13" x14ac:dyDescent="0.3">
      <c r="B1906" t="s">
        <v>66</v>
      </c>
      <c r="C1906" s="1" t="s">
        <v>63</v>
      </c>
      <c r="D1906" s="2">
        <v>44948</v>
      </c>
      <c r="E1906" s="8" t="s">
        <v>24</v>
      </c>
      <c r="F1906" s="8" t="s">
        <v>58</v>
      </c>
      <c r="G1906" s="8" t="s">
        <v>29</v>
      </c>
      <c r="H1906" t="s">
        <v>12</v>
      </c>
      <c r="I1906" s="4">
        <v>500</v>
      </c>
      <c r="J1906" s="8">
        <v>1</v>
      </c>
      <c r="K1906" s="4">
        <f t="shared" si="56"/>
        <v>500</v>
      </c>
      <c r="L1906" s="4">
        <f t="shared" si="57"/>
        <v>125</v>
      </c>
      <c r="M1906" s="3">
        <v>0.25</v>
      </c>
    </row>
    <row r="1907" spans="2:13" x14ac:dyDescent="0.3">
      <c r="B1907" t="s">
        <v>60</v>
      </c>
      <c r="C1907" s="1" t="s">
        <v>63</v>
      </c>
      <c r="D1907" s="2">
        <v>44955</v>
      </c>
      <c r="E1907" s="8" t="s">
        <v>24</v>
      </c>
      <c r="F1907" s="8" t="s">
        <v>58</v>
      </c>
      <c r="G1907" s="8" t="s">
        <v>29</v>
      </c>
      <c r="H1907" t="s">
        <v>20</v>
      </c>
      <c r="I1907" s="4">
        <v>8902</v>
      </c>
      <c r="J1907" s="8">
        <v>5</v>
      </c>
      <c r="K1907" s="4">
        <f t="shared" si="56"/>
        <v>44510</v>
      </c>
      <c r="L1907" s="4">
        <f t="shared" si="57"/>
        <v>15578.499999999998</v>
      </c>
      <c r="M1907" s="3">
        <v>0.35</v>
      </c>
    </row>
    <row r="1908" spans="2:13" x14ac:dyDescent="0.3">
      <c r="B1908" t="s">
        <v>65</v>
      </c>
      <c r="C1908" s="1" t="s">
        <v>64</v>
      </c>
      <c r="D1908" s="2">
        <v>44962</v>
      </c>
      <c r="E1908" s="8" t="s">
        <v>24</v>
      </c>
      <c r="F1908" s="8" t="s">
        <v>58</v>
      </c>
      <c r="G1908" s="8" t="s">
        <v>29</v>
      </c>
      <c r="H1908" t="s">
        <v>10</v>
      </c>
      <c r="I1908" s="4">
        <v>1700</v>
      </c>
      <c r="J1908" s="8">
        <v>5</v>
      </c>
      <c r="K1908" s="4">
        <f t="shared" si="56"/>
        <v>8500</v>
      </c>
      <c r="L1908" s="4">
        <f t="shared" si="57"/>
        <v>4250</v>
      </c>
      <c r="M1908" s="3">
        <v>0.5</v>
      </c>
    </row>
    <row r="1909" spans="2:13" x14ac:dyDescent="0.3">
      <c r="B1909" t="s">
        <v>66</v>
      </c>
      <c r="C1909" s="1" t="s">
        <v>63</v>
      </c>
      <c r="D1909" s="2">
        <v>44969</v>
      </c>
      <c r="E1909" s="8" t="s">
        <v>24</v>
      </c>
      <c r="F1909" s="8" t="s">
        <v>58</v>
      </c>
      <c r="G1909" s="8" t="s">
        <v>29</v>
      </c>
      <c r="H1909" t="s">
        <v>12</v>
      </c>
      <c r="I1909" s="4">
        <v>500</v>
      </c>
      <c r="J1909" s="8">
        <v>12</v>
      </c>
      <c r="K1909" s="4">
        <f t="shared" si="56"/>
        <v>6000</v>
      </c>
      <c r="L1909" s="4">
        <f t="shared" si="57"/>
        <v>1500</v>
      </c>
      <c r="M1909" s="3">
        <v>0.25</v>
      </c>
    </row>
    <row r="1910" spans="2:13" x14ac:dyDescent="0.3">
      <c r="B1910" t="s">
        <v>60</v>
      </c>
      <c r="C1910" s="1" t="s">
        <v>63</v>
      </c>
      <c r="D1910" s="2">
        <v>44976</v>
      </c>
      <c r="E1910" s="8" t="s">
        <v>24</v>
      </c>
      <c r="F1910" s="8" t="s">
        <v>58</v>
      </c>
      <c r="G1910" s="8" t="s">
        <v>29</v>
      </c>
      <c r="H1910" t="s">
        <v>14</v>
      </c>
      <c r="I1910" s="4">
        <v>4500</v>
      </c>
      <c r="J1910" s="8">
        <v>12</v>
      </c>
      <c r="K1910" s="4">
        <f t="shared" si="56"/>
        <v>54000</v>
      </c>
      <c r="L1910" s="4">
        <f t="shared" si="57"/>
        <v>13500</v>
      </c>
      <c r="M1910" s="3">
        <v>0.25</v>
      </c>
    </row>
    <row r="1911" spans="2:13" x14ac:dyDescent="0.3">
      <c r="B1911" t="s">
        <v>65</v>
      </c>
      <c r="C1911" s="1" t="s">
        <v>63</v>
      </c>
      <c r="D1911" s="2">
        <v>44983</v>
      </c>
      <c r="E1911" s="8" t="s">
        <v>24</v>
      </c>
      <c r="F1911" s="8" t="s">
        <v>58</v>
      </c>
      <c r="G1911" s="8" t="s">
        <v>29</v>
      </c>
      <c r="H1911" t="s">
        <v>15</v>
      </c>
      <c r="I1911" s="4">
        <v>5300</v>
      </c>
      <c r="J1911" s="8">
        <v>8</v>
      </c>
      <c r="K1911" s="4">
        <f t="shared" si="56"/>
        <v>42400</v>
      </c>
      <c r="L1911" s="4">
        <f t="shared" si="57"/>
        <v>12720</v>
      </c>
      <c r="M1911" s="3">
        <v>0.3</v>
      </c>
    </row>
    <row r="1912" spans="2:13" x14ac:dyDescent="0.3">
      <c r="B1912" t="s">
        <v>66</v>
      </c>
      <c r="C1912" s="1" t="s">
        <v>64</v>
      </c>
      <c r="D1912" s="2">
        <v>44990</v>
      </c>
      <c r="E1912" s="8" t="s">
        <v>24</v>
      </c>
      <c r="F1912" s="8" t="s">
        <v>58</v>
      </c>
      <c r="G1912" s="8" t="s">
        <v>29</v>
      </c>
      <c r="H1912" t="s">
        <v>11</v>
      </c>
      <c r="I1912" s="4">
        <v>300</v>
      </c>
      <c r="J1912" s="8">
        <v>8</v>
      </c>
      <c r="K1912" s="4">
        <f t="shared" si="56"/>
        <v>2400</v>
      </c>
      <c r="L1912" s="4">
        <f t="shared" si="57"/>
        <v>360</v>
      </c>
      <c r="M1912" s="3">
        <v>0.15</v>
      </c>
    </row>
    <row r="1913" spans="2:13" x14ac:dyDescent="0.3">
      <c r="B1913" t="s">
        <v>66</v>
      </c>
      <c r="C1913" s="1" t="s">
        <v>63</v>
      </c>
      <c r="D1913" s="2">
        <v>44997</v>
      </c>
      <c r="E1913" s="8" t="s">
        <v>24</v>
      </c>
      <c r="F1913" s="8" t="s">
        <v>58</v>
      </c>
      <c r="G1913" s="8" t="s">
        <v>29</v>
      </c>
      <c r="H1913" t="s">
        <v>13</v>
      </c>
      <c r="I1913" s="4">
        <v>3200</v>
      </c>
      <c r="J1913" s="8">
        <v>8</v>
      </c>
      <c r="K1913" s="4">
        <f t="shared" si="56"/>
        <v>25600</v>
      </c>
      <c r="L1913" s="4">
        <f t="shared" si="57"/>
        <v>5120</v>
      </c>
      <c r="M1913" s="3">
        <v>0.2</v>
      </c>
    </row>
    <row r="1914" spans="2:13" x14ac:dyDescent="0.3">
      <c r="B1914" t="s">
        <v>62</v>
      </c>
      <c r="C1914" s="1" t="s">
        <v>64</v>
      </c>
      <c r="D1914" s="2">
        <v>45004</v>
      </c>
      <c r="E1914" s="8" t="s">
        <v>24</v>
      </c>
      <c r="F1914" s="8" t="s">
        <v>58</v>
      </c>
      <c r="G1914" s="8" t="s">
        <v>29</v>
      </c>
      <c r="H1914" t="s">
        <v>9</v>
      </c>
      <c r="I1914" s="4">
        <v>1500</v>
      </c>
      <c r="J1914" s="8">
        <v>15</v>
      </c>
      <c r="K1914" s="4">
        <f t="shared" si="56"/>
        <v>22500</v>
      </c>
      <c r="L1914" s="4">
        <f t="shared" si="57"/>
        <v>9000</v>
      </c>
      <c r="M1914" s="3">
        <v>0.4</v>
      </c>
    </row>
    <row r="1915" spans="2:13" x14ac:dyDescent="0.3">
      <c r="B1915" t="s">
        <v>65</v>
      </c>
      <c r="C1915" s="1" t="s">
        <v>63</v>
      </c>
      <c r="D1915" s="2">
        <v>45011</v>
      </c>
      <c r="E1915" s="8" t="s">
        <v>24</v>
      </c>
      <c r="F1915" s="8" t="s">
        <v>58</v>
      </c>
      <c r="G1915" s="8" t="s">
        <v>29</v>
      </c>
      <c r="H1915" t="s">
        <v>11</v>
      </c>
      <c r="I1915" s="4">
        <v>300</v>
      </c>
      <c r="J1915" s="8">
        <v>12</v>
      </c>
      <c r="K1915" s="4">
        <f t="shared" si="56"/>
        <v>3600</v>
      </c>
      <c r="L1915" s="4">
        <f t="shared" si="57"/>
        <v>540</v>
      </c>
      <c r="M1915" s="3">
        <v>0.15</v>
      </c>
    </row>
    <row r="1916" spans="2:13" x14ac:dyDescent="0.3">
      <c r="B1916" t="s">
        <v>65</v>
      </c>
      <c r="C1916" s="1" t="s">
        <v>64</v>
      </c>
      <c r="D1916" s="2">
        <v>45018</v>
      </c>
      <c r="E1916" s="8" t="s">
        <v>24</v>
      </c>
      <c r="F1916" s="8" t="s">
        <v>58</v>
      </c>
      <c r="G1916" s="8" t="s">
        <v>29</v>
      </c>
      <c r="H1916" t="s">
        <v>18</v>
      </c>
      <c r="I1916" s="4">
        <v>4600</v>
      </c>
      <c r="J1916" s="8">
        <v>1</v>
      </c>
      <c r="K1916" s="4">
        <f t="shared" si="56"/>
        <v>4600</v>
      </c>
      <c r="L1916" s="4">
        <f t="shared" si="57"/>
        <v>1150</v>
      </c>
      <c r="M1916" s="3">
        <v>0.25</v>
      </c>
    </row>
    <row r="1917" spans="2:13" x14ac:dyDescent="0.3">
      <c r="B1917" t="s">
        <v>65</v>
      </c>
      <c r="C1917" s="1" t="s">
        <v>63</v>
      </c>
      <c r="D1917" s="2">
        <v>45025</v>
      </c>
      <c r="E1917" s="8" t="s">
        <v>24</v>
      </c>
      <c r="F1917" s="8" t="s">
        <v>58</v>
      </c>
      <c r="G1917" s="8" t="s">
        <v>29</v>
      </c>
      <c r="H1917" t="s">
        <v>12</v>
      </c>
      <c r="I1917" s="4">
        <v>500</v>
      </c>
      <c r="J1917" s="8">
        <v>3</v>
      </c>
      <c r="K1917" s="4">
        <f t="shared" si="56"/>
        <v>1500</v>
      </c>
      <c r="L1917" s="4">
        <f t="shared" si="57"/>
        <v>375</v>
      </c>
      <c r="M1917" s="3">
        <v>0.25</v>
      </c>
    </row>
    <row r="1918" spans="2:13" x14ac:dyDescent="0.3">
      <c r="B1918" t="s">
        <v>66</v>
      </c>
      <c r="C1918" s="1" t="s">
        <v>64</v>
      </c>
      <c r="D1918" s="2">
        <v>45032</v>
      </c>
      <c r="E1918" s="8" t="s">
        <v>24</v>
      </c>
      <c r="F1918" s="8" t="s">
        <v>58</v>
      </c>
      <c r="G1918" s="8" t="s">
        <v>29</v>
      </c>
      <c r="H1918" t="s">
        <v>8</v>
      </c>
      <c r="I1918" s="4">
        <v>1200</v>
      </c>
      <c r="J1918" s="8">
        <v>10</v>
      </c>
      <c r="K1918" s="4">
        <f t="shared" si="56"/>
        <v>12000</v>
      </c>
      <c r="L1918" s="4">
        <f t="shared" si="57"/>
        <v>3600</v>
      </c>
      <c r="M1918" s="3">
        <v>0.3</v>
      </c>
    </row>
    <row r="1919" spans="2:13" x14ac:dyDescent="0.3">
      <c r="B1919" t="s">
        <v>66</v>
      </c>
      <c r="C1919" s="1" t="s">
        <v>64</v>
      </c>
      <c r="D1919" s="2">
        <v>45039</v>
      </c>
      <c r="E1919" s="8" t="s">
        <v>24</v>
      </c>
      <c r="F1919" s="8" t="s">
        <v>58</v>
      </c>
      <c r="G1919" s="8" t="s">
        <v>29</v>
      </c>
      <c r="H1919" t="s">
        <v>9</v>
      </c>
      <c r="I1919" s="4">
        <v>1500</v>
      </c>
      <c r="J1919" s="8">
        <v>5</v>
      </c>
      <c r="K1919" s="4">
        <f t="shared" si="56"/>
        <v>7500</v>
      </c>
      <c r="L1919" s="4">
        <f t="shared" si="57"/>
        <v>3000</v>
      </c>
      <c r="M1919" s="3">
        <v>0.4</v>
      </c>
    </row>
    <row r="1920" spans="2:13" x14ac:dyDescent="0.3">
      <c r="B1920" t="s">
        <v>65</v>
      </c>
      <c r="C1920" s="1" t="s">
        <v>63</v>
      </c>
      <c r="D1920" s="2">
        <v>45046</v>
      </c>
      <c r="E1920" s="8" t="s">
        <v>24</v>
      </c>
      <c r="F1920" s="8" t="s">
        <v>58</v>
      </c>
      <c r="G1920" s="8" t="s">
        <v>29</v>
      </c>
      <c r="H1920" t="s">
        <v>9</v>
      </c>
      <c r="I1920" s="4">
        <v>1500</v>
      </c>
      <c r="J1920" s="8">
        <v>6</v>
      </c>
      <c r="K1920" s="4">
        <f t="shared" si="56"/>
        <v>9000</v>
      </c>
      <c r="L1920" s="4">
        <f t="shared" si="57"/>
        <v>3600</v>
      </c>
      <c r="M1920" s="3">
        <v>0.4</v>
      </c>
    </row>
    <row r="1921" spans="2:13" x14ac:dyDescent="0.3">
      <c r="B1921" t="s">
        <v>65</v>
      </c>
      <c r="C1921" s="1" t="s">
        <v>63</v>
      </c>
      <c r="D1921" s="2">
        <v>45053</v>
      </c>
      <c r="E1921" s="8" t="s">
        <v>24</v>
      </c>
      <c r="F1921" s="8" t="s">
        <v>58</v>
      </c>
      <c r="G1921" s="8" t="s">
        <v>29</v>
      </c>
      <c r="H1921" t="s">
        <v>13</v>
      </c>
      <c r="I1921" s="4">
        <v>3200</v>
      </c>
      <c r="J1921" s="8">
        <v>7</v>
      </c>
      <c r="K1921" s="4">
        <f t="shared" si="56"/>
        <v>22400</v>
      </c>
      <c r="L1921" s="4">
        <f t="shared" si="57"/>
        <v>4480</v>
      </c>
      <c r="M1921" s="3">
        <v>0.2</v>
      </c>
    </row>
    <row r="1922" spans="2:13" x14ac:dyDescent="0.3">
      <c r="B1922" t="s">
        <v>60</v>
      </c>
      <c r="C1922" s="1" t="s">
        <v>63</v>
      </c>
      <c r="D1922" s="2">
        <v>45060</v>
      </c>
      <c r="E1922" s="8" t="s">
        <v>24</v>
      </c>
      <c r="F1922" s="8" t="s">
        <v>58</v>
      </c>
      <c r="G1922" s="8" t="s">
        <v>29</v>
      </c>
      <c r="H1922" t="s">
        <v>11</v>
      </c>
      <c r="I1922" s="4">
        <v>300</v>
      </c>
      <c r="J1922" s="8">
        <v>11</v>
      </c>
      <c r="K1922" s="4">
        <f t="shared" si="56"/>
        <v>3300</v>
      </c>
      <c r="L1922" s="4">
        <f t="shared" si="57"/>
        <v>495</v>
      </c>
      <c r="M1922" s="3">
        <v>0.15</v>
      </c>
    </row>
    <row r="1923" spans="2:13" x14ac:dyDescent="0.3">
      <c r="B1923" t="s">
        <v>62</v>
      </c>
      <c r="C1923" s="1" t="s">
        <v>63</v>
      </c>
      <c r="D1923" s="2">
        <v>45067</v>
      </c>
      <c r="E1923" s="8" t="s">
        <v>24</v>
      </c>
      <c r="F1923" s="8" t="s">
        <v>58</v>
      </c>
      <c r="G1923" s="8" t="s">
        <v>29</v>
      </c>
      <c r="H1923" t="s">
        <v>18</v>
      </c>
      <c r="I1923" s="4">
        <v>4600</v>
      </c>
      <c r="J1923" s="8">
        <v>2</v>
      </c>
      <c r="K1923" s="4">
        <f t="shared" si="56"/>
        <v>9200</v>
      </c>
      <c r="L1923" s="4">
        <f t="shared" si="57"/>
        <v>2300</v>
      </c>
      <c r="M1923" s="3">
        <v>0.25</v>
      </c>
    </row>
    <row r="1924" spans="2:13" x14ac:dyDescent="0.3">
      <c r="B1924" t="s">
        <v>60</v>
      </c>
      <c r="C1924" s="1" t="s">
        <v>64</v>
      </c>
      <c r="D1924" s="2">
        <v>45074</v>
      </c>
      <c r="E1924" s="8" t="s">
        <v>24</v>
      </c>
      <c r="F1924" s="8" t="s">
        <v>58</v>
      </c>
      <c r="G1924" s="8" t="s">
        <v>29</v>
      </c>
      <c r="H1924" t="s">
        <v>14</v>
      </c>
      <c r="I1924" s="4">
        <v>4500</v>
      </c>
      <c r="J1924" s="8">
        <v>1</v>
      </c>
      <c r="K1924" s="4">
        <f t="shared" ref="K1924:K1937" si="58">I1924*J1924</f>
        <v>4500</v>
      </c>
      <c r="L1924" s="4">
        <f t="shared" ref="L1924:L1937" si="59">K1924*M1924</f>
        <v>1125</v>
      </c>
      <c r="M1924" s="3">
        <v>0.25</v>
      </c>
    </row>
    <row r="1925" spans="2:13" x14ac:dyDescent="0.3">
      <c r="B1925" t="s">
        <v>65</v>
      </c>
      <c r="C1925" s="1" t="s">
        <v>63</v>
      </c>
      <c r="D1925" s="2">
        <v>45081</v>
      </c>
      <c r="E1925" s="8" t="s">
        <v>24</v>
      </c>
      <c r="F1925" s="8" t="s">
        <v>58</v>
      </c>
      <c r="G1925" s="8" t="s">
        <v>29</v>
      </c>
      <c r="H1925" t="s">
        <v>8</v>
      </c>
      <c r="I1925" s="4">
        <v>1200</v>
      </c>
      <c r="J1925" s="8">
        <v>5</v>
      </c>
      <c r="K1925" s="4">
        <f t="shared" si="58"/>
        <v>6000</v>
      </c>
      <c r="L1925" s="4">
        <f t="shared" si="59"/>
        <v>1800</v>
      </c>
      <c r="M1925" s="3">
        <v>0.3</v>
      </c>
    </row>
    <row r="1926" spans="2:13" x14ac:dyDescent="0.3">
      <c r="B1926" t="s">
        <v>60</v>
      </c>
      <c r="C1926" s="1" t="s">
        <v>64</v>
      </c>
      <c r="D1926" s="2">
        <v>45088</v>
      </c>
      <c r="E1926" s="8" t="s">
        <v>24</v>
      </c>
      <c r="F1926" s="8" t="s">
        <v>58</v>
      </c>
      <c r="G1926" s="8" t="s">
        <v>29</v>
      </c>
      <c r="H1926" t="s">
        <v>20</v>
      </c>
      <c r="I1926" s="4">
        <v>8902</v>
      </c>
      <c r="J1926" s="8">
        <v>15</v>
      </c>
      <c r="K1926" s="4">
        <f t="shared" si="58"/>
        <v>133530</v>
      </c>
      <c r="L1926" s="4">
        <f t="shared" si="59"/>
        <v>46735.5</v>
      </c>
      <c r="M1926" s="3">
        <v>0.35</v>
      </c>
    </row>
    <row r="1927" spans="2:13" x14ac:dyDescent="0.3">
      <c r="B1927" t="s">
        <v>66</v>
      </c>
      <c r="C1927" s="1" t="s">
        <v>63</v>
      </c>
      <c r="D1927" s="2">
        <v>45095</v>
      </c>
      <c r="E1927" s="8" t="s">
        <v>24</v>
      </c>
      <c r="F1927" s="8" t="s">
        <v>58</v>
      </c>
      <c r="G1927" s="8" t="s">
        <v>29</v>
      </c>
      <c r="H1927" t="s">
        <v>18</v>
      </c>
      <c r="I1927" s="4">
        <v>4600</v>
      </c>
      <c r="J1927" s="8">
        <v>7</v>
      </c>
      <c r="K1927" s="4">
        <f t="shared" si="58"/>
        <v>32200</v>
      </c>
      <c r="L1927" s="4">
        <f t="shared" si="59"/>
        <v>8050</v>
      </c>
      <c r="M1927" s="3">
        <v>0.25</v>
      </c>
    </row>
    <row r="1928" spans="2:13" x14ac:dyDescent="0.3">
      <c r="B1928" t="s">
        <v>65</v>
      </c>
      <c r="C1928" s="1" t="s">
        <v>64</v>
      </c>
      <c r="D1928" s="2">
        <v>45102</v>
      </c>
      <c r="E1928" s="8" t="s">
        <v>24</v>
      </c>
      <c r="F1928" s="8" t="s">
        <v>58</v>
      </c>
      <c r="G1928" s="8" t="s">
        <v>29</v>
      </c>
      <c r="H1928" t="s">
        <v>13</v>
      </c>
      <c r="I1928" s="4">
        <v>3200</v>
      </c>
      <c r="J1928" s="8">
        <v>11</v>
      </c>
      <c r="K1928" s="4">
        <f t="shared" si="58"/>
        <v>35200</v>
      </c>
      <c r="L1928" s="4">
        <f t="shared" si="59"/>
        <v>7040</v>
      </c>
      <c r="M1928" s="3">
        <v>0.2</v>
      </c>
    </row>
    <row r="1929" spans="2:13" x14ac:dyDescent="0.3">
      <c r="B1929" t="s">
        <v>66</v>
      </c>
      <c r="C1929" s="1" t="s">
        <v>63</v>
      </c>
      <c r="D1929" s="2">
        <v>45109</v>
      </c>
      <c r="E1929" s="8" t="s">
        <v>24</v>
      </c>
      <c r="F1929" s="8" t="s">
        <v>58</v>
      </c>
      <c r="G1929" s="8" t="s">
        <v>29</v>
      </c>
      <c r="H1929" t="s">
        <v>13</v>
      </c>
      <c r="I1929" s="4">
        <v>3200</v>
      </c>
      <c r="J1929" s="8">
        <v>9</v>
      </c>
      <c r="K1929" s="4">
        <f t="shared" si="58"/>
        <v>28800</v>
      </c>
      <c r="L1929" s="4">
        <f t="shared" si="59"/>
        <v>5760</v>
      </c>
      <c r="M1929" s="3">
        <v>0.2</v>
      </c>
    </row>
    <row r="1930" spans="2:13" x14ac:dyDescent="0.3">
      <c r="B1930" t="s">
        <v>65</v>
      </c>
      <c r="C1930" s="1" t="s">
        <v>63</v>
      </c>
      <c r="D1930" s="2">
        <v>45116</v>
      </c>
      <c r="E1930" s="8" t="s">
        <v>24</v>
      </c>
      <c r="F1930" s="8" t="s">
        <v>58</v>
      </c>
      <c r="G1930" s="8" t="s">
        <v>29</v>
      </c>
      <c r="H1930" t="s">
        <v>16</v>
      </c>
      <c r="I1930" s="4">
        <v>3400</v>
      </c>
      <c r="J1930" s="8">
        <v>5</v>
      </c>
      <c r="K1930" s="4">
        <f t="shared" si="58"/>
        <v>17000</v>
      </c>
      <c r="L1930" s="4">
        <f t="shared" si="59"/>
        <v>5950</v>
      </c>
      <c r="M1930" s="3">
        <v>0.35</v>
      </c>
    </row>
    <row r="1931" spans="2:13" x14ac:dyDescent="0.3">
      <c r="B1931" t="s">
        <v>65</v>
      </c>
      <c r="C1931" s="1" t="s">
        <v>63</v>
      </c>
      <c r="D1931" s="2">
        <v>45123</v>
      </c>
      <c r="E1931" s="8" t="s">
        <v>24</v>
      </c>
      <c r="F1931" s="8" t="s">
        <v>58</v>
      </c>
      <c r="G1931" s="8" t="s">
        <v>29</v>
      </c>
      <c r="H1931" t="s">
        <v>18</v>
      </c>
      <c r="I1931" s="4">
        <v>4600</v>
      </c>
      <c r="J1931" s="8">
        <v>8</v>
      </c>
      <c r="K1931" s="4">
        <f t="shared" si="58"/>
        <v>36800</v>
      </c>
      <c r="L1931" s="4">
        <f t="shared" si="59"/>
        <v>9200</v>
      </c>
      <c r="M1931" s="3">
        <v>0.25</v>
      </c>
    </row>
    <row r="1932" spans="2:13" x14ac:dyDescent="0.3">
      <c r="B1932" t="s">
        <v>66</v>
      </c>
      <c r="C1932" s="1" t="s">
        <v>64</v>
      </c>
      <c r="D1932" s="2">
        <v>45130</v>
      </c>
      <c r="E1932" s="8" t="s">
        <v>24</v>
      </c>
      <c r="F1932" s="8" t="s">
        <v>58</v>
      </c>
      <c r="G1932" s="8" t="s">
        <v>29</v>
      </c>
      <c r="H1932" t="s">
        <v>18</v>
      </c>
      <c r="I1932" s="4">
        <v>4600</v>
      </c>
      <c r="J1932" s="8">
        <v>7</v>
      </c>
      <c r="K1932" s="4">
        <f t="shared" si="58"/>
        <v>32200</v>
      </c>
      <c r="L1932" s="4">
        <f t="shared" si="59"/>
        <v>8050</v>
      </c>
      <c r="M1932" s="3">
        <v>0.25</v>
      </c>
    </row>
    <row r="1933" spans="2:13" x14ac:dyDescent="0.3">
      <c r="B1933" t="s">
        <v>66</v>
      </c>
      <c r="C1933" s="1" t="s">
        <v>63</v>
      </c>
      <c r="D1933" s="2">
        <v>45137</v>
      </c>
      <c r="E1933" s="8" t="s">
        <v>24</v>
      </c>
      <c r="F1933" s="8" t="s">
        <v>58</v>
      </c>
      <c r="G1933" s="8" t="s">
        <v>29</v>
      </c>
      <c r="H1933" t="s">
        <v>20</v>
      </c>
      <c r="I1933" s="4">
        <v>8902</v>
      </c>
      <c r="J1933" s="8">
        <v>11</v>
      </c>
      <c r="K1933" s="4">
        <f t="shared" si="58"/>
        <v>97922</v>
      </c>
      <c r="L1933" s="4">
        <f t="shared" si="59"/>
        <v>34272.699999999997</v>
      </c>
      <c r="M1933" s="3">
        <v>0.35</v>
      </c>
    </row>
    <row r="1934" spans="2:13" x14ac:dyDescent="0.3">
      <c r="B1934" t="s">
        <v>65</v>
      </c>
      <c r="C1934" s="1" t="s">
        <v>63</v>
      </c>
      <c r="D1934" s="2">
        <v>45144</v>
      </c>
      <c r="E1934" s="8" t="s">
        <v>24</v>
      </c>
      <c r="F1934" s="8" t="s">
        <v>58</v>
      </c>
      <c r="G1934" s="8" t="s">
        <v>29</v>
      </c>
      <c r="H1934" t="s">
        <v>11</v>
      </c>
      <c r="I1934" s="4">
        <v>300</v>
      </c>
      <c r="J1934" s="8">
        <v>7</v>
      </c>
      <c r="K1934" s="4">
        <f t="shared" si="58"/>
        <v>2100</v>
      </c>
      <c r="L1934" s="4">
        <f t="shared" si="59"/>
        <v>315</v>
      </c>
      <c r="M1934" s="3">
        <v>0.15</v>
      </c>
    </row>
    <row r="1935" spans="2:13" x14ac:dyDescent="0.3">
      <c r="B1935" t="s">
        <v>65</v>
      </c>
      <c r="C1935" s="1" t="s">
        <v>64</v>
      </c>
      <c r="D1935" s="2">
        <v>45151</v>
      </c>
      <c r="E1935" s="8" t="s">
        <v>24</v>
      </c>
      <c r="F1935" s="8" t="s">
        <v>58</v>
      </c>
      <c r="G1935" s="8" t="s">
        <v>29</v>
      </c>
      <c r="H1935" t="s">
        <v>12</v>
      </c>
      <c r="I1935" s="4">
        <v>500</v>
      </c>
      <c r="J1935" s="8">
        <v>3</v>
      </c>
      <c r="K1935" s="4">
        <f t="shared" si="58"/>
        <v>1500</v>
      </c>
      <c r="L1935" s="4">
        <f t="shared" si="59"/>
        <v>375</v>
      </c>
      <c r="M1935" s="3">
        <v>0.25</v>
      </c>
    </row>
    <row r="1936" spans="2:13" x14ac:dyDescent="0.3">
      <c r="B1936" t="s">
        <v>62</v>
      </c>
      <c r="C1936" s="1" t="s">
        <v>63</v>
      </c>
      <c r="D1936" s="2">
        <v>45158</v>
      </c>
      <c r="E1936" s="8" t="s">
        <v>24</v>
      </c>
      <c r="F1936" s="8" t="s">
        <v>58</v>
      </c>
      <c r="G1936" s="8" t="s">
        <v>29</v>
      </c>
      <c r="H1936" t="s">
        <v>11</v>
      </c>
      <c r="I1936" s="4">
        <v>300</v>
      </c>
      <c r="J1936" s="8">
        <v>8</v>
      </c>
      <c r="K1936" s="4">
        <f t="shared" si="58"/>
        <v>2400</v>
      </c>
      <c r="L1936" s="4">
        <f t="shared" si="59"/>
        <v>360</v>
      </c>
      <c r="M1936" s="3">
        <v>0.15</v>
      </c>
    </row>
    <row r="1937" spans="2:13" x14ac:dyDescent="0.3">
      <c r="B1937" t="s">
        <v>60</v>
      </c>
      <c r="C1937" s="1" t="s">
        <v>63</v>
      </c>
      <c r="D1937" s="2">
        <v>45165</v>
      </c>
      <c r="E1937" s="8" t="s">
        <v>24</v>
      </c>
      <c r="F1937" s="8" t="s">
        <v>58</v>
      </c>
      <c r="G1937" s="8" t="s">
        <v>29</v>
      </c>
      <c r="H1937" t="s">
        <v>18</v>
      </c>
      <c r="I1937" s="4">
        <v>4600</v>
      </c>
      <c r="J1937" s="8">
        <v>2</v>
      </c>
      <c r="K1937" s="4">
        <f t="shared" si="58"/>
        <v>9200</v>
      </c>
      <c r="L1937" s="4">
        <f t="shared" si="59"/>
        <v>2300</v>
      </c>
      <c r="M1937" s="3">
        <v>0.25</v>
      </c>
    </row>
    <row r="1938" spans="2:13" x14ac:dyDescent="0.3">
      <c r="B1938" t="s">
        <v>61</v>
      </c>
      <c r="C1938" s="1" t="s">
        <v>64</v>
      </c>
      <c r="D1938" s="2">
        <v>44562</v>
      </c>
      <c r="E1938" s="8" t="s">
        <v>24</v>
      </c>
      <c r="F1938" s="8" t="s">
        <v>71</v>
      </c>
      <c r="G1938" s="8" t="s">
        <v>72</v>
      </c>
      <c r="H1938" t="s">
        <v>17</v>
      </c>
      <c r="I1938" s="4">
        <v>5130</v>
      </c>
      <c r="J1938" s="8">
        <v>10</v>
      </c>
      <c r="K1938" s="4">
        <v>51300</v>
      </c>
      <c r="L1938" s="4">
        <v>20520</v>
      </c>
      <c r="M1938" s="3">
        <v>0.4</v>
      </c>
    </row>
    <row r="1939" spans="2:13" x14ac:dyDescent="0.3">
      <c r="B1939" t="s">
        <v>65</v>
      </c>
      <c r="C1939" s="1" t="s">
        <v>64</v>
      </c>
      <c r="D1939" s="2">
        <v>44577</v>
      </c>
      <c r="E1939" s="8" t="s">
        <v>24</v>
      </c>
      <c r="F1939" s="8" t="s">
        <v>71</v>
      </c>
      <c r="G1939" s="8" t="s">
        <v>72</v>
      </c>
      <c r="H1939" t="s">
        <v>18</v>
      </c>
      <c r="I1939" s="4">
        <v>4600</v>
      </c>
      <c r="J1939" s="8">
        <v>2</v>
      </c>
      <c r="K1939" s="4">
        <v>9200</v>
      </c>
      <c r="L1939" s="4">
        <v>2300</v>
      </c>
      <c r="M1939" s="3">
        <v>0.25</v>
      </c>
    </row>
    <row r="1940" spans="2:13" x14ac:dyDescent="0.3">
      <c r="B1940" t="s">
        <v>60</v>
      </c>
      <c r="C1940" s="1" t="s">
        <v>63</v>
      </c>
      <c r="D1940" s="2">
        <v>44584</v>
      </c>
      <c r="E1940" s="8" t="s">
        <v>24</v>
      </c>
      <c r="F1940" s="8" t="s">
        <v>71</v>
      </c>
      <c r="G1940" s="8" t="s">
        <v>72</v>
      </c>
      <c r="H1940" t="s">
        <v>12</v>
      </c>
      <c r="I1940" s="4">
        <v>500</v>
      </c>
      <c r="J1940" s="8">
        <v>10</v>
      </c>
      <c r="K1940" s="4">
        <v>5000</v>
      </c>
      <c r="L1940" s="4">
        <v>1250</v>
      </c>
      <c r="M1940" s="3">
        <v>0.25</v>
      </c>
    </row>
    <row r="1941" spans="2:13" x14ac:dyDescent="0.3">
      <c r="B1941" t="s">
        <v>65</v>
      </c>
      <c r="C1941" s="1" t="s">
        <v>63</v>
      </c>
      <c r="D1941" s="2">
        <v>44591</v>
      </c>
      <c r="E1941" s="8" t="s">
        <v>24</v>
      </c>
      <c r="F1941" s="8" t="s">
        <v>71</v>
      </c>
      <c r="G1941" s="8" t="s">
        <v>72</v>
      </c>
      <c r="H1941" t="s">
        <v>17</v>
      </c>
      <c r="I1941" s="4">
        <v>5130</v>
      </c>
      <c r="J1941" s="8">
        <v>7</v>
      </c>
      <c r="K1941" s="4">
        <v>35910</v>
      </c>
      <c r="L1941" s="4">
        <v>14364</v>
      </c>
      <c r="M1941" s="3">
        <v>0.4</v>
      </c>
    </row>
    <row r="1942" spans="2:13" x14ac:dyDescent="0.3">
      <c r="B1942" t="s">
        <v>60</v>
      </c>
      <c r="C1942" s="1" t="s">
        <v>63</v>
      </c>
      <c r="D1942" s="2">
        <v>44598</v>
      </c>
      <c r="E1942" s="8" t="s">
        <v>24</v>
      </c>
      <c r="F1942" s="8" t="s">
        <v>71</v>
      </c>
      <c r="G1942" s="8" t="s">
        <v>72</v>
      </c>
      <c r="H1942" t="s">
        <v>8</v>
      </c>
      <c r="I1942" s="4">
        <v>1200</v>
      </c>
      <c r="J1942" s="8">
        <v>11</v>
      </c>
      <c r="K1942" s="4">
        <v>13200</v>
      </c>
      <c r="L1942" s="4">
        <v>3960</v>
      </c>
      <c r="M1942" s="3">
        <v>0.3</v>
      </c>
    </row>
    <row r="1943" spans="2:13" x14ac:dyDescent="0.3">
      <c r="B1943" t="s">
        <v>60</v>
      </c>
      <c r="C1943" s="1" t="s">
        <v>63</v>
      </c>
      <c r="D1943" s="2">
        <v>44605</v>
      </c>
      <c r="E1943" s="8" t="s">
        <v>24</v>
      </c>
      <c r="F1943" s="8" t="s">
        <v>71</v>
      </c>
      <c r="G1943" s="8" t="s">
        <v>72</v>
      </c>
      <c r="H1943" t="s">
        <v>19</v>
      </c>
      <c r="I1943" s="4">
        <v>5340</v>
      </c>
      <c r="J1943" s="8">
        <v>3</v>
      </c>
      <c r="K1943" s="4">
        <v>16020</v>
      </c>
      <c r="L1943" s="4">
        <v>4806</v>
      </c>
      <c r="M1943" s="3">
        <v>0.3</v>
      </c>
    </row>
    <row r="1944" spans="2:13" x14ac:dyDescent="0.3">
      <c r="B1944" t="s">
        <v>62</v>
      </c>
      <c r="C1944" s="1" t="s">
        <v>63</v>
      </c>
      <c r="D1944" s="2">
        <v>44612</v>
      </c>
      <c r="E1944" s="8" t="s">
        <v>24</v>
      </c>
      <c r="F1944" s="8" t="s">
        <v>71</v>
      </c>
      <c r="G1944" s="8" t="s">
        <v>72</v>
      </c>
      <c r="H1944" t="s">
        <v>14</v>
      </c>
      <c r="I1944" s="4">
        <v>4500</v>
      </c>
      <c r="J1944" s="8">
        <v>2</v>
      </c>
      <c r="K1944" s="4">
        <v>9000</v>
      </c>
      <c r="L1944" s="4">
        <v>2250</v>
      </c>
      <c r="M1944" s="3">
        <v>0.25</v>
      </c>
    </row>
    <row r="1945" spans="2:13" x14ac:dyDescent="0.3">
      <c r="B1945" t="s">
        <v>61</v>
      </c>
      <c r="C1945" s="1" t="s">
        <v>63</v>
      </c>
      <c r="D1945" s="2">
        <v>44619</v>
      </c>
      <c r="E1945" s="8" t="s">
        <v>24</v>
      </c>
      <c r="F1945" s="8" t="s">
        <v>71</v>
      </c>
      <c r="G1945" s="8" t="s">
        <v>72</v>
      </c>
      <c r="H1945" t="s">
        <v>20</v>
      </c>
      <c r="I1945" s="4">
        <v>8902</v>
      </c>
      <c r="J1945" s="8">
        <v>1</v>
      </c>
      <c r="K1945" s="4">
        <v>8902</v>
      </c>
      <c r="L1945" s="4">
        <v>3115.7</v>
      </c>
      <c r="M1945" s="3">
        <v>0.35</v>
      </c>
    </row>
    <row r="1946" spans="2:13" x14ac:dyDescent="0.3">
      <c r="B1946" t="s">
        <v>65</v>
      </c>
      <c r="C1946" s="1" t="s">
        <v>64</v>
      </c>
      <c r="D1946" s="2">
        <v>44626</v>
      </c>
      <c r="E1946" s="8" t="s">
        <v>24</v>
      </c>
      <c r="F1946" s="8" t="s">
        <v>71</v>
      </c>
      <c r="G1946" s="8" t="s">
        <v>72</v>
      </c>
      <c r="H1946" t="s">
        <v>18</v>
      </c>
      <c r="I1946" s="4">
        <v>4600</v>
      </c>
      <c r="J1946" s="8">
        <v>4</v>
      </c>
      <c r="K1946" s="4">
        <v>18400</v>
      </c>
      <c r="L1946" s="4">
        <v>4600</v>
      </c>
      <c r="M1946" s="3">
        <v>0.25</v>
      </c>
    </row>
    <row r="1947" spans="2:13" x14ac:dyDescent="0.3">
      <c r="B1947" t="s">
        <v>65</v>
      </c>
      <c r="C1947" s="1" t="s">
        <v>64</v>
      </c>
      <c r="D1947" s="2">
        <v>44633</v>
      </c>
      <c r="E1947" s="8" t="s">
        <v>24</v>
      </c>
      <c r="F1947" s="8" t="s">
        <v>71</v>
      </c>
      <c r="G1947" s="8" t="s">
        <v>72</v>
      </c>
      <c r="H1947" t="s">
        <v>19</v>
      </c>
      <c r="I1947" s="4">
        <v>5340</v>
      </c>
      <c r="J1947" s="8">
        <v>9</v>
      </c>
      <c r="K1947" s="4">
        <v>48060</v>
      </c>
      <c r="L1947" s="4">
        <v>14418</v>
      </c>
      <c r="M1947" s="3">
        <v>0.3</v>
      </c>
    </row>
    <row r="1948" spans="2:13" x14ac:dyDescent="0.3">
      <c r="B1948" t="s">
        <v>66</v>
      </c>
      <c r="C1948" s="1" t="s">
        <v>64</v>
      </c>
      <c r="D1948" s="2">
        <v>44640</v>
      </c>
      <c r="E1948" s="8" t="s">
        <v>24</v>
      </c>
      <c r="F1948" s="8" t="s">
        <v>71</v>
      </c>
      <c r="G1948" s="8" t="s">
        <v>72</v>
      </c>
      <c r="H1948" t="s">
        <v>15</v>
      </c>
      <c r="I1948" s="4">
        <v>5300</v>
      </c>
      <c r="J1948" s="8">
        <v>7</v>
      </c>
      <c r="K1948" s="4">
        <v>37100</v>
      </c>
      <c r="L1948" s="4">
        <v>11130</v>
      </c>
      <c r="M1948" s="3">
        <v>0.3</v>
      </c>
    </row>
    <row r="1949" spans="2:13" x14ac:dyDescent="0.3">
      <c r="B1949" t="s">
        <v>61</v>
      </c>
      <c r="C1949" s="1" t="s">
        <v>63</v>
      </c>
      <c r="D1949" s="2">
        <v>44647</v>
      </c>
      <c r="E1949" s="8" t="s">
        <v>24</v>
      </c>
      <c r="F1949" s="8" t="s">
        <v>71</v>
      </c>
      <c r="G1949" s="8" t="s">
        <v>72</v>
      </c>
      <c r="H1949" t="s">
        <v>17</v>
      </c>
      <c r="I1949" s="4">
        <v>5130</v>
      </c>
      <c r="J1949" s="8">
        <v>9</v>
      </c>
      <c r="K1949" s="4">
        <v>46170</v>
      </c>
      <c r="L1949" s="4">
        <v>18468</v>
      </c>
      <c r="M1949" s="3">
        <v>0.4</v>
      </c>
    </row>
    <row r="1950" spans="2:13" x14ac:dyDescent="0.3">
      <c r="B1950" t="s">
        <v>62</v>
      </c>
      <c r="C1950" s="1" t="s">
        <v>63</v>
      </c>
      <c r="D1950" s="2">
        <v>44654</v>
      </c>
      <c r="E1950" s="8" t="s">
        <v>24</v>
      </c>
      <c r="F1950" s="8" t="s">
        <v>71</v>
      </c>
      <c r="G1950" s="8" t="s">
        <v>72</v>
      </c>
      <c r="H1950" t="s">
        <v>12</v>
      </c>
      <c r="I1950" s="4">
        <v>500</v>
      </c>
      <c r="J1950" s="8">
        <v>12</v>
      </c>
      <c r="K1950" s="4">
        <v>6000</v>
      </c>
      <c r="L1950" s="4">
        <v>1500</v>
      </c>
      <c r="M1950" s="3">
        <v>0.25</v>
      </c>
    </row>
    <row r="1951" spans="2:13" x14ac:dyDescent="0.3">
      <c r="B1951" t="s">
        <v>62</v>
      </c>
      <c r="C1951" s="1" t="s">
        <v>64</v>
      </c>
      <c r="D1951" s="2">
        <v>44661</v>
      </c>
      <c r="E1951" s="8" t="s">
        <v>24</v>
      </c>
      <c r="F1951" s="8" t="s">
        <v>71</v>
      </c>
      <c r="G1951" s="8" t="s">
        <v>72</v>
      </c>
      <c r="H1951" t="s">
        <v>20</v>
      </c>
      <c r="I1951" s="4">
        <v>8902</v>
      </c>
      <c r="J1951" s="8">
        <v>9</v>
      </c>
      <c r="K1951" s="4">
        <v>80118</v>
      </c>
      <c r="L1951" s="4">
        <v>28041.3</v>
      </c>
      <c r="M1951" s="3">
        <v>0.35</v>
      </c>
    </row>
    <row r="1952" spans="2:13" x14ac:dyDescent="0.3">
      <c r="B1952" t="s">
        <v>61</v>
      </c>
      <c r="C1952" s="1" t="s">
        <v>64</v>
      </c>
      <c r="D1952" s="2">
        <v>44668</v>
      </c>
      <c r="E1952" s="8" t="s">
        <v>24</v>
      </c>
      <c r="F1952" s="8" t="s">
        <v>71</v>
      </c>
      <c r="G1952" s="8" t="s">
        <v>72</v>
      </c>
      <c r="H1952" t="s">
        <v>11</v>
      </c>
      <c r="I1952" s="4">
        <v>300</v>
      </c>
      <c r="J1952" s="8">
        <v>3</v>
      </c>
      <c r="K1952" s="4">
        <v>900</v>
      </c>
      <c r="L1952" s="4">
        <v>135</v>
      </c>
      <c r="M1952" s="3">
        <v>0.15</v>
      </c>
    </row>
    <row r="1953" spans="2:13" x14ac:dyDescent="0.3">
      <c r="B1953" t="s">
        <v>65</v>
      </c>
      <c r="C1953" s="1" t="s">
        <v>63</v>
      </c>
      <c r="D1953" s="2">
        <v>44675</v>
      </c>
      <c r="E1953" s="8" t="s">
        <v>24</v>
      </c>
      <c r="F1953" s="8" t="s">
        <v>71</v>
      </c>
      <c r="G1953" s="8" t="s">
        <v>72</v>
      </c>
      <c r="H1953" t="s">
        <v>17</v>
      </c>
      <c r="I1953" s="4">
        <v>5130</v>
      </c>
      <c r="J1953" s="8">
        <v>2</v>
      </c>
      <c r="K1953" s="4">
        <v>10260</v>
      </c>
      <c r="L1953" s="4">
        <v>4104</v>
      </c>
      <c r="M1953" s="3">
        <v>0.4</v>
      </c>
    </row>
    <row r="1954" spans="2:13" x14ac:dyDescent="0.3">
      <c r="B1954" t="s">
        <v>60</v>
      </c>
      <c r="C1954" s="1" t="s">
        <v>63</v>
      </c>
      <c r="D1954" s="2">
        <v>44682</v>
      </c>
      <c r="E1954" s="8" t="s">
        <v>24</v>
      </c>
      <c r="F1954" s="8" t="s">
        <v>71</v>
      </c>
      <c r="G1954" s="8" t="s">
        <v>72</v>
      </c>
      <c r="H1954" t="s">
        <v>17</v>
      </c>
      <c r="I1954" s="4">
        <v>5130</v>
      </c>
      <c r="J1954" s="8">
        <v>4</v>
      </c>
      <c r="K1954" s="4">
        <v>20520</v>
      </c>
      <c r="L1954" s="4">
        <v>8208</v>
      </c>
      <c r="M1954" s="3">
        <v>0.4</v>
      </c>
    </row>
    <row r="1955" spans="2:13" x14ac:dyDescent="0.3">
      <c r="B1955" t="s">
        <v>66</v>
      </c>
      <c r="C1955" s="1" t="s">
        <v>63</v>
      </c>
      <c r="D1955" s="2">
        <v>44689</v>
      </c>
      <c r="E1955" s="8" t="s">
        <v>24</v>
      </c>
      <c r="F1955" s="8" t="s">
        <v>71</v>
      </c>
      <c r="G1955" s="8" t="s">
        <v>72</v>
      </c>
      <c r="H1955" t="s">
        <v>8</v>
      </c>
      <c r="I1955" s="4">
        <v>1200</v>
      </c>
      <c r="J1955" s="8">
        <v>12</v>
      </c>
      <c r="K1955" s="4">
        <v>14400</v>
      </c>
      <c r="L1955" s="4">
        <v>4320</v>
      </c>
      <c r="M1955" s="3">
        <v>0.3</v>
      </c>
    </row>
    <row r="1956" spans="2:13" x14ac:dyDescent="0.3">
      <c r="B1956" t="s">
        <v>62</v>
      </c>
      <c r="C1956" s="1" t="s">
        <v>64</v>
      </c>
      <c r="D1956" s="2">
        <v>44696</v>
      </c>
      <c r="E1956" s="8" t="s">
        <v>24</v>
      </c>
      <c r="F1956" s="8" t="s">
        <v>71</v>
      </c>
      <c r="G1956" s="8" t="s">
        <v>72</v>
      </c>
      <c r="H1956" t="s">
        <v>14</v>
      </c>
      <c r="I1956" s="4">
        <v>4500</v>
      </c>
      <c r="J1956" s="8">
        <v>11</v>
      </c>
      <c r="K1956" s="4">
        <v>49500</v>
      </c>
      <c r="L1956" s="4">
        <v>12375</v>
      </c>
      <c r="M1956" s="3">
        <v>0.25</v>
      </c>
    </row>
    <row r="1957" spans="2:13" x14ac:dyDescent="0.3">
      <c r="B1957" t="s">
        <v>65</v>
      </c>
      <c r="C1957" s="1" t="s">
        <v>63</v>
      </c>
      <c r="D1957" s="2">
        <v>44703</v>
      </c>
      <c r="E1957" s="8" t="s">
        <v>24</v>
      </c>
      <c r="F1957" s="8" t="s">
        <v>71</v>
      </c>
      <c r="G1957" s="8" t="s">
        <v>72</v>
      </c>
      <c r="H1957" t="s">
        <v>9</v>
      </c>
      <c r="I1957" s="4">
        <v>1500</v>
      </c>
      <c r="J1957" s="8">
        <v>8</v>
      </c>
      <c r="K1957" s="4">
        <v>12000</v>
      </c>
      <c r="L1957" s="4">
        <v>4800</v>
      </c>
      <c r="M1957" s="3">
        <v>0.4</v>
      </c>
    </row>
    <row r="1958" spans="2:13" x14ac:dyDescent="0.3">
      <c r="B1958" t="s">
        <v>60</v>
      </c>
      <c r="C1958" s="1" t="s">
        <v>64</v>
      </c>
      <c r="D1958" s="2">
        <v>44710</v>
      </c>
      <c r="E1958" s="8" t="s">
        <v>24</v>
      </c>
      <c r="F1958" s="8" t="s">
        <v>71</v>
      </c>
      <c r="G1958" s="8" t="s">
        <v>72</v>
      </c>
      <c r="H1958" t="s">
        <v>8</v>
      </c>
      <c r="I1958" s="4">
        <v>1200</v>
      </c>
      <c r="J1958" s="8">
        <v>8</v>
      </c>
      <c r="K1958" s="4">
        <v>9600</v>
      </c>
      <c r="L1958" s="4">
        <v>2880</v>
      </c>
      <c r="M1958" s="3">
        <v>0.3</v>
      </c>
    </row>
    <row r="1959" spans="2:13" x14ac:dyDescent="0.3">
      <c r="B1959" t="s">
        <v>60</v>
      </c>
      <c r="C1959" s="1" t="s">
        <v>63</v>
      </c>
      <c r="D1959" s="2">
        <v>44717</v>
      </c>
      <c r="E1959" s="8" t="s">
        <v>24</v>
      </c>
      <c r="F1959" s="8" t="s">
        <v>71</v>
      </c>
      <c r="G1959" s="8" t="s">
        <v>72</v>
      </c>
      <c r="H1959" t="s">
        <v>15</v>
      </c>
      <c r="I1959" s="4">
        <v>5300</v>
      </c>
      <c r="J1959" s="8">
        <v>2</v>
      </c>
      <c r="K1959" s="4">
        <v>10600</v>
      </c>
      <c r="L1959" s="4">
        <v>3180</v>
      </c>
      <c r="M1959" s="3">
        <v>0.3</v>
      </c>
    </row>
    <row r="1960" spans="2:13" x14ac:dyDescent="0.3">
      <c r="B1960" t="s">
        <v>66</v>
      </c>
      <c r="C1960" s="1" t="s">
        <v>64</v>
      </c>
      <c r="D1960" s="2">
        <v>44724</v>
      </c>
      <c r="E1960" s="8" t="s">
        <v>24</v>
      </c>
      <c r="F1960" s="8" t="s">
        <v>71</v>
      </c>
      <c r="G1960" s="8" t="s">
        <v>72</v>
      </c>
      <c r="H1960" t="s">
        <v>17</v>
      </c>
      <c r="I1960" s="4">
        <v>5130</v>
      </c>
      <c r="J1960" s="8">
        <v>10</v>
      </c>
      <c r="K1960" s="4">
        <v>51300</v>
      </c>
      <c r="L1960" s="4">
        <v>20520</v>
      </c>
      <c r="M1960" s="3">
        <v>0.4</v>
      </c>
    </row>
    <row r="1961" spans="2:13" x14ac:dyDescent="0.3">
      <c r="B1961" t="s">
        <v>66</v>
      </c>
      <c r="C1961" s="1" t="s">
        <v>63</v>
      </c>
      <c r="D1961" s="2">
        <v>44731</v>
      </c>
      <c r="E1961" s="8" t="s">
        <v>24</v>
      </c>
      <c r="F1961" s="8" t="s">
        <v>71</v>
      </c>
      <c r="G1961" s="8" t="s">
        <v>72</v>
      </c>
      <c r="H1961" t="s">
        <v>9</v>
      </c>
      <c r="I1961" s="4">
        <v>1500</v>
      </c>
      <c r="J1961" s="8">
        <v>12</v>
      </c>
      <c r="K1961" s="4">
        <v>18000</v>
      </c>
      <c r="L1961" s="4">
        <v>7200</v>
      </c>
      <c r="M1961" s="3">
        <v>0.4</v>
      </c>
    </row>
    <row r="1962" spans="2:13" x14ac:dyDescent="0.3">
      <c r="B1962" t="s">
        <v>66</v>
      </c>
      <c r="C1962" s="1" t="s">
        <v>63</v>
      </c>
      <c r="D1962" s="2">
        <v>44738</v>
      </c>
      <c r="E1962" s="8" t="s">
        <v>24</v>
      </c>
      <c r="F1962" s="8" t="s">
        <v>71</v>
      </c>
      <c r="G1962" s="8" t="s">
        <v>72</v>
      </c>
      <c r="H1962" t="s">
        <v>20</v>
      </c>
      <c r="I1962" s="4">
        <v>8902</v>
      </c>
      <c r="J1962" s="8">
        <v>1</v>
      </c>
      <c r="K1962" s="4">
        <v>8902</v>
      </c>
      <c r="L1962" s="4">
        <v>3115.7</v>
      </c>
      <c r="M1962" s="3">
        <v>0.35</v>
      </c>
    </row>
    <row r="1963" spans="2:13" x14ac:dyDescent="0.3">
      <c r="B1963" t="s">
        <v>66</v>
      </c>
      <c r="C1963" s="1" t="s">
        <v>63</v>
      </c>
      <c r="D1963" s="2">
        <v>44745</v>
      </c>
      <c r="E1963" s="8" t="s">
        <v>24</v>
      </c>
      <c r="F1963" s="8" t="s">
        <v>71</v>
      </c>
      <c r="G1963" s="8" t="s">
        <v>72</v>
      </c>
      <c r="H1963" t="s">
        <v>8</v>
      </c>
      <c r="I1963" s="4">
        <v>1200</v>
      </c>
      <c r="J1963" s="8">
        <v>4</v>
      </c>
      <c r="K1963" s="4">
        <v>4800</v>
      </c>
      <c r="L1963" s="4">
        <v>1440</v>
      </c>
      <c r="M1963" s="3">
        <v>0.3</v>
      </c>
    </row>
    <row r="1964" spans="2:13" x14ac:dyDescent="0.3">
      <c r="B1964" t="s">
        <v>60</v>
      </c>
      <c r="C1964" s="1" t="s">
        <v>63</v>
      </c>
      <c r="D1964" s="2">
        <v>44752</v>
      </c>
      <c r="E1964" s="8" t="s">
        <v>24</v>
      </c>
      <c r="F1964" s="8" t="s">
        <v>71</v>
      </c>
      <c r="G1964" s="8" t="s">
        <v>72</v>
      </c>
      <c r="H1964" t="s">
        <v>15</v>
      </c>
      <c r="I1964" s="4">
        <v>5300</v>
      </c>
      <c r="J1964" s="8">
        <v>10</v>
      </c>
      <c r="K1964" s="4">
        <v>53000</v>
      </c>
      <c r="L1964" s="4">
        <v>15900</v>
      </c>
      <c r="M1964" s="3">
        <v>0.3</v>
      </c>
    </row>
    <row r="1965" spans="2:13" x14ac:dyDescent="0.3">
      <c r="B1965" t="s">
        <v>66</v>
      </c>
      <c r="C1965" s="1" t="s">
        <v>63</v>
      </c>
      <c r="D1965" s="2">
        <v>44759</v>
      </c>
      <c r="E1965" s="8" t="s">
        <v>24</v>
      </c>
      <c r="F1965" s="8" t="s">
        <v>71</v>
      </c>
      <c r="G1965" s="8" t="s">
        <v>72</v>
      </c>
      <c r="H1965" t="s">
        <v>8</v>
      </c>
      <c r="I1965" s="4">
        <v>1200</v>
      </c>
      <c r="J1965" s="8">
        <v>9</v>
      </c>
      <c r="K1965" s="4">
        <v>10800</v>
      </c>
      <c r="L1965" s="4">
        <v>3240</v>
      </c>
      <c r="M1965" s="3">
        <v>0.3</v>
      </c>
    </row>
    <row r="1966" spans="2:13" x14ac:dyDescent="0.3">
      <c r="B1966" t="s">
        <v>60</v>
      </c>
      <c r="C1966" s="1" t="s">
        <v>64</v>
      </c>
      <c r="D1966" s="2">
        <v>44766</v>
      </c>
      <c r="E1966" s="8" t="s">
        <v>24</v>
      </c>
      <c r="F1966" s="8" t="s">
        <v>71</v>
      </c>
      <c r="G1966" s="8" t="s">
        <v>72</v>
      </c>
      <c r="H1966" t="s">
        <v>8</v>
      </c>
      <c r="I1966" s="4">
        <v>1200</v>
      </c>
      <c r="J1966" s="8">
        <v>11</v>
      </c>
      <c r="K1966" s="4">
        <v>13200</v>
      </c>
      <c r="L1966" s="4">
        <v>3960</v>
      </c>
      <c r="M1966" s="3">
        <v>0.3</v>
      </c>
    </row>
    <row r="1967" spans="2:13" x14ac:dyDescent="0.3">
      <c r="B1967" t="s">
        <v>60</v>
      </c>
      <c r="C1967" s="1" t="s">
        <v>63</v>
      </c>
      <c r="D1967" s="2">
        <v>44766</v>
      </c>
      <c r="E1967" s="8" t="s">
        <v>24</v>
      </c>
      <c r="F1967" s="8" t="s">
        <v>71</v>
      </c>
      <c r="G1967" s="8" t="s">
        <v>72</v>
      </c>
      <c r="H1967" t="s">
        <v>16</v>
      </c>
      <c r="I1967" s="4">
        <v>3400</v>
      </c>
      <c r="J1967" s="8">
        <v>5</v>
      </c>
      <c r="K1967" s="4">
        <v>17000</v>
      </c>
      <c r="L1967" s="4">
        <v>5950</v>
      </c>
      <c r="M1967" s="3">
        <v>0.35</v>
      </c>
    </row>
    <row r="1968" spans="2:13" x14ac:dyDescent="0.3">
      <c r="B1968" t="s">
        <v>60</v>
      </c>
      <c r="C1968" s="1" t="s">
        <v>63</v>
      </c>
      <c r="D1968" s="2">
        <v>44773</v>
      </c>
      <c r="E1968" s="8" t="s">
        <v>24</v>
      </c>
      <c r="F1968" s="8" t="s">
        <v>71</v>
      </c>
      <c r="G1968" s="8" t="s">
        <v>72</v>
      </c>
      <c r="H1968" t="s">
        <v>16</v>
      </c>
      <c r="I1968" s="4">
        <v>3400</v>
      </c>
      <c r="J1968" s="8">
        <v>4</v>
      </c>
      <c r="K1968" s="4">
        <v>13600</v>
      </c>
      <c r="L1968" s="4">
        <v>4760</v>
      </c>
      <c r="M1968" s="3">
        <v>0.35</v>
      </c>
    </row>
    <row r="1969" spans="2:13" x14ac:dyDescent="0.3">
      <c r="B1969" t="s">
        <v>61</v>
      </c>
      <c r="C1969" s="1" t="s">
        <v>63</v>
      </c>
      <c r="D1969" s="2">
        <v>44780</v>
      </c>
      <c r="E1969" s="8" t="s">
        <v>24</v>
      </c>
      <c r="F1969" s="8" t="s">
        <v>71</v>
      </c>
      <c r="G1969" s="8" t="s">
        <v>72</v>
      </c>
      <c r="H1969" t="s">
        <v>11</v>
      </c>
      <c r="I1969" s="4">
        <v>300</v>
      </c>
      <c r="J1969" s="8">
        <v>9</v>
      </c>
      <c r="K1969" s="4">
        <v>2700</v>
      </c>
      <c r="L1969" s="4">
        <v>405</v>
      </c>
      <c r="M1969" s="3">
        <v>0.15</v>
      </c>
    </row>
    <row r="1970" spans="2:13" x14ac:dyDescent="0.3">
      <c r="B1970" t="s">
        <v>65</v>
      </c>
      <c r="C1970" s="1" t="s">
        <v>63</v>
      </c>
      <c r="D1970" s="2">
        <v>44787</v>
      </c>
      <c r="E1970" s="8" t="s">
        <v>24</v>
      </c>
      <c r="F1970" s="8" t="s">
        <v>71</v>
      </c>
      <c r="G1970" s="8" t="s">
        <v>72</v>
      </c>
      <c r="H1970" t="s">
        <v>8</v>
      </c>
      <c r="I1970" s="4">
        <v>1200</v>
      </c>
      <c r="J1970" s="8">
        <v>6</v>
      </c>
      <c r="K1970" s="4">
        <v>7200</v>
      </c>
      <c r="L1970" s="4">
        <v>2160</v>
      </c>
      <c r="M1970" s="3">
        <v>0.3</v>
      </c>
    </row>
    <row r="1971" spans="2:13" x14ac:dyDescent="0.3">
      <c r="B1971" t="s">
        <v>65</v>
      </c>
      <c r="C1971" s="1" t="s">
        <v>64</v>
      </c>
      <c r="D1971" s="2">
        <v>44794</v>
      </c>
      <c r="E1971" s="8" t="s">
        <v>24</v>
      </c>
      <c r="F1971" s="8" t="s">
        <v>71</v>
      </c>
      <c r="G1971" s="8" t="s">
        <v>72</v>
      </c>
      <c r="H1971" t="s">
        <v>14</v>
      </c>
      <c r="I1971" s="4">
        <v>4500</v>
      </c>
      <c r="J1971" s="8">
        <v>6</v>
      </c>
      <c r="K1971" s="4">
        <v>27000</v>
      </c>
      <c r="L1971" s="4">
        <v>6750</v>
      </c>
      <c r="M1971" s="3">
        <v>0.25</v>
      </c>
    </row>
    <row r="1972" spans="2:13" x14ac:dyDescent="0.3">
      <c r="B1972" t="s">
        <v>60</v>
      </c>
      <c r="C1972" s="1" t="s">
        <v>64</v>
      </c>
      <c r="D1972" s="2">
        <v>44801</v>
      </c>
      <c r="E1972" s="8" t="s">
        <v>24</v>
      </c>
      <c r="F1972" s="8" t="s">
        <v>71</v>
      </c>
      <c r="G1972" s="8" t="s">
        <v>72</v>
      </c>
      <c r="H1972" t="s">
        <v>12</v>
      </c>
      <c r="I1972" s="4">
        <v>500</v>
      </c>
      <c r="J1972" s="8">
        <v>10</v>
      </c>
      <c r="K1972" s="4">
        <v>5000</v>
      </c>
      <c r="L1972" s="4">
        <v>1250</v>
      </c>
      <c r="M1972" s="3">
        <v>0.25</v>
      </c>
    </row>
    <row r="1973" spans="2:13" x14ac:dyDescent="0.3">
      <c r="B1973" t="s">
        <v>60</v>
      </c>
      <c r="C1973" s="1" t="s">
        <v>63</v>
      </c>
      <c r="D1973" s="2">
        <v>44808</v>
      </c>
      <c r="E1973" s="8" t="s">
        <v>24</v>
      </c>
      <c r="F1973" s="8" t="s">
        <v>71</v>
      </c>
      <c r="G1973" s="8" t="s">
        <v>72</v>
      </c>
      <c r="H1973" t="s">
        <v>20</v>
      </c>
      <c r="I1973" s="4">
        <v>8902</v>
      </c>
      <c r="J1973" s="8">
        <v>9</v>
      </c>
      <c r="K1973" s="4">
        <v>80118</v>
      </c>
      <c r="L1973" s="4">
        <v>28041.3</v>
      </c>
      <c r="M1973" s="3">
        <v>0.35</v>
      </c>
    </row>
    <row r="1974" spans="2:13" x14ac:dyDescent="0.3">
      <c r="B1974" t="s">
        <v>62</v>
      </c>
      <c r="C1974" s="1" t="s">
        <v>63</v>
      </c>
      <c r="D1974" s="2">
        <v>44815</v>
      </c>
      <c r="E1974" s="8" t="s">
        <v>24</v>
      </c>
      <c r="F1974" s="8" t="s">
        <v>71</v>
      </c>
      <c r="G1974" s="8" t="s">
        <v>72</v>
      </c>
      <c r="H1974" t="s">
        <v>10</v>
      </c>
      <c r="I1974" s="4">
        <v>1700</v>
      </c>
      <c r="J1974" s="8">
        <v>4</v>
      </c>
      <c r="K1974" s="4">
        <v>6800</v>
      </c>
      <c r="L1974" s="4">
        <v>3400</v>
      </c>
      <c r="M1974" s="3">
        <v>0.5</v>
      </c>
    </row>
    <row r="1975" spans="2:13" x14ac:dyDescent="0.3">
      <c r="B1975" t="s">
        <v>62</v>
      </c>
      <c r="C1975" s="1" t="s">
        <v>64</v>
      </c>
      <c r="D1975" s="2">
        <v>44822</v>
      </c>
      <c r="E1975" s="8" t="s">
        <v>24</v>
      </c>
      <c r="F1975" s="8" t="s">
        <v>71</v>
      </c>
      <c r="G1975" s="8" t="s">
        <v>72</v>
      </c>
      <c r="H1975" t="s">
        <v>20</v>
      </c>
      <c r="I1975" s="4">
        <v>8902</v>
      </c>
      <c r="J1975" s="8">
        <v>7</v>
      </c>
      <c r="K1975" s="4">
        <v>62314</v>
      </c>
      <c r="L1975" s="4">
        <v>21809.899999999998</v>
      </c>
      <c r="M1975" s="3">
        <v>0.35</v>
      </c>
    </row>
    <row r="1976" spans="2:13" x14ac:dyDescent="0.3">
      <c r="B1976" t="s">
        <v>61</v>
      </c>
      <c r="C1976" s="1" t="s">
        <v>63</v>
      </c>
      <c r="D1976" s="2">
        <v>44829</v>
      </c>
      <c r="E1976" s="8" t="s">
        <v>24</v>
      </c>
      <c r="F1976" s="8" t="s">
        <v>71</v>
      </c>
      <c r="G1976" s="8" t="s">
        <v>72</v>
      </c>
      <c r="H1976" t="s">
        <v>13</v>
      </c>
      <c r="I1976" s="4">
        <v>3200</v>
      </c>
      <c r="J1976" s="8">
        <v>2</v>
      </c>
      <c r="K1976" s="4">
        <v>6400</v>
      </c>
      <c r="L1976" s="4">
        <v>1280</v>
      </c>
      <c r="M1976" s="3">
        <v>0.2</v>
      </c>
    </row>
    <row r="1977" spans="2:13" x14ac:dyDescent="0.3">
      <c r="B1977" t="s">
        <v>62</v>
      </c>
      <c r="C1977" s="1" t="s">
        <v>63</v>
      </c>
      <c r="D1977" s="2">
        <v>44836</v>
      </c>
      <c r="E1977" s="8" t="s">
        <v>24</v>
      </c>
      <c r="F1977" s="8" t="s">
        <v>71</v>
      </c>
      <c r="G1977" s="8" t="s">
        <v>72</v>
      </c>
      <c r="H1977" t="s">
        <v>8</v>
      </c>
      <c r="I1977" s="4">
        <v>1200</v>
      </c>
      <c r="J1977" s="8">
        <v>7</v>
      </c>
      <c r="K1977" s="4">
        <v>8400</v>
      </c>
      <c r="L1977" s="4">
        <v>2520</v>
      </c>
      <c r="M1977" s="3">
        <v>0.3</v>
      </c>
    </row>
    <row r="1978" spans="2:13" x14ac:dyDescent="0.3">
      <c r="B1978" t="s">
        <v>62</v>
      </c>
      <c r="C1978" s="1" t="s">
        <v>63</v>
      </c>
      <c r="D1978" s="2">
        <v>44843</v>
      </c>
      <c r="E1978" s="8" t="s">
        <v>24</v>
      </c>
      <c r="F1978" s="8" t="s">
        <v>71</v>
      </c>
      <c r="G1978" s="8" t="s">
        <v>72</v>
      </c>
      <c r="H1978" t="s">
        <v>16</v>
      </c>
      <c r="I1978" s="4">
        <v>3400</v>
      </c>
      <c r="J1978" s="8">
        <v>9</v>
      </c>
      <c r="K1978" s="4">
        <v>30600</v>
      </c>
      <c r="L1978" s="4">
        <v>10710</v>
      </c>
      <c r="M1978" s="3">
        <v>0.35</v>
      </c>
    </row>
    <row r="1979" spans="2:13" x14ac:dyDescent="0.3">
      <c r="B1979" t="s">
        <v>65</v>
      </c>
      <c r="C1979" s="1" t="s">
        <v>63</v>
      </c>
      <c r="D1979" s="2">
        <v>44850</v>
      </c>
      <c r="E1979" s="8" t="s">
        <v>24</v>
      </c>
      <c r="F1979" s="8" t="s">
        <v>71</v>
      </c>
      <c r="G1979" s="8" t="s">
        <v>72</v>
      </c>
      <c r="H1979" t="s">
        <v>16</v>
      </c>
      <c r="I1979" s="4">
        <v>3400</v>
      </c>
      <c r="J1979" s="8">
        <v>7</v>
      </c>
      <c r="K1979" s="4">
        <v>23800</v>
      </c>
      <c r="L1979" s="4">
        <v>8330</v>
      </c>
      <c r="M1979" s="3">
        <v>0.35</v>
      </c>
    </row>
    <row r="1980" spans="2:13" x14ac:dyDescent="0.3">
      <c r="B1980" t="s">
        <v>65</v>
      </c>
      <c r="C1980" s="1" t="s">
        <v>63</v>
      </c>
      <c r="D1980" s="2">
        <v>44857</v>
      </c>
      <c r="E1980" s="8" t="s">
        <v>24</v>
      </c>
      <c r="F1980" s="8" t="s">
        <v>71</v>
      </c>
      <c r="G1980" s="8" t="s">
        <v>72</v>
      </c>
      <c r="H1980" t="s">
        <v>18</v>
      </c>
      <c r="I1980" s="4">
        <v>4600</v>
      </c>
      <c r="J1980" s="8">
        <v>8</v>
      </c>
      <c r="K1980" s="4">
        <v>36800</v>
      </c>
      <c r="L1980" s="4">
        <v>9200</v>
      </c>
      <c r="M1980" s="3">
        <v>0.25</v>
      </c>
    </row>
    <row r="1981" spans="2:13" x14ac:dyDescent="0.3">
      <c r="B1981" t="s">
        <v>60</v>
      </c>
      <c r="C1981" s="1" t="s">
        <v>64</v>
      </c>
      <c r="D1981" s="2">
        <v>44864</v>
      </c>
      <c r="E1981" s="8" t="s">
        <v>24</v>
      </c>
      <c r="F1981" s="8" t="s">
        <v>71</v>
      </c>
      <c r="G1981" s="8" t="s">
        <v>72</v>
      </c>
      <c r="H1981" t="s">
        <v>14</v>
      </c>
      <c r="I1981" s="4">
        <v>4500</v>
      </c>
      <c r="J1981" s="8">
        <v>12</v>
      </c>
      <c r="K1981" s="4">
        <v>54000</v>
      </c>
      <c r="L1981" s="4">
        <v>13500</v>
      </c>
      <c r="M1981" s="3">
        <v>0.25</v>
      </c>
    </row>
    <row r="1982" spans="2:13" x14ac:dyDescent="0.3">
      <c r="B1982" t="s">
        <v>60</v>
      </c>
      <c r="C1982" s="1" t="s">
        <v>63</v>
      </c>
      <c r="D1982" s="2">
        <v>44871</v>
      </c>
      <c r="E1982" s="8" t="s">
        <v>24</v>
      </c>
      <c r="F1982" s="8" t="s">
        <v>71</v>
      </c>
      <c r="G1982" s="8" t="s">
        <v>72</v>
      </c>
      <c r="H1982" t="s">
        <v>14</v>
      </c>
      <c r="I1982" s="4">
        <v>4500</v>
      </c>
      <c r="J1982" s="8">
        <v>12</v>
      </c>
      <c r="K1982" s="4">
        <v>54000</v>
      </c>
      <c r="L1982" s="4">
        <v>13500</v>
      </c>
      <c r="M1982" s="3">
        <v>0.25</v>
      </c>
    </row>
    <row r="1983" spans="2:13" x14ac:dyDescent="0.3">
      <c r="B1983" t="s">
        <v>65</v>
      </c>
      <c r="C1983" s="1" t="s">
        <v>63</v>
      </c>
      <c r="D1983" s="2">
        <v>44878</v>
      </c>
      <c r="E1983" s="8" t="s">
        <v>24</v>
      </c>
      <c r="F1983" s="8" t="s">
        <v>71</v>
      </c>
      <c r="G1983" s="8" t="s">
        <v>72</v>
      </c>
      <c r="H1983" t="s">
        <v>13</v>
      </c>
      <c r="I1983" s="4">
        <v>3200</v>
      </c>
      <c r="J1983" s="8">
        <v>1</v>
      </c>
      <c r="K1983" s="4">
        <v>3200</v>
      </c>
      <c r="L1983" s="4">
        <v>640</v>
      </c>
      <c r="M1983" s="3">
        <v>0.2</v>
      </c>
    </row>
    <row r="1984" spans="2:13" x14ac:dyDescent="0.3">
      <c r="B1984" t="s">
        <v>65</v>
      </c>
      <c r="C1984" s="1" t="s">
        <v>64</v>
      </c>
      <c r="D1984" s="2">
        <v>44885</v>
      </c>
      <c r="E1984" s="8" t="s">
        <v>24</v>
      </c>
      <c r="F1984" s="8" t="s">
        <v>71</v>
      </c>
      <c r="G1984" s="8" t="s">
        <v>72</v>
      </c>
      <c r="H1984" t="s">
        <v>8</v>
      </c>
      <c r="I1984" s="4">
        <v>1200</v>
      </c>
      <c r="J1984" s="8">
        <v>10</v>
      </c>
      <c r="K1984" s="4">
        <v>12000</v>
      </c>
      <c r="L1984" s="4">
        <v>3600</v>
      </c>
      <c r="M1984" s="3">
        <v>0.3</v>
      </c>
    </row>
    <row r="1985" spans="2:13" x14ac:dyDescent="0.3">
      <c r="B1985" t="s">
        <v>60</v>
      </c>
      <c r="C1985" s="1" t="s">
        <v>63</v>
      </c>
      <c r="D1985" s="2">
        <v>44892</v>
      </c>
      <c r="E1985" s="8" t="s">
        <v>24</v>
      </c>
      <c r="F1985" s="8" t="s">
        <v>71</v>
      </c>
      <c r="G1985" s="8" t="s">
        <v>72</v>
      </c>
      <c r="H1985" t="s">
        <v>10</v>
      </c>
      <c r="I1985" s="4">
        <v>1700</v>
      </c>
      <c r="J1985" s="8">
        <v>1</v>
      </c>
      <c r="K1985" s="4">
        <v>1700</v>
      </c>
      <c r="L1985" s="4">
        <v>850</v>
      </c>
      <c r="M1985" s="3">
        <v>0.5</v>
      </c>
    </row>
    <row r="1986" spans="2:13" x14ac:dyDescent="0.3">
      <c r="B1986" t="s">
        <v>66</v>
      </c>
      <c r="C1986" s="1" t="s">
        <v>63</v>
      </c>
      <c r="D1986" s="2">
        <v>44899</v>
      </c>
      <c r="E1986" s="8" t="s">
        <v>24</v>
      </c>
      <c r="F1986" s="8" t="s">
        <v>71</v>
      </c>
      <c r="G1986" s="8" t="s">
        <v>72</v>
      </c>
      <c r="H1986" t="s">
        <v>17</v>
      </c>
      <c r="I1986" s="4">
        <v>5130</v>
      </c>
      <c r="J1986" s="8">
        <v>10</v>
      </c>
      <c r="K1986" s="4">
        <v>51300</v>
      </c>
      <c r="L1986" s="4">
        <v>20520</v>
      </c>
      <c r="M1986" s="3">
        <v>0.4</v>
      </c>
    </row>
    <row r="1987" spans="2:13" x14ac:dyDescent="0.3">
      <c r="B1987" t="s">
        <v>60</v>
      </c>
      <c r="C1987" s="1" t="s">
        <v>63</v>
      </c>
      <c r="D1987" s="2">
        <v>44906</v>
      </c>
      <c r="E1987" s="8" t="s">
        <v>24</v>
      </c>
      <c r="F1987" s="8" t="s">
        <v>71</v>
      </c>
      <c r="G1987" s="8" t="s">
        <v>72</v>
      </c>
      <c r="H1987" t="s">
        <v>13</v>
      </c>
      <c r="I1987" s="4">
        <v>3200</v>
      </c>
      <c r="J1987" s="8">
        <v>5</v>
      </c>
      <c r="K1987" s="4">
        <v>16000</v>
      </c>
      <c r="L1987" s="4">
        <v>3200</v>
      </c>
      <c r="M1987" s="3">
        <v>0.2</v>
      </c>
    </row>
    <row r="1988" spans="2:13" x14ac:dyDescent="0.3">
      <c r="B1988" t="s">
        <v>65</v>
      </c>
      <c r="C1988" s="1" t="s">
        <v>63</v>
      </c>
      <c r="D1988" s="2">
        <v>44913</v>
      </c>
      <c r="E1988" s="8" t="s">
        <v>24</v>
      </c>
      <c r="F1988" s="8" t="s">
        <v>71</v>
      </c>
      <c r="G1988" s="8" t="s">
        <v>72</v>
      </c>
      <c r="H1988" t="s">
        <v>12</v>
      </c>
      <c r="I1988" s="4">
        <v>500</v>
      </c>
      <c r="J1988" s="8">
        <v>5</v>
      </c>
      <c r="K1988" s="4">
        <v>2500</v>
      </c>
      <c r="L1988" s="4">
        <v>625</v>
      </c>
      <c r="M1988" s="3">
        <v>0.25</v>
      </c>
    </row>
    <row r="1989" spans="2:13" x14ac:dyDescent="0.3">
      <c r="B1989" t="s">
        <v>66</v>
      </c>
      <c r="C1989" s="1" t="s">
        <v>64</v>
      </c>
      <c r="D1989" s="2">
        <v>44920</v>
      </c>
      <c r="E1989" s="8" t="s">
        <v>24</v>
      </c>
      <c r="F1989" s="8" t="s">
        <v>71</v>
      </c>
      <c r="G1989" s="8" t="s">
        <v>72</v>
      </c>
      <c r="H1989" t="s">
        <v>17</v>
      </c>
      <c r="I1989" s="4">
        <v>5130</v>
      </c>
      <c r="J1989" s="8">
        <v>7</v>
      </c>
      <c r="K1989" s="4">
        <v>35910</v>
      </c>
      <c r="L1989" s="4">
        <v>14364</v>
      </c>
      <c r="M1989" s="3">
        <v>0.4</v>
      </c>
    </row>
    <row r="1990" spans="2:13" x14ac:dyDescent="0.3">
      <c r="B1990" t="s">
        <v>60</v>
      </c>
      <c r="C1990" s="1" t="s">
        <v>64</v>
      </c>
      <c r="D1990" s="2">
        <v>44927</v>
      </c>
      <c r="E1990" s="8" t="s">
        <v>24</v>
      </c>
      <c r="F1990" s="8" t="s">
        <v>71</v>
      </c>
      <c r="G1990" s="8" t="s">
        <v>72</v>
      </c>
      <c r="H1990" t="s">
        <v>12</v>
      </c>
      <c r="I1990" s="4">
        <v>500</v>
      </c>
      <c r="J1990" s="8">
        <v>21</v>
      </c>
      <c r="K1990" s="4">
        <v>10500</v>
      </c>
      <c r="L1990" s="4">
        <v>2625</v>
      </c>
      <c r="M1990" s="3">
        <v>0.25</v>
      </c>
    </row>
    <row r="1991" spans="2:13" x14ac:dyDescent="0.3">
      <c r="B1991" t="s">
        <v>62</v>
      </c>
      <c r="C1991" s="1" t="s">
        <v>63</v>
      </c>
      <c r="D1991" s="2">
        <v>44934</v>
      </c>
      <c r="E1991" s="8" t="s">
        <v>24</v>
      </c>
      <c r="F1991" s="8" t="s">
        <v>71</v>
      </c>
      <c r="G1991" s="8" t="s">
        <v>72</v>
      </c>
      <c r="H1991" t="s">
        <v>11</v>
      </c>
      <c r="I1991" s="4">
        <v>300</v>
      </c>
      <c r="J1991" s="8">
        <v>3</v>
      </c>
      <c r="K1991" s="4">
        <v>900</v>
      </c>
      <c r="L1991" s="4">
        <v>135</v>
      </c>
      <c r="M1991" s="3">
        <v>0.15</v>
      </c>
    </row>
    <row r="1992" spans="2:13" x14ac:dyDescent="0.3">
      <c r="B1992" t="s">
        <v>62</v>
      </c>
      <c r="C1992" s="1" t="s">
        <v>63</v>
      </c>
      <c r="D1992" s="2">
        <v>44941</v>
      </c>
      <c r="E1992" s="8" t="s">
        <v>24</v>
      </c>
      <c r="F1992" s="8" t="s">
        <v>71</v>
      </c>
      <c r="G1992" s="8" t="s">
        <v>72</v>
      </c>
      <c r="H1992" t="s">
        <v>8</v>
      </c>
      <c r="I1992" s="4">
        <v>1200</v>
      </c>
      <c r="J1992" s="8">
        <v>12</v>
      </c>
      <c r="K1992" s="4">
        <v>14400</v>
      </c>
      <c r="L1992" s="4">
        <v>4320</v>
      </c>
      <c r="M1992" s="3">
        <v>0.3</v>
      </c>
    </row>
    <row r="1993" spans="2:13" x14ac:dyDescent="0.3">
      <c r="B1993" t="s">
        <v>60</v>
      </c>
      <c r="C1993" s="1" t="s">
        <v>63</v>
      </c>
      <c r="D1993" s="2">
        <v>44948</v>
      </c>
      <c r="E1993" s="8" t="s">
        <v>24</v>
      </c>
      <c r="F1993" s="8" t="s">
        <v>71</v>
      </c>
      <c r="G1993" s="8" t="s">
        <v>72</v>
      </c>
      <c r="H1993" t="s">
        <v>14</v>
      </c>
      <c r="I1993" s="4">
        <v>4500</v>
      </c>
      <c r="J1993" s="8">
        <v>8</v>
      </c>
      <c r="K1993" s="4">
        <v>36000</v>
      </c>
      <c r="L1993" s="4">
        <v>9000</v>
      </c>
      <c r="M1993" s="3">
        <v>0.25</v>
      </c>
    </row>
    <row r="1994" spans="2:13" x14ac:dyDescent="0.3">
      <c r="B1994" t="s">
        <v>65</v>
      </c>
      <c r="C1994" s="1" t="s">
        <v>63</v>
      </c>
      <c r="D1994" s="2">
        <v>44955</v>
      </c>
      <c r="E1994" s="8" t="s">
        <v>24</v>
      </c>
      <c r="F1994" s="8" t="s">
        <v>71</v>
      </c>
      <c r="G1994" s="8" t="s">
        <v>72</v>
      </c>
      <c r="H1994" t="s">
        <v>18</v>
      </c>
      <c r="I1994" s="4">
        <v>4600</v>
      </c>
      <c r="J1994" s="8">
        <v>11</v>
      </c>
      <c r="K1994" s="4">
        <v>50600</v>
      </c>
      <c r="L1994" s="4">
        <v>12650</v>
      </c>
      <c r="M1994" s="3">
        <v>0.25</v>
      </c>
    </row>
    <row r="1995" spans="2:13" x14ac:dyDescent="0.3">
      <c r="B1995" t="s">
        <v>65</v>
      </c>
      <c r="C1995" s="1" t="s">
        <v>63</v>
      </c>
      <c r="D1995" s="2">
        <v>44962</v>
      </c>
      <c r="E1995" s="8" t="s">
        <v>24</v>
      </c>
      <c r="F1995" s="8" t="s">
        <v>71</v>
      </c>
      <c r="G1995" s="8" t="s">
        <v>72</v>
      </c>
      <c r="H1995" t="s">
        <v>10</v>
      </c>
      <c r="I1995" s="4">
        <v>1700</v>
      </c>
      <c r="J1995" s="8">
        <v>12</v>
      </c>
      <c r="K1995" s="4">
        <v>20400</v>
      </c>
      <c r="L1995" s="4">
        <v>10200</v>
      </c>
      <c r="M1995" s="3">
        <v>0.5</v>
      </c>
    </row>
    <row r="1996" spans="2:13" x14ac:dyDescent="0.3">
      <c r="B1996" t="s">
        <v>66</v>
      </c>
      <c r="C1996" s="1" t="s">
        <v>64</v>
      </c>
      <c r="D1996" s="2">
        <v>44969</v>
      </c>
      <c r="E1996" s="8" t="s">
        <v>24</v>
      </c>
      <c r="F1996" s="8" t="s">
        <v>71</v>
      </c>
      <c r="G1996" s="8" t="s">
        <v>72</v>
      </c>
      <c r="H1996" t="s">
        <v>13</v>
      </c>
      <c r="I1996" s="4">
        <v>3200</v>
      </c>
      <c r="J1996" s="8">
        <v>9</v>
      </c>
      <c r="K1996" s="4">
        <v>28800</v>
      </c>
      <c r="L1996" s="4">
        <v>5760</v>
      </c>
      <c r="M1996" s="3">
        <v>0.2</v>
      </c>
    </row>
    <row r="1997" spans="2:13" x14ac:dyDescent="0.3">
      <c r="B1997" t="s">
        <v>65</v>
      </c>
      <c r="C1997" s="1" t="s">
        <v>63</v>
      </c>
      <c r="D1997" s="2">
        <v>44976</v>
      </c>
      <c r="E1997" s="8" t="s">
        <v>24</v>
      </c>
      <c r="F1997" s="8" t="s">
        <v>71</v>
      </c>
      <c r="G1997" s="8" t="s">
        <v>72</v>
      </c>
      <c r="H1997" t="s">
        <v>20</v>
      </c>
      <c r="I1997" s="4">
        <v>8902</v>
      </c>
      <c r="J1997" s="8">
        <v>9</v>
      </c>
      <c r="K1997" s="4">
        <v>80118</v>
      </c>
      <c r="L1997" s="4">
        <v>28041.3</v>
      </c>
      <c r="M1997" s="3">
        <v>0.35</v>
      </c>
    </row>
    <row r="1998" spans="2:13" x14ac:dyDescent="0.3">
      <c r="B1998" t="s">
        <v>66</v>
      </c>
      <c r="C1998" s="1" t="s">
        <v>63</v>
      </c>
      <c r="D1998" s="2">
        <v>44983</v>
      </c>
      <c r="E1998" s="8" t="s">
        <v>24</v>
      </c>
      <c r="F1998" s="8" t="s">
        <v>71</v>
      </c>
      <c r="G1998" s="8" t="s">
        <v>72</v>
      </c>
      <c r="H1998" t="s">
        <v>14</v>
      </c>
      <c r="I1998" s="4">
        <v>4500</v>
      </c>
      <c r="J1998" s="8">
        <v>3</v>
      </c>
      <c r="K1998" s="4">
        <v>13500</v>
      </c>
      <c r="L1998" s="4">
        <v>3375</v>
      </c>
      <c r="M1998" s="3">
        <v>0.25</v>
      </c>
    </row>
    <row r="1999" spans="2:13" x14ac:dyDescent="0.3">
      <c r="B1999" t="s">
        <v>60</v>
      </c>
      <c r="C1999" s="1" t="s">
        <v>64</v>
      </c>
      <c r="D1999" s="2">
        <v>44990</v>
      </c>
      <c r="E1999" s="8" t="s">
        <v>24</v>
      </c>
      <c r="F1999" s="8" t="s">
        <v>71</v>
      </c>
      <c r="G1999" s="8" t="s">
        <v>72</v>
      </c>
      <c r="H1999" t="s">
        <v>19</v>
      </c>
      <c r="I1999" s="4">
        <v>5340</v>
      </c>
      <c r="J1999" s="8">
        <v>1</v>
      </c>
      <c r="K1999" s="4">
        <v>5340</v>
      </c>
      <c r="L1999" s="4">
        <v>1602</v>
      </c>
      <c r="M1999" s="3">
        <v>0.3</v>
      </c>
    </row>
    <row r="2000" spans="2:13" x14ac:dyDescent="0.3">
      <c r="B2000" t="s">
        <v>65</v>
      </c>
      <c r="C2000" s="1" t="s">
        <v>63</v>
      </c>
      <c r="D2000" s="2">
        <v>44997</v>
      </c>
      <c r="E2000" s="8" t="s">
        <v>24</v>
      </c>
      <c r="F2000" s="8" t="s">
        <v>71</v>
      </c>
      <c r="G2000" s="8" t="s">
        <v>72</v>
      </c>
      <c r="H2000" t="s">
        <v>14</v>
      </c>
      <c r="I2000" s="4">
        <v>4500</v>
      </c>
      <c r="J2000" s="8">
        <v>10</v>
      </c>
      <c r="K2000" s="4">
        <v>45000</v>
      </c>
      <c r="L2000" s="4">
        <v>11250</v>
      </c>
      <c r="M2000" s="3">
        <v>0.25</v>
      </c>
    </row>
    <row r="2001" spans="2:13" x14ac:dyDescent="0.3">
      <c r="B2001" t="s">
        <v>65</v>
      </c>
      <c r="C2001" s="1" t="s">
        <v>63</v>
      </c>
      <c r="D2001" s="2">
        <v>45004</v>
      </c>
      <c r="E2001" s="8" t="s">
        <v>24</v>
      </c>
      <c r="F2001" s="8" t="s">
        <v>71</v>
      </c>
      <c r="G2001" s="8" t="s">
        <v>72</v>
      </c>
      <c r="H2001" t="s">
        <v>12</v>
      </c>
      <c r="I2001" s="4">
        <v>500</v>
      </c>
      <c r="J2001" s="8">
        <v>12</v>
      </c>
      <c r="K2001" s="4">
        <v>6000</v>
      </c>
      <c r="L2001" s="4">
        <v>1500</v>
      </c>
      <c r="M2001" s="3">
        <v>0.25</v>
      </c>
    </row>
    <row r="2002" spans="2:13" x14ac:dyDescent="0.3">
      <c r="B2002" t="s">
        <v>65</v>
      </c>
      <c r="C2002" s="1" t="s">
        <v>63</v>
      </c>
      <c r="D2002" s="2">
        <v>45011</v>
      </c>
      <c r="E2002" s="8" t="s">
        <v>24</v>
      </c>
      <c r="F2002" s="8" t="s">
        <v>71</v>
      </c>
      <c r="G2002" s="8" t="s">
        <v>72</v>
      </c>
      <c r="H2002" t="s">
        <v>14</v>
      </c>
      <c r="I2002" s="4">
        <v>4500</v>
      </c>
      <c r="J2002" s="8">
        <v>12</v>
      </c>
      <c r="K2002" s="4">
        <v>54000</v>
      </c>
      <c r="L2002" s="4">
        <v>13500</v>
      </c>
      <c r="M2002" s="3">
        <v>0.25</v>
      </c>
    </row>
    <row r="2003" spans="2:13" x14ac:dyDescent="0.3">
      <c r="B2003" t="s">
        <v>62</v>
      </c>
      <c r="C2003" s="1" t="s">
        <v>63</v>
      </c>
      <c r="D2003" s="2">
        <v>45018</v>
      </c>
      <c r="E2003" s="8" t="s">
        <v>24</v>
      </c>
      <c r="F2003" s="8" t="s">
        <v>71</v>
      </c>
      <c r="G2003" s="8" t="s">
        <v>72</v>
      </c>
      <c r="H2003" t="s">
        <v>17</v>
      </c>
      <c r="I2003" s="4">
        <v>5130</v>
      </c>
      <c r="J2003" s="8">
        <v>9</v>
      </c>
      <c r="K2003" s="4">
        <v>46170</v>
      </c>
      <c r="L2003" s="4">
        <v>18468</v>
      </c>
      <c r="M2003" s="3">
        <v>0.4</v>
      </c>
    </row>
    <row r="2004" spans="2:13" x14ac:dyDescent="0.3">
      <c r="B2004" t="s">
        <v>65</v>
      </c>
      <c r="C2004" s="1" t="s">
        <v>63</v>
      </c>
      <c r="D2004" s="2">
        <v>45025</v>
      </c>
      <c r="E2004" s="8" t="s">
        <v>24</v>
      </c>
      <c r="F2004" s="8" t="s">
        <v>71</v>
      </c>
      <c r="G2004" s="8" t="s">
        <v>72</v>
      </c>
      <c r="H2004" t="s">
        <v>16</v>
      </c>
      <c r="I2004" s="4">
        <v>3400</v>
      </c>
      <c r="J2004" s="8">
        <v>11</v>
      </c>
      <c r="K2004" s="4">
        <v>37400</v>
      </c>
      <c r="L2004" s="4">
        <v>13090</v>
      </c>
      <c r="M2004" s="3">
        <v>0.35</v>
      </c>
    </row>
    <row r="2005" spans="2:13" x14ac:dyDescent="0.3">
      <c r="B2005" t="s">
        <v>65</v>
      </c>
      <c r="C2005" s="1" t="s">
        <v>64</v>
      </c>
      <c r="D2005" s="2">
        <v>45032</v>
      </c>
      <c r="E2005" s="8" t="s">
        <v>24</v>
      </c>
      <c r="F2005" s="8" t="s">
        <v>71</v>
      </c>
      <c r="G2005" s="8" t="s">
        <v>72</v>
      </c>
      <c r="H2005" t="s">
        <v>8</v>
      </c>
      <c r="I2005" s="4">
        <v>1200</v>
      </c>
      <c r="J2005" s="8">
        <v>3</v>
      </c>
      <c r="K2005" s="4">
        <v>3600</v>
      </c>
      <c r="L2005" s="4">
        <v>1080</v>
      </c>
      <c r="M2005" s="3">
        <v>0.3</v>
      </c>
    </row>
    <row r="2006" spans="2:13" x14ac:dyDescent="0.3">
      <c r="B2006" t="s">
        <v>65</v>
      </c>
      <c r="C2006" s="1" t="s">
        <v>63</v>
      </c>
      <c r="D2006" s="2">
        <v>45039</v>
      </c>
      <c r="E2006" s="8" t="s">
        <v>24</v>
      </c>
      <c r="F2006" s="8" t="s">
        <v>71</v>
      </c>
      <c r="G2006" s="8" t="s">
        <v>72</v>
      </c>
      <c r="H2006" t="s">
        <v>15</v>
      </c>
      <c r="I2006" s="4">
        <v>5300</v>
      </c>
      <c r="J2006" s="8">
        <v>12</v>
      </c>
      <c r="K2006" s="4">
        <v>63600</v>
      </c>
      <c r="L2006" s="4">
        <v>19080</v>
      </c>
      <c r="M2006" s="3">
        <v>0.3</v>
      </c>
    </row>
    <row r="2007" spans="2:13" x14ac:dyDescent="0.3">
      <c r="B2007" t="s">
        <v>60</v>
      </c>
      <c r="C2007" s="1" t="s">
        <v>63</v>
      </c>
      <c r="D2007" s="2">
        <v>45046</v>
      </c>
      <c r="E2007" s="8" t="s">
        <v>24</v>
      </c>
      <c r="F2007" s="8" t="s">
        <v>71</v>
      </c>
      <c r="G2007" s="8" t="s">
        <v>72</v>
      </c>
      <c r="H2007" t="s">
        <v>11</v>
      </c>
      <c r="I2007" s="4">
        <v>300</v>
      </c>
      <c r="J2007" s="8">
        <v>7</v>
      </c>
      <c r="K2007" s="4">
        <v>2100</v>
      </c>
      <c r="L2007" s="4">
        <v>315</v>
      </c>
      <c r="M2007" s="3">
        <v>0.15</v>
      </c>
    </row>
    <row r="2008" spans="2:13" x14ac:dyDescent="0.3">
      <c r="B2008" t="s">
        <v>60</v>
      </c>
      <c r="C2008" s="1" t="s">
        <v>64</v>
      </c>
      <c r="D2008" s="2">
        <v>45053</v>
      </c>
      <c r="E2008" s="8" t="s">
        <v>24</v>
      </c>
      <c r="F2008" s="8" t="s">
        <v>71</v>
      </c>
      <c r="G2008" s="8" t="s">
        <v>72</v>
      </c>
      <c r="H2008" t="s">
        <v>9</v>
      </c>
      <c r="I2008" s="4">
        <v>1500</v>
      </c>
      <c r="J2008" s="8">
        <v>3</v>
      </c>
      <c r="K2008" s="4">
        <v>4500</v>
      </c>
      <c r="L2008" s="4">
        <v>1800</v>
      </c>
      <c r="M2008" s="3">
        <v>0.4</v>
      </c>
    </row>
    <row r="2009" spans="2:13" x14ac:dyDescent="0.3">
      <c r="B2009" t="s">
        <v>60</v>
      </c>
      <c r="C2009" s="1" t="s">
        <v>63</v>
      </c>
      <c r="D2009" s="2">
        <v>45060</v>
      </c>
      <c r="E2009" s="8" t="s">
        <v>24</v>
      </c>
      <c r="F2009" s="8" t="s">
        <v>71</v>
      </c>
      <c r="G2009" s="8" t="s">
        <v>72</v>
      </c>
      <c r="H2009" t="s">
        <v>13</v>
      </c>
      <c r="I2009" s="4">
        <v>3200</v>
      </c>
      <c r="J2009" s="8">
        <v>5</v>
      </c>
      <c r="K2009" s="4">
        <v>16000</v>
      </c>
      <c r="L2009" s="4">
        <v>3200</v>
      </c>
      <c r="M2009" s="3">
        <v>0.2</v>
      </c>
    </row>
    <row r="2010" spans="2:13" x14ac:dyDescent="0.3">
      <c r="B2010" t="s">
        <v>60</v>
      </c>
      <c r="C2010" s="1" t="s">
        <v>63</v>
      </c>
      <c r="D2010" s="2">
        <v>45067</v>
      </c>
      <c r="E2010" s="8" t="s">
        <v>24</v>
      </c>
      <c r="F2010" s="8" t="s">
        <v>71</v>
      </c>
      <c r="G2010" s="8" t="s">
        <v>72</v>
      </c>
      <c r="H2010" t="s">
        <v>19</v>
      </c>
      <c r="I2010" s="4">
        <v>5340</v>
      </c>
      <c r="J2010" s="8">
        <v>5</v>
      </c>
      <c r="K2010" s="4">
        <v>26700</v>
      </c>
      <c r="L2010" s="4">
        <v>8010</v>
      </c>
      <c r="M2010" s="3">
        <v>0.3</v>
      </c>
    </row>
    <row r="2011" spans="2:13" x14ac:dyDescent="0.3">
      <c r="B2011" t="s">
        <v>65</v>
      </c>
      <c r="C2011" s="1" t="s">
        <v>63</v>
      </c>
      <c r="D2011" s="2">
        <v>45074</v>
      </c>
      <c r="E2011" s="8" t="s">
        <v>24</v>
      </c>
      <c r="F2011" s="8" t="s">
        <v>71</v>
      </c>
      <c r="G2011" s="8" t="s">
        <v>72</v>
      </c>
      <c r="H2011" t="s">
        <v>16</v>
      </c>
      <c r="I2011" s="4">
        <v>3400</v>
      </c>
      <c r="J2011" s="8">
        <v>3</v>
      </c>
      <c r="K2011" s="4">
        <v>10200</v>
      </c>
      <c r="L2011" s="4">
        <v>3570</v>
      </c>
      <c r="M2011" s="3">
        <v>0.35</v>
      </c>
    </row>
    <row r="2012" spans="2:13" x14ac:dyDescent="0.3">
      <c r="B2012" t="s">
        <v>66</v>
      </c>
      <c r="C2012" s="1" t="s">
        <v>64</v>
      </c>
      <c r="D2012" s="2">
        <v>45081</v>
      </c>
      <c r="E2012" s="8" t="s">
        <v>24</v>
      </c>
      <c r="F2012" s="8" t="s">
        <v>71</v>
      </c>
      <c r="G2012" s="8" t="s">
        <v>72</v>
      </c>
      <c r="H2012" t="s">
        <v>9</v>
      </c>
      <c r="I2012" s="4">
        <v>1500</v>
      </c>
      <c r="J2012" s="8">
        <v>20</v>
      </c>
      <c r="K2012" s="4">
        <v>30000</v>
      </c>
      <c r="L2012" s="4">
        <v>12000</v>
      </c>
      <c r="M2012" s="3">
        <v>0.4</v>
      </c>
    </row>
    <row r="2013" spans="2:13" x14ac:dyDescent="0.3">
      <c r="B2013" t="s">
        <v>60</v>
      </c>
      <c r="C2013" s="1" t="s">
        <v>63</v>
      </c>
      <c r="D2013" s="2">
        <v>45088</v>
      </c>
      <c r="E2013" s="8" t="s">
        <v>24</v>
      </c>
      <c r="F2013" s="8" t="s">
        <v>71</v>
      </c>
      <c r="G2013" s="8" t="s">
        <v>72</v>
      </c>
      <c r="H2013" t="s">
        <v>8</v>
      </c>
      <c r="I2013" s="4">
        <v>1200</v>
      </c>
      <c r="J2013" s="8">
        <v>11</v>
      </c>
      <c r="K2013" s="4">
        <v>13200</v>
      </c>
      <c r="L2013" s="4">
        <v>3960</v>
      </c>
      <c r="M2013" s="3">
        <v>0.3</v>
      </c>
    </row>
    <row r="2014" spans="2:13" x14ac:dyDescent="0.3">
      <c r="B2014" t="s">
        <v>65</v>
      </c>
      <c r="C2014" s="1" t="s">
        <v>63</v>
      </c>
      <c r="D2014" s="2">
        <v>45095</v>
      </c>
      <c r="E2014" s="8" t="s">
        <v>24</v>
      </c>
      <c r="F2014" s="8" t="s">
        <v>71</v>
      </c>
      <c r="G2014" s="8" t="s">
        <v>72</v>
      </c>
      <c r="H2014" t="s">
        <v>20</v>
      </c>
      <c r="I2014" s="4">
        <v>8902</v>
      </c>
      <c r="J2014" s="8">
        <v>20</v>
      </c>
      <c r="K2014" s="4">
        <v>178040</v>
      </c>
      <c r="L2014" s="4">
        <v>62313.999999999993</v>
      </c>
      <c r="M2014" s="3">
        <v>0.35</v>
      </c>
    </row>
    <row r="2015" spans="2:13" x14ac:dyDescent="0.3">
      <c r="B2015" t="s">
        <v>60</v>
      </c>
      <c r="C2015" s="1" t="s">
        <v>63</v>
      </c>
      <c r="D2015" s="2">
        <v>45102</v>
      </c>
      <c r="E2015" s="8" t="s">
        <v>24</v>
      </c>
      <c r="F2015" s="8" t="s">
        <v>71</v>
      </c>
      <c r="G2015" s="8" t="s">
        <v>72</v>
      </c>
      <c r="H2015" t="s">
        <v>8</v>
      </c>
      <c r="I2015" s="4">
        <v>1200</v>
      </c>
      <c r="J2015" s="8">
        <v>4</v>
      </c>
      <c r="K2015" s="4">
        <v>4800</v>
      </c>
      <c r="L2015" s="4">
        <v>1440</v>
      </c>
      <c r="M2015" s="3">
        <v>0.3</v>
      </c>
    </row>
    <row r="2016" spans="2:13" x14ac:dyDescent="0.3">
      <c r="B2016" t="s">
        <v>60</v>
      </c>
      <c r="C2016" s="1" t="s">
        <v>64</v>
      </c>
      <c r="D2016" s="2">
        <v>45109</v>
      </c>
      <c r="E2016" s="8" t="s">
        <v>24</v>
      </c>
      <c r="F2016" s="8" t="s">
        <v>71</v>
      </c>
      <c r="G2016" s="8" t="s">
        <v>72</v>
      </c>
      <c r="H2016" t="s">
        <v>13</v>
      </c>
      <c r="I2016" s="4">
        <v>3200</v>
      </c>
      <c r="J2016" s="8">
        <v>10</v>
      </c>
      <c r="K2016" s="4">
        <v>32000</v>
      </c>
      <c r="L2016" s="4">
        <v>6400</v>
      </c>
      <c r="M2016" s="3">
        <v>0.2</v>
      </c>
    </row>
    <row r="2017" spans="2:13" x14ac:dyDescent="0.3">
      <c r="B2017" t="s">
        <v>65</v>
      </c>
      <c r="C2017" s="1" t="s">
        <v>64</v>
      </c>
      <c r="D2017" s="2">
        <v>45116</v>
      </c>
      <c r="E2017" s="8" t="s">
        <v>24</v>
      </c>
      <c r="F2017" s="8" t="s">
        <v>71</v>
      </c>
      <c r="G2017" s="8" t="s">
        <v>72</v>
      </c>
      <c r="H2017" t="s">
        <v>18</v>
      </c>
      <c r="I2017" s="4">
        <v>4600</v>
      </c>
      <c r="J2017" s="8">
        <v>3</v>
      </c>
      <c r="K2017" s="4">
        <v>13800</v>
      </c>
      <c r="L2017" s="4">
        <v>3450</v>
      </c>
      <c r="M2017" s="3">
        <v>0.25</v>
      </c>
    </row>
    <row r="2018" spans="2:13" x14ac:dyDescent="0.3">
      <c r="B2018" t="s">
        <v>60</v>
      </c>
      <c r="C2018" s="1" t="s">
        <v>64</v>
      </c>
      <c r="D2018" s="2">
        <v>45123</v>
      </c>
      <c r="E2018" s="8" t="s">
        <v>24</v>
      </c>
      <c r="F2018" s="8" t="s">
        <v>71</v>
      </c>
      <c r="G2018" s="8" t="s">
        <v>72</v>
      </c>
      <c r="H2018" t="s">
        <v>10</v>
      </c>
      <c r="I2018" s="4">
        <v>1700</v>
      </c>
      <c r="J2018" s="8">
        <v>1</v>
      </c>
      <c r="K2018" s="4">
        <v>1700</v>
      </c>
      <c r="L2018" s="4">
        <v>850</v>
      </c>
      <c r="M2018" s="3">
        <v>0.5</v>
      </c>
    </row>
    <row r="2019" spans="2:13" x14ac:dyDescent="0.3">
      <c r="B2019" t="s">
        <v>61</v>
      </c>
      <c r="C2019" s="1" t="s">
        <v>63</v>
      </c>
      <c r="D2019" s="2">
        <v>45130</v>
      </c>
      <c r="E2019" s="8" t="s">
        <v>24</v>
      </c>
      <c r="F2019" s="8" t="s">
        <v>71</v>
      </c>
      <c r="G2019" s="8" t="s">
        <v>72</v>
      </c>
      <c r="H2019" t="s">
        <v>14</v>
      </c>
      <c r="I2019" s="4">
        <v>4500</v>
      </c>
      <c r="J2019" s="8">
        <v>6</v>
      </c>
      <c r="K2019" s="4">
        <v>27000</v>
      </c>
      <c r="L2019" s="4">
        <v>6750</v>
      </c>
      <c r="M2019" s="3">
        <v>0.25</v>
      </c>
    </row>
    <row r="2020" spans="2:13" x14ac:dyDescent="0.3">
      <c r="B2020" t="s">
        <v>61</v>
      </c>
      <c r="C2020" s="1" t="s">
        <v>63</v>
      </c>
      <c r="D2020" s="2">
        <v>45137</v>
      </c>
      <c r="E2020" s="8" t="s">
        <v>24</v>
      </c>
      <c r="F2020" s="8" t="s">
        <v>71</v>
      </c>
      <c r="G2020" s="8" t="s">
        <v>72</v>
      </c>
      <c r="H2020" t="s">
        <v>16</v>
      </c>
      <c r="I2020" s="4">
        <v>3400</v>
      </c>
      <c r="J2020" s="8">
        <v>11</v>
      </c>
      <c r="K2020" s="4">
        <v>37400</v>
      </c>
      <c r="L2020" s="4">
        <v>13090</v>
      </c>
      <c r="M2020" s="3">
        <v>0.35</v>
      </c>
    </row>
    <row r="2021" spans="2:13" x14ac:dyDescent="0.3">
      <c r="B2021" t="s">
        <v>65</v>
      </c>
      <c r="C2021" s="1" t="s">
        <v>63</v>
      </c>
      <c r="D2021" s="2">
        <v>45144</v>
      </c>
      <c r="E2021" s="8" t="s">
        <v>24</v>
      </c>
      <c r="F2021" s="8" t="s">
        <v>71</v>
      </c>
      <c r="G2021" s="8" t="s">
        <v>72</v>
      </c>
      <c r="H2021" t="s">
        <v>18</v>
      </c>
      <c r="I2021" s="4">
        <v>4600</v>
      </c>
      <c r="J2021" s="8">
        <v>11</v>
      </c>
      <c r="K2021" s="4">
        <v>50600</v>
      </c>
      <c r="L2021" s="4">
        <v>12650</v>
      </c>
      <c r="M2021" s="3">
        <v>0.25</v>
      </c>
    </row>
    <row r="2022" spans="2:13" x14ac:dyDescent="0.3">
      <c r="B2022" t="s">
        <v>65</v>
      </c>
      <c r="C2022" s="1" t="s">
        <v>64</v>
      </c>
      <c r="D2022" s="2">
        <v>45151</v>
      </c>
      <c r="E2022" s="8" t="s">
        <v>24</v>
      </c>
      <c r="F2022" s="8" t="s">
        <v>71</v>
      </c>
      <c r="G2022" s="8" t="s">
        <v>72</v>
      </c>
      <c r="H2022" t="s">
        <v>8</v>
      </c>
      <c r="I2022" s="4">
        <v>1200</v>
      </c>
      <c r="J2022" s="8">
        <v>11</v>
      </c>
      <c r="K2022" s="4">
        <v>13200</v>
      </c>
      <c r="L2022" s="4">
        <v>3960</v>
      </c>
      <c r="M2022" s="3">
        <v>0.3</v>
      </c>
    </row>
    <row r="2023" spans="2:13" x14ac:dyDescent="0.3">
      <c r="B2023" t="s">
        <v>66</v>
      </c>
      <c r="C2023" s="1" t="s">
        <v>64</v>
      </c>
      <c r="D2023" s="2">
        <v>45158</v>
      </c>
      <c r="E2023" s="8" t="s">
        <v>24</v>
      </c>
      <c r="F2023" s="8" t="s">
        <v>71</v>
      </c>
      <c r="G2023" s="8" t="s">
        <v>72</v>
      </c>
      <c r="H2023" t="s">
        <v>17</v>
      </c>
      <c r="I2023" s="4">
        <v>5130</v>
      </c>
      <c r="J2023" s="8">
        <v>11</v>
      </c>
      <c r="K2023" s="4">
        <v>56430</v>
      </c>
      <c r="L2023" s="4">
        <v>22572</v>
      </c>
      <c r="M2023" s="3">
        <v>0.4</v>
      </c>
    </row>
    <row r="2024" spans="2:13" x14ac:dyDescent="0.3">
      <c r="B2024" t="s">
        <v>65</v>
      </c>
      <c r="C2024" s="1" t="s">
        <v>63</v>
      </c>
      <c r="D2024" s="2">
        <v>45165</v>
      </c>
      <c r="E2024" s="8" t="s">
        <v>24</v>
      </c>
      <c r="F2024" s="8" t="s">
        <v>71</v>
      </c>
      <c r="G2024" s="8" t="s">
        <v>72</v>
      </c>
      <c r="H2024" t="s">
        <v>20</v>
      </c>
      <c r="I2024" s="4">
        <v>8902</v>
      </c>
      <c r="J2024" s="8">
        <v>9</v>
      </c>
      <c r="K2024" s="4">
        <v>80118</v>
      </c>
      <c r="L2024" s="4">
        <v>28041.3</v>
      </c>
      <c r="M2024" s="3">
        <v>0.35</v>
      </c>
    </row>
    <row r="2025" spans="2:13" x14ac:dyDescent="0.3">
      <c r="B2025" t="s">
        <v>65</v>
      </c>
      <c r="C2025" s="1" t="s">
        <v>64</v>
      </c>
      <c r="D2025" s="2">
        <v>44562</v>
      </c>
      <c r="E2025" s="8" t="s">
        <v>24</v>
      </c>
      <c r="F2025" s="8" t="s">
        <v>71</v>
      </c>
      <c r="G2025" s="8" t="s">
        <v>72</v>
      </c>
      <c r="H2025" t="s">
        <v>17</v>
      </c>
      <c r="I2025" s="4">
        <v>5130</v>
      </c>
      <c r="J2025" s="8">
        <v>8</v>
      </c>
      <c r="K2025" s="4">
        <v>41040</v>
      </c>
      <c r="L2025" s="4">
        <v>16416</v>
      </c>
      <c r="M2025" s="3">
        <v>0.4</v>
      </c>
    </row>
    <row r="2026" spans="2:13" x14ac:dyDescent="0.3">
      <c r="B2026" t="s">
        <v>65</v>
      </c>
      <c r="C2026" s="1" t="s">
        <v>63</v>
      </c>
      <c r="D2026" s="2">
        <v>44577</v>
      </c>
      <c r="E2026" s="8" t="s">
        <v>24</v>
      </c>
      <c r="F2026" s="8" t="s">
        <v>71</v>
      </c>
      <c r="G2026" s="8" t="s">
        <v>72</v>
      </c>
      <c r="H2026" t="s">
        <v>11</v>
      </c>
      <c r="I2026" s="4">
        <v>300</v>
      </c>
      <c r="J2026" s="8">
        <v>9</v>
      </c>
      <c r="K2026" s="4">
        <v>2700</v>
      </c>
      <c r="L2026" s="4">
        <v>405</v>
      </c>
      <c r="M2026" s="3">
        <v>0.15</v>
      </c>
    </row>
    <row r="2027" spans="2:13" x14ac:dyDescent="0.3">
      <c r="B2027" t="s">
        <v>62</v>
      </c>
      <c r="C2027" s="1" t="s">
        <v>64</v>
      </c>
      <c r="D2027" s="2">
        <v>44584</v>
      </c>
      <c r="E2027" s="8" t="s">
        <v>24</v>
      </c>
      <c r="F2027" s="8" t="s">
        <v>71</v>
      </c>
      <c r="G2027" s="8" t="s">
        <v>72</v>
      </c>
      <c r="H2027" t="s">
        <v>14</v>
      </c>
      <c r="I2027" s="4">
        <v>4500</v>
      </c>
      <c r="J2027" s="8">
        <v>12</v>
      </c>
      <c r="K2027" s="4">
        <v>54000</v>
      </c>
      <c r="L2027" s="4">
        <v>13500</v>
      </c>
      <c r="M2027" s="3">
        <v>0.25</v>
      </c>
    </row>
    <row r="2028" spans="2:13" x14ac:dyDescent="0.3">
      <c r="B2028" t="s">
        <v>66</v>
      </c>
      <c r="C2028" s="1" t="s">
        <v>63</v>
      </c>
      <c r="D2028" s="2">
        <v>44591</v>
      </c>
      <c r="E2028" s="8" t="s">
        <v>24</v>
      </c>
      <c r="F2028" s="8" t="s">
        <v>71</v>
      </c>
      <c r="G2028" s="8" t="s">
        <v>72</v>
      </c>
      <c r="H2028" t="s">
        <v>11</v>
      </c>
      <c r="I2028" s="4">
        <v>300</v>
      </c>
      <c r="J2028" s="8">
        <v>1</v>
      </c>
      <c r="K2028" s="4">
        <v>300</v>
      </c>
      <c r="L2028" s="4">
        <v>45</v>
      </c>
      <c r="M2028" s="3">
        <v>0.15</v>
      </c>
    </row>
    <row r="2029" spans="2:13" x14ac:dyDescent="0.3">
      <c r="B2029" t="s">
        <v>65</v>
      </c>
      <c r="C2029" s="1" t="s">
        <v>63</v>
      </c>
      <c r="D2029" s="2">
        <v>44598</v>
      </c>
      <c r="E2029" s="8" t="s">
        <v>24</v>
      </c>
      <c r="F2029" s="8" t="s">
        <v>71</v>
      </c>
      <c r="G2029" s="8" t="s">
        <v>72</v>
      </c>
      <c r="H2029" t="s">
        <v>17</v>
      </c>
      <c r="I2029" s="4">
        <v>5130</v>
      </c>
      <c r="J2029" s="8">
        <v>2</v>
      </c>
      <c r="K2029" s="4">
        <v>10260</v>
      </c>
      <c r="L2029" s="4">
        <v>4104</v>
      </c>
      <c r="M2029" s="3">
        <v>0.4</v>
      </c>
    </row>
    <row r="2030" spans="2:13" x14ac:dyDescent="0.3">
      <c r="B2030" t="s">
        <v>65</v>
      </c>
      <c r="C2030" s="1" t="s">
        <v>63</v>
      </c>
      <c r="D2030" s="2">
        <v>44605</v>
      </c>
      <c r="E2030" s="8" t="s">
        <v>24</v>
      </c>
      <c r="F2030" s="8" t="s">
        <v>71</v>
      </c>
      <c r="G2030" s="8" t="s">
        <v>72</v>
      </c>
      <c r="H2030" t="s">
        <v>14</v>
      </c>
      <c r="I2030" s="4">
        <v>4500</v>
      </c>
      <c r="J2030" s="8">
        <v>7</v>
      </c>
      <c r="K2030" s="4">
        <v>31500</v>
      </c>
      <c r="L2030" s="4">
        <v>7875</v>
      </c>
      <c r="M2030" s="3">
        <v>0.25</v>
      </c>
    </row>
    <row r="2031" spans="2:13" x14ac:dyDescent="0.3">
      <c r="B2031" t="s">
        <v>66</v>
      </c>
      <c r="C2031" s="1" t="s">
        <v>63</v>
      </c>
      <c r="D2031" s="2">
        <v>44612</v>
      </c>
      <c r="E2031" s="8" t="s">
        <v>24</v>
      </c>
      <c r="F2031" s="8" t="s">
        <v>71</v>
      </c>
      <c r="G2031" s="8" t="s">
        <v>72</v>
      </c>
      <c r="H2031" t="s">
        <v>13</v>
      </c>
      <c r="I2031" s="4">
        <v>3200</v>
      </c>
      <c r="J2031" s="8">
        <v>12</v>
      </c>
      <c r="K2031" s="4">
        <v>38400</v>
      </c>
      <c r="L2031" s="4">
        <v>7680</v>
      </c>
      <c r="M2031" s="3">
        <v>0.2</v>
      </c>
    </row>
    <row r="2032" spans="2:13" x14ac:dyDescent="0.3">
      <c r="B2032" t="s">
        <v>62</v>
      </c>
      <c r="C2032" s="1" t="s">
        <v>63</v>
      </c>
      <c r="D2032" s="2">
        <v>44619</v>
      </c>
      <c r="E2032" s="8" t="s">
        <v>24</v>
      </c>
      <c r="F2032" s="8" t="s">
        <v>71</v>
      </c>
      <c r="G2032" s="8" t="s">
        <v>72</v>
      </c>
      <c r="H2032" t="s">
        <v>12</v>
      </c>
      <c r="I2032" s="4">
        <v>500</v>
      </c>
      <c r="J2032" s="8">
        <v>15</v>
      </c>
      <c r="K2032" s="4">
        <v>7500</v>
      </c>
      <c r="L2032" s="4">
        <v>1875</v>
      </c>
      <c r="M2032" s="3">
        <v>0.25</v>
      </c>
    </row>
    <row r="2033" spans="2:13" x14ac:dyDescent="0.3">
      <c r="B2033" t="s">
        <v>65</v>
      </c>
      <c r="C2033" s="1" t="s">
        <v>63</v>
      </c>
      <c r="D2033" s="2">
        <v>44626</v>
      </c>
      <c r="E2033" s="8" t="s">
        <v>24</v>
      </c>
      <c r="F2033" s="8" t="s">
        <v>71</v>
      </c>
      <c r="G2033" s="8" t="s">
        <v>72</v>
      </c>
      <c r="H2033" t="s">
        <v>11</v>
      </c>
      <c r="I2033" s="4">
        <v>300</v>
      </c>
      <c r="J2033" s="8">
        <v>3</v>
      </c>
      <c r="K2033" s="4">
        <v>900</v>
      </c>
      <c r="L2033" s="4">
        <v>135</v>
      </c>
      <c r="M2033" s="3">
        <v>0.15</v>
      </c>
    </row>
    <row r="2034" spans="2:13" x14ac:dyDescent="0.3">
      <c r="B2034" t="s">
        <v>60</v>
      </c>
      <c r="C2034" s="1" t="s">
        <v>64</v>
      </c>
      <c r="D2034" s="2">
        <v>44633</v>
      </c>
      <c r="E2034" s="8" t="s">
        <v>24</v>
      </c>
      <c r="F2034" s="8" t="s">
        <v>71</v>
      </c>
      <c r="G2034" s="8" t="s">
        <v>72</v>
      </c>
      <c r="H2034" t="s">
        <v>17</v>
      </c>
      <c r="I2034" s="4">
        <v>5130</v>
      </c>
      <c r="J2034" s="8">
        <v>5</v>
      </c>
      <c r="K2034" s="4">
        <v>25650</v>
      </c>
      <c r="L2034" s="4">
        <v>10260</v>
      </c>
      <c r="M2034" s="3">
        <v>0.4</v>
      </c>
    </row>
    <row r="2035" spans="2:13" x14ac:dyDescent="0.3">
      <c r="B2035" t="s">
        <v>65</v>
      </c>
      <c r="C2035" s="1" t="s">
        <v>64</v>
      </c>
      <c r="D2035" s="2">
        <v>44640</v>
      </c>
      <c r="E2035" s="8" t="s">
        <v>24</v>
      </c>
      <c r="F2035" s="8" t="s">
        <v>71</v>
      </c>
      <c r="G2035" s="8" t="s">
        <v>72</v>
      </c>
      <c r="H2035" t="s">
        <v>9</v>
      </c>
      <c r="I2035" s="4">
        <v>1500</v>
      </c>
      <c r="J2035" s="8">
        <v>4</v>
      </c>
      <c r="K2035" s="4">
        <v>6000</v>
      </c>
      <c r="L2035" s="4">
        <v>2400</v>
      </c>
      <c r="M2035" s="3">
        <v>0.4</v>
      </c>
    </row>
    <row r="2036" spans="2:13" x14ac:dyDescent="0.3">
      <c r="B2036" t="s">
        <v>66</v>
      </c>
      <c r="C2036" s="1" t="s">
        <v>63</v>
      </c>
      <c r="D2036" s="2">
        <v>44647</v>
      </c>
      <c r="E2036" s="8" t="s">
        <v>24</v>
      </c>
      <c r="F2036" s="8" t="s">
        <v>71</v>
      </c>
      <c r="G2036" s="8" t="s">
        <v>72</v>
      </c>
      <c r="H2036" t="s">
        <v>20</v>
      </c>
      <c r="I2036" s="4">
        <v>8902</v>
      </c>
      <c r="J2036" s="8">
        <v>1</v>
      </c>
      <c r="K2036" s="4">
        <v>8902</v>
      </c>
      <c r="L2036" s="4">
        <v>3115.7</v>
      </c>
      <c r="M2036" s="3">
        <v>0.35</v>
      </c>
    </row>
    <row r="2037" spans="2:13" x14ac:dyDescent="0.3">
      <c r="B2037" t="s">
        <v>61</v>
      </c>
      <c r="C2037" s="1" t="s">
        <v>63</v>
      </c>
      <c r="D2037" s="2">
        <v>44654</v>
      </c>
      <c r="E2037" s="8" t="s">
        <v>24</v>
      </c>
      <c r="F2037" s="8" t="s">
        <v>71</v>
      </c>
      <c r="G2037" s="8" t="s">
        <v>72</v>
      </c>
      <c r="H2037" t="s">
        <v>8</v>
      </c>
      <c r="I2037" s="4">
        <v>1200</v>
      </c>
      <c r="J2037" s="8">
        <v>9</v>
      </c>
      <c r="K2037" s="4">
        <v>10800</v>
      </c>
      <c r="L2037" s="4">
        <v>3240</v>
      </c>
      <c r="M2037" s="3">
        <v>0.3</v>
      </c>
    </row>
    <row r="2038" spans="2:13" x14ac:dyDescent="0.3">
      <c r="B2038" t="s">
        <v>65</v>
      </c>
      <c r="C2038" s="1" t="s">
        <v>63</v>
      </c>
      <c r="D2038" s="2">
        <v>44661</v>
      </c>
      <c r="E2038" s="8" t="s">
        <v>24</v>
      </c>
      <c r="F2038" s="8" t="s">
        <v>71</v>
      </c>
      <c r="G2038" s="8" t="s">
        <v>72</v>
      </c>
      <c r="H2038" t="s">
        <v>12</v>
      </c>
      <c r="I2038" s="4">
        <v>500</v>
      </c>
      <c r="J2038" s="8">
        <v>10</v>
      </c>
      <c r="K2038" s="4">
        <v>5000</v>
      </c>
      <c r="L2038" s="4">
        <v>1250</v>
      </c>
      <c r="M2038" s="3">
        <v>0.25</v>
      </c>
    </row>
    <row r="2039" spans="2:13" x14ac:dyDescent="0.3">
      <c r="B2039" t="s">
        <v>61</v>
      </c>
      <c r="C2039" s="1" t="s">
        <v>63</v>
      </c>
      <c r="D2039" s="2">
        <v>44668</v>
      </c>
      <c r="E2039" s="8" t="s">
        <v>24</v>
      </c>
      <c r="F2039" s="8" t="s">
        <v>71</v>
      </c>
      <c r="G2039" s="8" t="s">
        <v>72</v>
      </c>
      <c r="H2039" t="s">
        <v>14</v>
      </c>
      <c r="I2039" s="4">
        <v>4500</v>
      </c>
      <c r="J2039" s="8">
        <v>5</v>
      </c>
      <c r="K2039" s="4">
        <v>22500</v>
      </c>
      <c r="L2039" s="4">
        <v>5625</v>
      </c>
      <c r="M2039" s="3">
        <v>0.25</v>
      </c>
    </row>
    <row r="2040" spans="2:13" x14ac:dyDescent="0.3">
      <c r="B2040" t="s">
        <v>61</v>
      </c>
      <c r="C2040" s="1" t="s">
        <v>63</v>
      </c>
      <c r="D2040" s="2">
        <v>44675</v>
      </c>
      <c r="E2040" s="8" t="s">
        <v>24</v>
      </c>
      <c r="F2040" s="8" t="s">
        <v>71</v>
      </c>
      <c r="G2040" s="8" t="s">
        <v>72</v>
      </c>
      <c r="H2040" t="s">
        <v>11</v>
      </c>
      <c r="I2040" s="4">
        <v>300</v>
      </c>
      <c r="J2040" s="8">
        <v>3</v>
      </c>
      <c r="K2040" s="4">
        <v>900</v>
      </c>
      <c r="L2040" s="4">
        <v>135</v>
      </c>
      <c r="M2040" s="3">
        <v>0.15</v>
      </c>
    </row>
    <row r="2041" spans="2:13" x14ac:dyDescent="0.3">
      <c r="B2041" t="s">
        <v>65</v>
      </c>
      <c r="C2041" s="1" t="s">
        <v>63</v>
      </c>
      <c r="D2041" s="2">
        <v>44682</v>
      </c>
      <c r="E2041" s="8" t="s">
        <v>24</v>
      </c>
      <c r="F2041" s="8" t="s">
        <v>71</v>
      </c>
      <c r="G2041" s="8" t="s">
        <v>72</v>
      </c>
      <c r="H2041" t="s">
        <v>18</v>
      </c>
      <c r="I2041" s="4">
        <v>4600</v>
      </c>
      <c r="J2041" s="8">
        <v>12</v>
      </c>
      <c r="K2041" s="4">
        <v>55200</v>
      </c>
      <c r="L2041" s="4">
        <v>13800</v>
      </c>
      <c r="M2041" s="3">
        <v>0.25</v>
      </c>
    </row>
    <row r="2042" spans="2:13" x14ac:dyDescent="0.3">
      <c r="B2042" t="s">
        <v>65</v>
      </c>
      <c r="C2042" s="1" t="s">
        <v>63</v>
      </c>
      <c r="D2042" s="2">
        <v>44689</v>
      </c>
      <c r="E2042" s="8" t="s">
        <v>24</v>
      </c>
      <c r="F2042" s="8" t="s">
        <v>71</v>
      </c>
      <c r="G2042" s="8" t="s">
        <v>72</v>
      </c>
      <c r="H2042" t="s">
        <v>11</v>
      </c>
      <c r="I2042" s="4">
        <v>300</v>
      </c>
      <c r="J2042" s="8">
        <v>8</v>
      </c>
      <c r="K2042" s="4">
        <v>2400</v>
      </c>
      <c r="L2042" s="4">
        <v>360</v>
      </c>
      <c r="M2042" s="3">
        <v>0.15</v>
      </c>
    </row>
    <row r="2043" spans="2:13" x14ac:dyDescent="0.3">
      <c r="B2043" t="s">
        <v>65</v>
      </c>
      <c r="C2043" s="1" t="s">
        <v>64</v>
      </c>
      <c r="D2043" s="2">
        <v>44696</v>
      </c>
      <c r="E2043" s="8" t="s">
        <v>24</v>
      </c>
      <c r="F2043" s="8" t="s">
        <v>71</v>
      </c>
      <c r="G2043" s="8" t="s">
        <v>72</v>
      </c>
      <c r="H2043" t="s">
        <v>19</v>
      </c>
      <c r="I2043" s="4">
        <v>5340</v>
      </c>
      <c r="J2043" s="8">
        <v>3</v>
      </c>
      <c r="K2043" s="4">
        <v>16020</v>
      </c>
      <c r="L2043" s="4">
        <v>4806</v>
      </c>
      <c r="M2043" s="3">
        <v>0.3</v>
      </c>
    </row>
    <row r="2044" spans="2:13" x14ac:dyDescent="0.3">
      <c r="B2044" t="s">
        <v>62</v>
      </c>
      <c r="C2044" s="1" t="s">
        <v>64</v>
      </c>
      <c r="D2044" s="2">
        <v>44703</v>
      </c>
      <c r="E2044" s="8" t="s">
        <v>24</v>
      </c>
      <c r="F2044" s="8" t="s">
        <v>71</v>
      </c>
      <c r="G2044" s="8" t="s">
        <v>72</v>
      </c>
      <c r="H2044" t="s">
        <v>13</v>
      </c>
      <c r="I2044" s="4">
        <v>3200</v>
      </c>
      <c r="J2044" s="8">
        <v>10</v>
      </c>
      <c r="K2044" s="4">
        <v>32000</v>
      </c>
      <c r="L2044" s="4">
        <v>6400</v>
      </c>
      <c r="M2044" s="3">
        <v>0.2</v>
      </c>
    </row>
    <row r="2045" spans="2:13" x14ac:dyDescent="0.3">
      <c r="B2045" t="s">
        <v>61</v>
      </c>
      <c r="C2045" s="1" t="s">
        <v>63</v>
      </c>
      <c r="D2045" s="2">
        <v>44710</v>
      </c>
      <c r="E2045" s="8" t="s">
        <v>24</v>
      </c>
      <c r="F2045" s="8" t="s">
        <v>71</v>
      </c>
      <c r="G2045" s="8" t="s">
        <v>72</v>
      </c>
      <c r="H2045" t="s">
        <v>19</v>
      </c>
      <c r="I2045" s="4">
        <v>5340</v>
      </c>
      <c r="J2045" s="8">
        <v>9</v>
      </c>
      <c r="K2045" s="4">
        <v>48060</v>
      </c>
      <c r="L2045" s="4">
        <v>14418</v>
      </c>
      <c r="M2045" s="3">
        <v>0.3</v>
      </c>
    </row>
    <row r="2046" spans="2:13" x14ac:dyDescent="0.3">
      <c r="B2046" t="s">
        <v>65</v>
      </c>
      <c r="C2046" s="1" t="s">
        <v>63</v>
      </c>
      <c r="D2046" s="2">
        <v>44717</v>
      </c>
      <c r="E2046" s="8" t="s">
        <v>24</v>
      </c>
      <c r="F2046" s="8" t="s">
        <v>71</v>
      </c>
      <c r="G2046" s="8" t="s">
        <v>72</v>
      </c>
      <c r="H2046" t="s">
        <v>16</v>
      </c>
      <c r="I2046" s="4">
        <v>3400</v>
      </c>
      <c r="J2046" s="8">
        <v>12</v>
      </c>
      <c r="K2046" s="4">
        <v>40800</v>
      </c>
      <c r="L2046" s="4">
        <v>14280</v>
      </c>
      <c r="M2046" s="3">
        <v>0.35</v>
      </c>
    </row>
    <row r="2047" spans="2:13" x14ac:dyDescent="0.3">
      <c r="B2047" t="s">
        <v>66</v>
      </c>
      <c r="C2047" s="1" t="s">
        <v>63</v>
      </c>
      <c r="D2047" s="2">
        <v>44724</v>
      </c>
      <c r="E2047" s="8" t="s">
        <v>24</v>
      </c>
      <c r="F2047" s="8" t="s">
        <v>71</v>
      </c>
      <c r="G2047" s="8" t="s">
        <v>72</v>
      </c>
      <c r="H2047" t="s">
        <v>9</v>
      </c>
      <c r="I2047" s="4">
        <v>1500</v>
      </c>
      <c r="J2047" s="8">
        <v>7</v>
      </c>
      <c r="K2047" s="4">
        <v>10500</v>
      </c>
      <c r="L2047" s="4">
        <v>4200</v>
      </c>
      <c r="M2047" s="3">
        <v>0.4</v>
      </c>
    </row>
    <row r="2048" spans="2:13" x14ac:dyDescent="0.3">
      <c r="B2048" t="s">
        <v>66</v>
      </c>
      <c r="C2048" s="1" t="s">
        <v>64</v>
      </c>
      <c r="D2048" s="2">
        <v>44731</v>
      </c>
      <c r="E2048" s="8" t="s">
        <v>24</v>
      </c>
      <c r="F2048" s="8" t="s">
        <v>71</v>
      </c>
      <c r="G2048" s="8" t="s">
        <v>72</v>
      </c>
      <c r="H2048" t="s">
        <v>8</v>
      </c>
      <c r="I2048" s="4">
        <v>1200</v>
      </c>
      <c r="J2048" s="8">
        <v>4</v>
      </c>
      <c r="K2048" s="4">
        <v>4800</v>
      </c>
      <c r="L2048" s="4">
        <v>1440</v>
      </c>
      <c r="M2048" s="3">
        <v>0.3</v>
      </c>
    </row>
    <row r="2049" spans="2:13" x14ac:dyDescent="0.3">
      <c r="B2049" t="s">
        <v>65</v>
      </c>
      <c r="C2049" s="1" t="s">
        <v>63</v>
      </c>
      <c r="D2049" s="2">
        <v>44738</v>
      </c>
      <c r="E2049" s="8" t="s">
        <v>24</v>
      </c>
      <c r="F2049" s="8" t="s">
        <v>71</v>
      </c>
      <c r="G2049" s="8" t="s">
        <v>72</v>
      </c>
      <c r="H2049" t="s">
        <v>12</v>
      </c>
      <c r="I2049" s="4">
        <v>500</v>
      </c>
      <c r="J2049" s="8">
        <v>15</v>
      </c>
      <c r="K2049" s="4">
        <v>7500</v>
      </c>
      <c r="L2049" s="4">
        <v>1875</v>
      </c>
      <c r="M2049" s="3">
        <v>0.25</v>
      </c>
    </row>
    <row r="2050" spans="2:13" x14ac:dyDescent="0.3">
      <c r="B2050" t="s">
        <v>66</v>
      </c>
      <c r="C2050" s="1" t="s">
        <v>63</v>
      </c>
      <c r="D2050" s="2">
        <v>44745</v>
      </c>
      <c r="E2050" s="8" t="s">
        <v>24</v>
      </c>
      <c r="F2050" s="8" t="s">
        <v>71</v>
      </c>
      <c r="G2050" s="8" t="s">
        <v>72</v>
      </c>
      <c r="H2050" t="s">
        <v>8</v>
      </c>
      <c r="I2050" s="4">
        <v>1200</v>
      </c>
      <c r="J2050" s="8">
        <v>12</v>
      </c>
      <c r="K2050" s="4">
        <v>14400</v>
      </c>
      <c r="L2050" s="4">
        <v>4320</v>
      </c>
      <c r="M2050" s="3">
        <v>0.3</v>
      </c>
    </row>
    <row r="2051" spans="2:13" x14ac:dyDescent="0.3">
      <c r="B2051" t="s">
        <v>65</v>
      </c>
      <c r="C2051" s="1" t="s">
        <v>64</v>
      </c>
      <c r="D2051" s="2">
        <v>44752</v>
      </c>
      <c r="E2051" s="8" t="s">
        <v>24</v>
      </c>
      <c r="F2051" s="8" t="s">
        <v>71</v>
      </c>
      <c r="G2051" s="8" t="s">
        <v>72</v>
      </c>
      <c r="H2051" t="s">
        <v>16</v>
      </c>
      <c r="I2051" s="4">
        <v>3400</v>
      </c>
      <c r="J2051" s="8">
        <v>7</v>
      </c>
      <c r="K2051" s="4">
        <v>23800</v>
      </c>
      <c r="L2051" s="4">
        <v>8330</v>
      </c>
      <c r="M2051" s="3">
        <v>0.35</v>
      </c>
    </row>
    <row r="2052" spans="2:13" x14ac:dyDescent="0.3">
      <c r="B2052" t="s">
        <v>60</v>
      </c>
      <c r="C2052" s="1" t="s">
        <v>64</v>
      </c>
      <c r="D2052" s="2">
        <v>44759</v>
      </c>
      <c r="E2052" s="8" t="s">
        <v>24</v>
      </c>
      <c r="F2052" s="8" t="s">
        <v>71</v>
      </c>
      <c r="G2052" s="8" t="s">
        <v>72</v>
      </c>
      <c r="H2052" t="s">
        <v>19</v>
      </c>
      <c r="I2052" s="4">
        <v>5340</v>
      </c>
      <c r="J2052" s="8">
        <v>7</v>
      </c>
      <c r="K2052" s="4">
        <v>37380</v>
      </c>
      <c r="L2052" s="4">
        <v>11214</v>
      </c>
      <c r="M2052" s="3">
        <v>0.3</v>
      </c>
    </row>
    <row r="2053" spans="2:13" x14ac:dyDescent="0.3">
      <c r="B2053" t="s">
        <v>65</v>
      </c>
      <c r="C2053" s="1" t="s">
        <v>63</v>
      </c>
      <c r="D2053" s="2">
        <v>44766</v>
      </c>
      <c r="E2053" s="8" t="s">
        <v>24</v>
      </c>
      <c r="F2053" s="8" t="s">
        <v>71</v>
      </c>
      <c r="G2053" s="8" t="s">
        <v>72</v>
      </c>
      <c r="H2053" t="s">
        <v>13</v>
      </c>
      <c r="I2053" s="4">
        <v>3200</v>
      </c>
      <c r="J2053" s="8">
        <v>2</v>
      </c>
      <c r="K2053" s="4">
        <v>6400</v>
      </c>
      <c r="L2053" s="4">
        <v>1280</v>
      </c>
      <c r="M2053" s="3">
        <v>0.2</v>
      </c>
    </row>
    <row r="2054" spans="2:13" x14ac:dyDescent="0.3">
      <c r="B2054" t="s">
        <v>65</v>
      </c>
      <c r="C2054" s="1" t="s">
        <v>63</v>
      </c>
      <c r="D2054" s="2">
        <v>44766</v>
      </c>
      <c r="E2054" s="8" t="s">
        <v>24</v>
      </c>
      <c r="F2054" s="8" t="s">
        <v>71</v>
      </c>
      <c r="G2054" s="8" t="s">
        <v>72</v>
      </c>
      <c r="H2054" t="s">
        <v>13</v>
      </c>
      <c r="I2054" s="4">
        <v>3200</v>
      </c>
      <c r="J2054" s="8">
        <v>2</v>
      </c>
      <c r="K2054" s="4">
        <v>6400</v>
      </c>
      <c r="L2054" s="4">
        <v>1280</v>
      </c>
      <c r="M2054" s="3">
        <v>0.2</v>
      </c>
    </row>
    <row r="2055" spans="2:13" x14ac:dyDescent="0.3">
      <c r="B2055" t="s">
        <v>62</v>
      </c>
      <c r="C2055" s="1" t="s">
        <v>63</v>
      </c>
      <c r="D2055" s="2">
        <v>44773</v>
      </c>
      <c r="E2055" s="8" t="s">
        <v>24</v>
      </c>
      <c r="F2055" s="8" t="s">
        <v>71</v>
      </c>
      <c r="G2055" s="8" t="s">
        <v>72</v>
      </c>
      <c r="H2055" t="s">
        <v>11</v>
      </c>
      <c r="I2055" s="4">
        <v>300</v>
      </c>
      <c r="J2055" s="8">
        <v>1</v>
      </c>
      <c r="K2055" s="4">
        <v>300</v>
      </c>
      <c r="L2055" s="4">
        <v>45</v>
      </c>
      <c r="M2055" s="3">
        <v>0.15</v>
      </c>
    </row>
    <row r="2056" spans="2:13" x14ac:dyDescent="0.3">
      <c r="B2056" t="s">
        <v>65</v>
      </c>
      <c r="C2056" s="1" t="s">
        <v>63</v>
      </c>
      <c r="D2056" s="2">
        <v>44780</v>
      </c>
      <c r="E2056" s="8" t="s">
        <v>24</v>
      </c>
      <c r="F2056" s="8" t="s">
        <v>71</v>
      </c>
      <c r="G2056" s="8" t="s">
        <v>72</v>
      </c>
      <c r="H2056" t="s">
        <v>20</v>
      </c>
      <c r="I2056" s="4">
        <v>8902</v>
      </c>
      <c r="J2056" s="8">
        <v>8</v>
      </c>
      <c r="K2056" s="4">
        <v>71216</v>
      </c>
      <c r="L2056" s="4">
        <v>24925.599999999999</v>
      </c>
      <c r="M2056" s="3">
        <v>0.35</v>
      </c>
    </row>
    <row r="2057" spans="2:13" x14ac:dyDescent="0.3">
      <c r="B2057" t="s">
        <v>65</v>
      </c>
      <c r="C2057" s="1" t="s">
        <v>63</v>
      </c>
      <c r="D2057" s="2">
        <v>44787</v>
      </c>
      <c r="E2057" s="8" t="s">
        <v>24</v>
      </c>
      <c r="F2057" s="8" t="s">
        <v>71</v>
      </c>
      <c r="G2057" s="8" t="s">
        <v>72</v>
      </c>
      <c r="H2057" t="s">
        <v>11</v>
      </c>
      <c r="I2057" s="4">
        <v>300</v>
      </c>
      <c r="J2057" s="8">
        <v>4</v>
      </c>
      <c r="K2057" s="4">
        <v>1200</v>
      </c>
      <c r="L2057" s="4">
        <v>180</v>
      </c>
      <c r="M2057" s="3">
        <v>0.15</v>
      </c>
    </row>
    <row r="2058" spans="2:13" x14ac:dyDescent="0.3">
      <c r="B2058" t="s">
        <v>65</v>
      </c>
      <c r="C2058" s="1" t="s">
        <v>63</v>
      </c>
      <c r="D2058" s="2">
        <v>44794</v>
      </c>
      <c r="E2058" s="8" t="s">
        <v>24</v>
      </c>
      <c r="F2058" s="8" t="s">
        <v>71</v>
      </c>
      <c r="G2058" s="8" t="s">
        <v>72</v>
      </c>
      <c r="H2058" t="s">
        <v>18</v>
      </c>
      <c r="I2058" s="4">
        <v>4600</v>
      </c>
      <c r="J2058" s="8">
        <v>8</v>
      </c>
      <c r="K2058" s="4">
        <v>36800</v>
      </c>
      <c r="L2058" s="4">
        <v>9200</v>
      </c>
      <c r="M2058" s="3">
        <v>0.25</v>
      </c>
    </row>
    <row r="2059" spans="2:13" x14ac:dyDescent="0.3">
      <c r="B2059" t="s">
        <v>65</v>
      </c>
      <c r="C2059" s="1" t="s">
        <v>63</v>
      </c>
      <c r="D2059" s="2">
        <v>44801</v>
      </c>
      <c r="E2059" s="8" t="s">
        <v>24</v>
      </c>
      <c r="F2059" s="8" t="s">
        <v>71</v>
      </c>
      <c r="G2059" s="8" t="s">
        <v>72</v>
      </c>
      <c r="H2059" t="s">
        <v>15</v>
      </c>
      <c r="I2059" s="4">
        <v>5300</v>
      </c>
      <c r="J2059" s="8">
        <v>5</v>
      </c>
      <c r="K2059" s="4">
        <v>26500</v>
      </c>
      <c r="L2059" s="4">
        <v>7950</v>
      </c>
      <c r="M2059" s="3">
        <v>0.3</v>
      </c>
    </row>
    <row r="2060" spans="2:13" x14ac:dyDescent="0.3">
      <c r="B2060" t="s">
        <v>65</v>
      </c>
      <c r="C2060" s="1" t="s">
        <v>63</v>
      </c>
      <c r="D2060" s="2">
        <v>44808</v>
      </c>
      <c r="E2060" s="8" t="s">
        <v>24</v>
      </c>
      <c r="F2060" s="8" t="s">
        <v>71</v>
      </c>
      <c r="G2060" s="8" t="s">
        <v>72</v>
      </c>
      <c r="H2060" t="s">
        <v>10</v>
      </c>
      <c r="I2060" s="4">
        <v>1700</v>
      </c>
      <c r="J2060" s="8">
        <v>12</v>
      </c>
      <c r="K2060" s="4">
        <v>20400</v>
      </c>
      <c r="L2060" s="4">
        <v>10200</v>
      </c>
      <c r="M2060" s="3">
        <v>0.5</v>
      </c>
    </row>
    <row r="2061" spans="2:13" x14ac:dyDescent="0.3">
      <c r="B2061" t="s">
        <v>65</v>
      </c>
      <c r="C2061" s="1" t="s">
        <v>64</v>
      </c>
      <c r="D2061" s="2">
        <v>44815</v>
      </c>
      <c r="E2061" s="8" t="s">
        <v>24</v>
      </c>
      <c r="F2061" s="8" t="s">
        <v>71</v>
      </c>
      <c r="G2061" s="8" t="s">
        <v>72</v>
      </c>
      <c r="H2061" t="s">
        <v>10</v>
      </c>
      <c r="I2061" s="4">
        <v>1700</v>
      </c>
      <c r="J2061" s="8">
        <v>9</v>
      </c>
      <c r="K2061" s="4">
        <v>15300</v>
      </c>
      <c r="L2061" s="4">
        <v>7650</v>
      </c>
      <c r="M2061" s="3">
        <v>0.5</v>
      </c>
    </row>
    <row r="2062" spans="2:13" x14ac:dyDescent="0.3">
      <c r="B2062" t="s">
        <v>65</v>
      </c>
      <c r="C2062" s="1" t="s">
        <v>64</v>
      </c>
      <c r="D2062" s="2">
        <v>44822</v>
      </c>
      <c r="E2062" s="8" t="s">
        <v>24</v>
      </c>
      <c r="F2062" s="8" t="s">
        <v>71</v>
      </c>
      <c r="G2062" s="8" t="s">
        <v>72</v>
      </c>
      <c r="H2062" t="s">
        <v>13</v>
      </c>
      <c r="I2062" s="4">
        <v>3200</v>
      </c>
      <c r="J2062" s="8">
        <v>3</v>
      </c>
      <c r="K2062" s="4">
        <v>9600</v>
      </c>
      <c r="L2062" s="4">
        <v>1920</v>
      </c>
      <c r="M2062" s="3">
        <v>0.2</v>
      </c>
    </row>
    <row r="2063" spans="2:13" x14ac:dyDescent="0.3">
      <c r="B2063" t="s">
        <v>60</v>
      </c>
      <c r="C2063" s="1" t="s">
        <v>63</v>
      </c>
      <c r="D2063" s="2">
        <v>44829</v>
      </c>
      <c r="E2063" s="8" t="s">
        <v>24</v>
      </c>
      <c r="F2063" s="8" t="s">
        <v>71</v>
      </c>
      <c r="G2063" s="8" t="s">
        <v>72</v>
      </c>
      <c r="H2063" t="s">
        <v>14</v>
      </c>
      <c r="I2063" s="4">
        <v>4500</v>
      </c>
      <c r="J2063" s="8">
        <v>2</v>
      </c>
      <c r="K2063" s="4">
        <v>9000</v>
      </c>
      <c r="L2063" s="4">
        <v>2250</v>
      </c>
      <c r="M2063" s="3">
        <v>0.25</v>
      </c>
    </row>
    <row r="2064" spans="2:13" x14ac:dyDescent="0.3">
      <c r="B2064" t="s">
        <v>60</v>
      </c>
      <c r="C2064" s="1" t="s">
        <v>63</v>
      </c>
      <c r="D2064" s="2">
        <v>44836</v>
      </c>
      <c r="E2064" s="8" t="s">
        <v>24</v>
      </c>
      <c r="F2064" s="8" t="s">
        <v>71</v>
      </c>
      <c r="G2064" s="8" t="s">
        <v>72</v>
      </c>
      <c r="H2064" t="s">
        <v>16</v>
      </c>
      <c r="I2064" s="4">
        <v>3400</v>
      </c>
      <c r="J2064" s="8">
        <v>10</v>
      </c>
      <c r="K2064" s="4">
        <v>34000</v>
      </c>
      <c r="L2064" s="4">
        <v>11900</v>
      </c>
      <c r="M2064" s="3">
        <v>0.35</v>
      </c>
    </row>
    <row r="2065" spans="2:13" x14ac:dyDescent="0.3">
      <c r="B2065" t="s">
        <v>65</v>
      </c>
      <c r="C2065" s="1" t="s">
        <v>63</v>
      </c>
      <c r="D2065" s="2">
        <v>44843</v>
      </c>
      <c r="E2065" s="8" t="s">
        <v>24</v>
      </c>
      <c r="F2065" s="8" t="s">
        <v>71</v>
      </c>
      <c r="G2065" s="8" t="s">
        <v>72</v>
      </c>
      <c r="H2065" t="s">
        <v>8</v>
      </c>
      <c r="I2065" s="4">
        <v>1200</v>
      </c>
      <c r="J2065" s="8">
        <v>8</v>
      </c>
      <c r="K2065" s="4">
        <v>9600</v>
      </c>
      <c r="L2065" s="4">
        <v>2880</v>
      </c>
      <c r="M2065" s="3">
        <v>0.3</v>
      </c>
    </row>
    <row r="2066" spans="2:13" x14ac:dyDescent="0.3">
      <c r="B2066" t="s">
        <v>60</v>
      </c>
      <c r="C2066" s="1" t="s">
        <v>63</v>
      </c>
      <c r="D2066" s="2">
        <v>44850</v>
      </c>
      <c r="E2066" s="8" t="s">
        <v>24</v>
      </c>
      <c r="F2066" s="8" t="s">
        <v>71</v>
      </c>
      <c r="G2066" s="8" t="s">
        <v>72</v>
      </c>
      <c r="H2066" t="s">
        <v>14</v>
      </c>
      <c r="I2066" s="4">
        <v>4500</v>
      </c>
      <c r="J2066" s="8">
        <v>9</v>
      </c>
      <c r="K2066" s="4">
        <v>40500</v>
      </c>
      <c r="L2066" s="4">
        <v>10125</v>
      </c>
      <c r="M2066" s="3">
        <v>0.25</v>
      </c>
    </row>
    <row r="2067" spans="2:13" x14ac:dyDescent="0.3">
      <c r="B2067" t="s">
        <v>65</v>
      </c>
      <c r="C2067" s="1" t="s">
        <v>63</v>
      </c>
      <c r="D2067" s="2">
        <v>44857</v>
      </c>
      <c r="E2067" s="8" t="s">
        <v>24</v>
      </c>
      <c r="F2067" s="8" t="s">
        <v>71</v>
      </c>
      <c r="G2067" s="8" t="s">
        <v>72</v>
      </c>
      <c r="H2067" t="s">
        <v>10</v>
      </c>
      <c r="I2067" s="4">
        <v>1700</v>
      </c>
      <c r="J2067" s="8">
        <v>11</v>
      </c>
      <c r="K2067" s="4">
        <v>18700</v>
      </c>
      <c r="L2067" s="4">
        <v>9350</v>
      </c>
      <c r="M2067" s="3">
        <v>0.5</v>
      </c>
    </row>
    <row r="2068" spans="2:13" x14ac:dyDescent="0.3">
      <c r="B2068" t="s">
        <v>65</v>
      </c>
      <c r="C2068" s="1" t="s">
        <v>63</v>
      </c>
      <c r="D2068" s="2">
        <v>44864</v>
      </c>
      <c r="E2068" s="8" t="s">
        <v>24</v>
      </c>
      <c r="F2068" s="8" t="s">
        <v>71</v>
      </c>
      <c r="G2068" s="8" t="s">
        <v>72</v>
      </c>
      <c r="H2068" t="s">
        <v>10</v>
      </c>
      <c r="I2068" s="4">
        <v>1700</v>
      </c>
      <c r="J2068" s="8">
        <v>5</v>
      </c>
      <c r="K2068" s="4">
        <v>8500</v>
      </c>
      <c r="L2068" s="4">
        <v>4250</v>
      </c>
      <c r="M2068" s="3">
        <v>0.5</v>
      </c>
    </row>
    <row r="2069" spans="2:13" x14ac:dyDescent="0.3">
      <c r="B2069" t="s">
        <v>65</v>
      </c>
      <c r="C2069" s="1" t="s">
        <v>63</v>
      </c>
      <c r="D2069" s="2">
        <v>44871</v>
      </c>
      <c r="E2069" s="8" t="s">
        <v>24</v>
      </c>
      <c r="F2069" s="8" t="s">
        <v>71</v>
      </c>
      <c r="G2069" s="8" t="s">
        <v>72</v>
      </c>
      <c r="H2069" t="s">
        <v>14</v>
      </c>
      <c r="I2069" s="4">
        <v>4500</v>
      </c>
      <c r="J2069" s="8">
        <v>15</v>
      </c>
      <c r="K2069" s="4">
        <v>67500</v>
      </c>
      <c r="L2069" s="4">
        <v>16875</v>
      </c>
      <c r="M2069" s="3">
        <v>0.25</v>
      </c>
    </row>
    <row r="2070" spans="2:13" x14ac:dyDescent="0.3">
      <c r="B2070" t="s">
        <v>60</v>
      </c>
      <c r="C2070" s="1" t="s">
        <v>63</v>
      </c>
      <c r="D2070" s="2">
        <v>44878</v>
      </c>
      <c r="E2070" s="8" t="s">
        <v>24</v>
      </c>
      <c r="F2070" s="8" t="s">
        <v>71</v>
      </c>
      <c r="G2070" s="8" t="s">
        <v>72</v>
      </c>
      <c r="H2070" t="s">
        <v>16</v>
      </c>
      <c r="I2070" s="4">
        <v>3400</v>
      </c>
      <c r="J2070" s="8">
        <v>10</v>
      </c>
      <c r="K2070" s="4">
        <v>34000</v>
      </c>
      <c r="L2070" s="4">
        <v>11900</v>
      </c>
      <c r="M2070" s="3">
        <v>0.35</v>
      </c>
    </row>
    <row r="2071" spans="2:13" x14ac:dyDescent="0.3">
      <c r="B2071" t="s">
        <v>61</v>
      </c>
      <c r="C2071" s="1" t="s">
        <v>63</v>
      </c>
      <c r="D2071" s="2">
        <v>44885</v>
      </c>
      <c r="E2071" s="8" t="s">
        <v>24</v>
      </c>
      <c r="F2071" s="8" t="s">
        <v>71</v>
      </c>
      <c r="G2071" s="8" t="s">
        <v>72</v>
      </c>
      <c r="H2071" t="s">
        <v>15</v>
      </c>
      <c r="I2071" s="4">
        <v>5300</v>
      </c>
      <c r="J2071" s="8">
        <v>4</v>
      </c>
      <c r="K2071" s="4">
        <v>21200</v>
      </c>
      <c r="L2071" s="4">
        <v>6360</v>
      </c>
      <c r="M2071" s="3">
        <v>0.3</v>
      </c>
    </row>
    <row r="2072" spans="2:13" x14ac:dyDescent="0.3">
      <c r="B2072" t="s">
        <v>65</v>
      </c>
      <c r="C2072" s="1" t="s">
        <v>63</v>
      </c>
      <c r="D2072" s="2">
        <v>44892</v>
      </c>
      <c r="E2072" s="8" t="s">
        <v>24</v>
      </c>
      <c r="F2072" s="8" t="s">
        <v>71</v>
      </c>
      <c r="G2072" s="8" t="s">
        <v>72</v>
      </c>
      <c r="H2072" t="s">
        <v>18</v>
      </c>
      <c r="I2072" s="4">
        <v>4600</v>
      </c>
      <c r="J2072" s="8">
        <v>6</v>
      </c>
      <c r="K2072" s="4">
        <v>27600</v>
      </c>
      <c r="L2072" s="4">
        <v>6900</v>
      </c>
      <c r="M2072" s="3">
        <v>0.25</v>
      </c>
    </row>
    <row r="2073" spans="2:13" x14ac:dyDescent="0.3">
      <c r="B2073" t="s">
        <v>60</v>
      </c>
      <c r="C2073" s="1" t="s">
        <v>64</v>
      </c>
      <c r="D2073" s="2">
        <v>44899</v>
      </c>
      <c r="E2073" s="8" t="s">
        <v>24</v>
      </c>
      <c r="F2073" s="8" t="s">
        <v>71</v>
      </c>
      <c r="G2073" s="8" t="s">
        <v>72</v>
      </c>
      <c r="H2073" t="s">
        <v>16</v>
      </c>
      <c r="I2073" s="4">
        <v>3400</v>
      </c>
      <c r="J2073" s="8">
        <v>2</v>
      </c>
      <c r="K2073" s="4">
        <v>6800</v>
      </c>
      <c r="L2073" s="4">
        <v>2380</v>
      </c>
      <c r="M2073" s="3">
        <v>0.35</v>
      </c>
    </row>
    <row r="2074" spans="2:13" x14ac:dyDescent="0.3">
      <c r="B2074" t="s">
        <v>65</v>
      </c>
      <c r="C2074" s="1" t="s">
        <v>63</v>
      </c>
      <c r="D2074" s="2">
        <v>44906</v>
      </c>
      <c r="E2074" s="8" t="s">
        <v>24</v>
      </c>
      <c r="F2074" s="8" t="s">
        <v>71</v>
      </c>
      <c r="G2074" s="8" t="s">
        <v>72</v>
      </c>
      <c r="H2074" t="s">
        <v>18</v>
      </c>
      <c r="I2074" s="4">
        <v>4600</v>
      </c>
      <c r="J2074" s="8">
        <v>7</v>
      </c>
      <c r="K2074" s="4">
        <v>32200</v>
      </c>
      <c r="L2074" s="4">
        <v>8050</v>
      </c>
      <c r="M2074" s="3">
        <v>0.25</v>
      </c>
    </row>
    <row r="2075" spans="2:13" x14ac:dyDescent="0.3">
      <c r="B2075" t="s">
        <v>60</v>
      </c>
      <c r="C2075" s="1" t="s">
        <v>63</v>
      </c>
      <c r="D2075" s="2">
        <v>44913</v>
      </c>
      <c r="E2075" s="8" t="s">
        <v>24</v>
      </c>
      <c r="F2075" s="8" t="s">
        <v>71</v>
      </c>
      <c r="G2075" s="8" t="s">
        <v>72</v>
      </c>
      <c r="H2075" t="s">
        <v>15</v>
      </c>
      <c r="I2075" s="4">
        <v>5300</v>
      </c>
      <c r="J2075" s="8">
        <v>8</v>
      </c>
      <c r="K2075" s="4">
        <v>42400</v>
      </c>
      <c r="L2075" s="4">
        <v>12720</v>
      </c>
      <c r="M2075" s="3">
        <v>0.3</v>
      </c>
    </row>
    <row r="2076" spans="2:13" x14ac:dyDescent="0.3">
      <c r="B2076" t="s">
        <v>60</v>
      </c>
      <c r="C2076" s="1" t="s">
        <v>63</v>
      </c>
      <c r="D2076" s="2">
        <v>44920</v>
      </c>
      <c r="E2076" s="8" t="s">
        <v>24</v>
      </c>
      <c r="F2076" s="8" t="s">
        <v>71</v>
      </c>
      <c r="G2076" s="8" t="s">
        <v>72</v>
      </c>
      <c r="H2076" t="s">
        <v>8</v>
      </c>
      <c r="I2076" s="4">
        <v>1200</v>
      </c>
      <c r="J2076" s="8">
        <v>5</v>
      </c>
      <c r="K2076" s="4">
        <v>6000</v>
      </c>
      <c r="L2076" s="4">
        <v>1800</v>
      </c>
      <c r="M2076" s="3">
        <v>0.3</v>
      </c>
    </row>
    <row r="2077" spans="2:13" x14ac:dyDescent="0.3">
      <c r="B2077" t="s">
        <v>62</v>
      </c>
      <c r="C2077" s="1" t="s">
        <v>64</v>
      </c>
      <c r="D2077" s="2">
        <v>44927</v>
      </c>
      <c r="E2077" s="8" t="s">
        <v>24</v>
      </c>
      <c r="F2077" s="8" t="s">
        <v>71</v>
      </c>
      <c r="G2077" s="8" t="s">
        <v>72</v>
      </c>
      <c r="H2077" t="s">
        <v>17</v>
      </c>
      <c r="I2077" s="4">
        <v>5130</v>
      </c>
      <c r="J2077" s="8">
        <v>7</v>
      </c>
      <c r="K2077" s="4">
        <v>35910</v>
      </c>
      <c r="L2077" s="4">
        <v>14364</v>
      </c>
      <c r="M2077" s="3">
        <v>0.4</v>
      </c>
    </row>
    <row r="2078" spans="2:13" x14ac:dyDescent="0.3">
      <c r="B2078" t="s">
        <v>61</v>
      </c>
      <c r="C2078" s="1" t="s">
        <v>63</v>
      </c>
      <c r="D2078" s="2">
        <v>44934</v>
      </c>
      <c r="E2078" s="8" t="s">
        <v>24</v>
      </c>
      <c r="F2078" s="8" t="s">
        <v>71</v>
      </c>
      <c r="G2078" s="8" t="s">
        <v>72</v>
      </c>
      <c r="H2078" t="s">
        <v>20</v>
      </c>
      <c r="I2078" s="4">
        <v>8902</v>
      </c>
      <c r="J2078" s="8">
        <v>6</v>
      </c>
      <c r="K2078" s="4">
        <v>53412</v>
      </c>
      <c r="L2078" s="4">
        <v>18694.199999999997</v>
      </c>
      <c r="M2078" s="3">
        <v>0.35</v>
      </c>
    </row>
    <row r="2079" spans="2:13" x14ac:dyDescent="0.3">
      <c r="B2079" t="s">
        <v>65</v>
      </c>
      <c r="C2079" s="1" t="s">
        <v>63</v>
      </c>
      <c r="D2079" s="2">
        <v>44941</v>
      </c>
      <c r="E2079" s="8" t="s">
        <v>24</v>
      </c>
      <c r="F2079" s="8" t="s">
        <v>71</v>
      </c>
      <c r="G2079" s="8" t="s">
        <v>72</v>
      </c>
      <c r="H2079" t="s">
        <v>18</v>
      </c>
      <c r="I2079" s="4">
        <v>4600</v>
      </c>
      <c r="J2079" s="8">
        <v>11</v>
      </c>
      <c r="K2079" s="4">
        <v>50600</v>
      </c>
      <c r="L2079" s="4">
        <v>12650</v>
      </c>
      <c r="M2079" s="3">
        <v>0.25</v>
      </c>
    </row>
    <row r="2080" spans="2:13" x14ac:dyDescent="0.3">
      <c r="B2080" t="s">
        <v>66</v>
      </c>
      <c r="C2080" s="1" t="s">
        <v>63</v>
      </c>
      <c r="D2080" s="2">
        <v>44948</v>
      </c>
      <c r="E2080" s="8" t="s">
        <v>24</v>
      </c>
      <c r="F2080" s="8" t="s">
        <v>71</v>
      </c>
      <c r="G2080" s="8" t="s">
        <v>72</v>
      </c>
      <c r="H2080" t="s">
        <v>12</v>
      </c>
      <c r="I2080" s="4">
        <v>500</v>
      </c>
      <c r="J2080" s="8">
        <v>1</v>
      </c>
      <c r="K2080" s="4">
        <v>500</v>
      </c>
      <c r="L2080" s="4">
        <v>125</v>
      </c>
      <c r="M2080" s="3">
        <v>0.25</v>
      </c>
    </row>
    <row r="2081" spans="2:13" x14ac:dyDescent="0.3">
      <c r="B2081" t="s">
        <v>60</v>
      </c>
      <c r="C2081" s="1" t="s">
        <v>63</v>
      </c>
      <c r="D2081" s="2">
        <v>44955</v>
      </c>
      <c r="E2081" s="8" t="s">
        <v>24</v>
      </c>
      <c r="F2081" s="8" t="s">
        <v>71</v>
      </c>
      <c r="G2081" s="8" t="s">
        <v>72</v>
      </c>
      <c r="H2081" t="s">
        <v>20</v>
      </c>
      <c r="I2081" s="4">
        <v>8902</v>
      </c>
      <c r="J2081" s="8">
        <v>5</v>
      </c>
      <c r="K2081" s="4">
        <v>44510</v>
      </c>
      <c r="L2081" s="4">
        <v>15578.499999999998</v>
      </c>
      <c r="M2081" s="3">
        <v>0.35</v>
      </c>
    </row>
    <row r="2082" spans="2:13" x14ac:dyDescent="0.3">
      <c r="B2082" t="s">
        <v>65</v>
      </c>
      <c r="C2082" s="1" t="s">
        <v>64</v>
      </c>
      <c r="D2082" s="2">
        <v>44962</v>
      </c>
      <c r="E2082" s="8" t="s">
        <v>24</v>
      </c>
      <c r="F2082" s="8" t="s">
        <v>71</v>
      </c>
      <c r="G2082" s="8" t="s">
        <v>72</v>
      </c>
      <c r="H2082" t="s">
        <v>10</v>
      </c>
      <c r="I2082" s="4">
        <v>1700</v>
      </c>
      <c r="J2082" s="8">
        <v>5</v>
      </c>
      <c r="K2082" s="4">
        <v>8500</v>
      </c>
      <c r="L2082" s="4">
        <v>4250</v>
      </c>
      <c r="M2082" s="3">
        <v>0.5</v>
      </c>
    </row>
    <row r="2083" spans="2:13" x14ac:dyDescent="0.3">
      <c r="B2083" t="s">
        <v>66</v>
      </c>
      <c r="C2083" s="1" t="s">
        <v>63</v>
      </c>
      <c r="D2083" s="2">
        <v>44969</v>
      </c>
      <c r="E2083" s="8" t="s">
        <v>24</v>
      </c>
      <c r="F2083" s="8" t="s">
        <v>71</v>
      </c>
      <c r="G2083" s="8" t="s">
        <v>72</v>
      </c>
      <c r="H2083" t="s">
        <v>12</v>
      </c>
      <c r="I2083" s="4">
        <v>500</v>
      </c>
      <c r="J2083" s="8">
        <v>12</v>
      </c>
      <c r="K2083" s="4">
        <v>6000</v>
      </c>
      <c r="L2083" s="4">
        <v>1500</v>
      </c>
      <c r="M2083" s="3">
        <v>0.25</v>
      </c>
    </row>
    <row r="2084" spans="2:13" x14ac:dyDescent="0.3">
      <c r="B2084" t="s">
        <v>60</v>
      </c>
      <c r="C2084" s="1" t="s">
        <v>63</v>
      </c>
      <c r="D2084" s="2">
        <v>44976</v>
      </c>
      <c r="E2084" s="8" t="s">
        <v>24</v>
      </c>
      <c r="F2084" s="8" t="s">
        <v>71</v>
      </c>
      <c r="G2084" s="8" t="s">
        <v>72</v>
      </c>
      <c r="H2084" t="s">
        <v>14</v>
      </c>
      <c r="I2084" s="4">
        <v>4500</v>
      </c>
      <c r="J2084" s="8">
        <v>12</v>
      </c>
      <c r="K2084" s="4">
        <v>54000</v>
      </c>
      <c r="L2084" s="4">
        <v>13500</v>
      </c>
      <c r="M2084" s="3">
        <v>0.25</v>
      </c>
    </row>
    <row r="2085" spans="2:13" x14ac:dyDescent="0.3">
      <c r="B2085" t="s">
        <v>65</v>
      </c>
      <c r="C2085" s="1" t="s">
        <v>63</v>
      </c>
      <c r="D2085" s="2">
        <v>44983</v>
      </c>
      <c r="E2085" s="8" t="s">
        <v>24</v>
      </c>
      <c r="F2085" s="8" t="s">
        <v>71</v>
      </c>
      <c r="G2085" s="8" t="s">
        <v>72</v>
      </c>
      <c r="H2085" t="s">
        <v>15</v>
      </c>
      <c r="I2085" s="4">
        <v>5300</v>
      </c>
      <c r="J2085" s="8">
        <v>8</v>
      </c>
      <c r="K2085" s="4">
        <v>42400</v>
      </c>
      <c r="L2085" s="4">
        <v>12720</v>
      </c>
      <c r="M2085" s="3">
        <v>0.3</v>
      </c>
    </row>
    <row r="2086" spans="2:13" x14ac:dyDescent="0.3">
      <c r="B2086" t="s">
        <v>66</v>
      </c>
      <c r="C2086" s="1" t="s">
        <v>64</v>
      </c>
      <c r="D2086" s="2">
        <v>44990</v>
      </c>
      <c r="E2086" s="8" t="s">
        <v>24</v>
      </c>
      <c r="F2086" s="8" t="s">
        <v>71</v>
      </c>
      <c r="G2086" s="8" t="s">
        <v>72</v>
      </c>
      <c r="H2086" t="s">
        <v>11</v>
      </c>
      <c r="I2086" s="4">
        <v>300</v>
      </c>
      <c r="J2086" s="8">
        <v>8</v>
      </c>
      <c r="K2086" s="4">
        <v>2400</v>
      </c>
      <c r="L2086" s="4">
        <v>360</v>
      </c>
      <c r="M2086" s="3">
        <v>0.15</v>
      </c>
    </row>
    <row r="2087" spans="2:13" x14ac:dyDescent="0.3">
      <c r="B2087" t="s">
        <v>66</v>
      </c>
      <c r="C2087" s="1" t="s">
        <v>63</v>
      </c>
      <c r="D2087" s="2">
        <v>44997</v>
      </c>
      <c r="E2087" s="8" t="s">
        <v>24</v>
      </c>
      <c r="F2087" s="8" t="s">
        <v>71</v>
      </c>
      <c r="G2087" s="8" t="s">
        <v>72</v>
      </c>
      <c r="H2087" t="s">
        <v>13</v>
      </c>
      <c r="I2087" s="4">
        <v>3200</v>
      </c>
      <c r="J2087" s="8">
        <v>8</v>
      </c>
      <c r="K2087" s="4">
        <v>25600</v>
      </c>
      <c r="L2087" s="4">
        <v>5120</v>
      </c>
      <c r="M2087" s="3">
        <v>0.2</v>
      </c>
    </row>
    <row r="2088" spans="2:13" x14ac:dyDescent="0.3">
      <c r="B2088" t="s">
        <v>62</v>
      </c>
      <c r="C2088" s="1" t="s">
        <v>64</v>
      </c>
      <c r="D2088" s="2">
        <v>45004</v>
      </c>
      <c r="E2088" s="8" t="s">
        <v>24</v>
      </c>
      <c r="F2088" s="8" t="s">
        <v>71</v>
      </c>
      <c r="G2088" s="8" t="s">
        <v>72</v>
      </c>
      <c r="H2088" t="s">
        <v>9</v>
      </c>
      <c r="I2088" s="4">
        <v>1500</v>
      </c>
      <c r="J2088" s="8">
        <v>15</v>
      </c>
      <c r="K2088" s="4">
        <v>22500</v>
      </c>
      <c r="L2088" s="4">
        <v>9000</v>
      </c>
      <c r="M2088" s="3">
        <v>0.4</v>
      </c>
    </row>
    <row r="2089" spans="2:13" x14ac:dyDescent="0.3">
      <c r="B2089" t="s">
        <v>65</v>
      </c>
      <c r="C2089" s="1" t="s">
        <v>63</v>
      </c>
      <c r="D2089" s="2">
        <v>45011</v>
      </c>
      <c r="E2089" s="8" t="s">
        <v>24</v>
      </c>
      <c r="F2089" s="8" t="s">
        <v>71</v>
      </c>
      <c r="G2089" s="8" t="s">
        <v>72</v>
      </c>
      <c r="H2089" t="s">
        <v>11</v>
      </c>
      <c r="I2089" s="4">
        <v>300</v>
      </c>
      <c r="J2089" s="8">
        <v>12</v>
      </c>
      <c r="K2089" s="4">
        <v>3600</v>
      </c>
      <c r="L2089" s="4">
        <v>540</v>
      </c>
      <c r="M2089" s="3">
        <v>0.15</v>
      </c>
    </row>
    <row r="2090" spans="2:13" x14ac:dyDescent="0.3">
      <c r="B2090" t="s">
        <v>65</v>
      </c>
      <c r="C2090" s="1" t="s">
        <v>64</v>
      </c>
      <c r="D2090" s="2">
        <v>45018</v>
      </c>
      <c r="E2090" s="8" t="s">
        <v>24</v>
      </c>
      <c r="F2090" s="8" t="s">
        <v>71</v>
      </c>
      <c r="G2090" s="8" t="s">
        <v>72</v>
      </c>
      <c r="H2090" t="s">
        <v>18</v>
      </c>
      <c r="I2090" s="4">
        <v>4600</v>
      </c>
      <c r="J2090" s="8">
        <v>1</v>
      </c>
      <c r="K2090" s="4">
        <v>4600</v>
      </c>
      <c r="L2090" s="4">
        <v>1150</v>
      </c>
      <c r="M2090" s="3">
        <v>0.25</v>
      </c>
    </row>
    <row r="2091" spans="2:13" x14ac:dyDescent="0.3">
      <c r="B2091" t="s">
        <v>65</v>
      </c>
      <c r="C2091" s="1" t="s">
        <v>63</v>
      </c>
      <c r="D2091" s="2">
        <v>45025</v>
      </c>
      <c r="E2091" s="8" t="s">
        <v>24</v>
      </c>
      <c r="F2091" s="8" t="s">
        <v>71</v>
      </c>
      <c r="G2091" s="8" t="s">
        <v>72</v>
      </c>
      <c r="H2091" t="s">
        <v>12</v>
      </c>
      <c r="I2091" s="4">
        <v>500</v>
      </c>
      <c r="J2091" s="8">
        <v>3</v>
      </c>
      <c r="K2091" s="4">
        <v>1500</v>
      </c>
      <c r="L2091" s="4">
        <v>375</v>
      </c>
      <c r="M2091" s="3">
        <v>0.25</v>
      </c>
    </row>
    <row r="2092" spans="2:13" x14ac:dyDescent="0.3">
      <c r="B2092" t="s">
        <v>66</v>
      </c>
      <c r="C2092" s="1" t="s">
        <v>64</v>
      </c>
      <c r="D2092" s="2">
        <v>45032</v>
      </c>
      <c r="E2092" s="8" t="s">
        <v>24</v>
      </c>
      <c r="F2092" s="8" t="s">
        <v>71</v>
      </c>
      <c r="G2092" s="8" t="s">
        <v>72</v>
      </c>
      <c r="H2092" t="s">
        <v>8</v>
      </c>
      <c r="I2092" s="4">
        <v>1200</v>
      </c>
      <c r="J2092" s="8">
        <v>10</v>
      </c>
      <c r="K2092" s="4">
        <v>12000</v>
      </c>
      <c r="L2092" s="4">
        <v>3600</v>
      </c>
      <c r="M2092" s="3">
        <v>0.3</v>
      </c>
    </row>
    <row r="2093" spans="2:13" x14ac:dyDescent="0.3">
      <c r="B2093" t="s">
        <v>66</v>
      </c>
      <c r="C2093" s="1" t="s">
        <v>64</v>
      </c>
      <c r="D2093" s="2">
        <v>45039</v>
      </c>
      <c r="E2093" s="8" t="s">
        <v>24</v>
      </c>
      <c r="F2093" s="8" t="s">
        <v>71</v>
      </c>
      <c r="G2093" s="8" t="s">
        <v>72</v>
      </c>
      <c r="H2093" t="s">
        <v>9</v>
      </c>
      <c r="I2093" s="4">
        <v>1500</v>
      </c>
      <c r="J2093" s="8">
        <v>5</v>
      </c>
      <c r="K2093" s="4">
        <v>7500</v>
      </c>
      <c r="L2093" s="4">
        <v>3000</v>
      </c>
      <c r="M2093" s="3">
        <v>0.4</v>
      </c>
    </row>
    <row r="2094" spans="2:13" x14ac:dyDescent="0.3">
      <c r="B2094" t="s">
        <v>65</v>
      </c>
      <c r="C2094" s="1" t="s">
        <v>63</v>
      </c>
      <c r="D2094" s="2">
        <v>45046</v>
      </c>
      <c r="E2094" s="8" t="s">
        <v>24</v>
      </c>
      <c r="F2094" s="8" t="s">
        <v>71</v>
      </c>
      <c r="G2094" s="8" t="s">
        <v>72</v>
      </c>
      <c r="H2094" t="s">
        <v>9</v>
      </c>
      <c r="I2094" s="4">
        <v>1500</v>
      </c>
      <c r="J2094" s="8">
        <v>6</v>
      </c>
      <c r="K2094" s="4">
        <v>9000</v>
      </c>
      <c r="L2094" s="4">
        <v>3600</v>
      </c>
      <c r="M2094" s="3">
        <v>0.4</v>
      </c>
    </row>
    <row r="2095" spans="2:13" x14ac:dyDescent="0.3">
      <c r="B2095" t="s">
        <v>65</v>
      </c>
      <c r="C2095" s="1" t="s">
        <v>63</v>
      </c>
      <c r="D2095" s="2">
        <v>45053</v>
      </c>
      <c r="E2095" s="8" t="s">
        <v>24</v>
      </c>
      <c r="F2095" s="8" t="s">
        <v>71</v>
      </c>
      <c r="G2095" s="8" t="s">
        <v>72</v>
      </c>
      <c r="H2095" t="s">
        <v>13</v>
      </c>
      <c r="I2095" s="4">
        <v>3200</v>
      </c>
      <c r="J2095" s="8">
        <v>7</v>
      </c>
      <c r="K2095" s="4">
        <v>22400</v>
      </c>
      <c r="L2095" s="4">
        <v>4480</v>
      </c>
      <c r="M2095" s="3">
        <v>0.2</v>
      </c>
    </row>
    <row r="2096" spans="2:13" x14ac:dyDescent="0.3">
      <c r="B2096" t="s">
        <v>60</v>
      </c>
      <c r="C2096" s="1" t="s">
        <v>63</v>
      </c>
      <c r="D2096" s="2">
        <v>45060</v>
      </c>
      <c r="E2096" s="8" t="s">
        <v>24</v>
      </c>
      <c r="F2096" s="8" t="s">
        <v>71</v>
      </c>
      <c r="G2096" s="8" t="s">
        <v>72</v>
      </c>
      <c r="H2096" t="s">
        <v>11</v>
      </c>
      <c r="I2096" s="4">
        <v>300</v>
      </c>
      <c r="J2096" s="8">
        <v>11</v>
      </c>
      <c r="K2096" s="4">
        <v>3300</v>
      </c>
      <c r="L2096" s="4">
        <v>495</v>
      </c>
      <c r="M2096" s="3">
        <v>0.15</v>
      </c>
    </row>
    <row r="2097" spans="2:13" x14ac:dyDescent="0.3">
      <c r="B2097" t="s">
        <v>62</v>
      </c>
      <c r="C2097" s="1" t="s">
        <v>63</v>
      </c>
      <c r="D2097" s="2">
        <v>45067</v>
      </c>
      <c r="E2097" s="8" t="s">
        <v>24</v>
      </c>
      <c r="F2097" s="8" t="s">
        <v>71</v>
      </c>
      <c r="G2097" s="8" t="s">
        <v>72</v>
      </c>
      <c r="H2097" t="s">
        <v>18</v>
      </c>
      <c r="I2097" s="4">
        <v>4600</v>
      </c>
      <c r="J2097" s="8">
        <v>2</v>
      </c>
      <c r="K2097" s="4">
        <v>9200</v>
      </c>
      <c r="L2097" s="4">
        <v>2300</v>
      </c>
      <c r="M2097" s="3">
        <v>0.25</v>
      </c>
    </row>
    <row r="2098" spans="2:13" x14ac:dyDescent="0.3">
      <c r="B2098" t="s">
        <v>60</v>
      </c>
      <c r="C2098" s="1" t="s">
        <v>64</v>
      </c>
      <c r="D2098" s="2">
        <v>45074</v>
      </c>
      <c r="E2098" s="8" t="s">
        <v>24</v>
      </c>
      <c r="F2098" s="8" t="s">
        <v>71</v>
      </c>
      <c r="G2098" s="8" t="s">
        <v>72</v>
      </c>
      <c r="H2098" t="s">
        <v>14</v>
      </c>
      <c r="I2098" s="4">
        <v>4500</v>
      </c>
      <c r="J2098" s="8">
        <v>1</v>
      </c>
      <c r="K2098" s="4">
        <v>4500</v>
      </c>
      <c r="L2098" s="4">
        <v>1125</v>
      </c>
      <c r="M2098" s="3">
        <v>0.25</v>
      </c>
    </row>
    <row r="2099" spans="2:13" x14ac:dyDescent="0.3">
      <c r="B2099" t="s">
        <v>65</v>
      </c>
      <c r="C2099" s="1" t="s">
        <v>63</v>
      </c>
      <c r="D2099" s="2">
        <v>45081</v>
      </c>
      <c r="E2099" s="8" t="s">
        <v>24</v>
      </c>
      <c r="F2099" s="8" t="s">
        <v>71</v>
      </c>
      <c r="G2099" s="8" t="s">
        <v>72</v>
      </c>
      <c r="H2099" t="s">
        <v>8</v>
      </c>
      <c r="I2099" s="4">
        <v>1200</v>
      </c>
      <c r="J2099" s="8">
        <v>5</v>
      </c>
      <c r="K2099" s="4">
        <v>6000</v>
      </c>
      <c r="L2099" s="4">
        <v>1800</v>
      </c>
      <c r="M2099" s="3">
        <v>0.3</v>
      </c>
    </row>
    <row r="2100" spans="2:13" x14ac:dyDescent="0.3">
      <c r="B2100" t="s">
        <v>60</v>
      </c>
      <c r="C2100" s="1" t="s">
        <v>64</v>
      </c>
      <c r="D2100" s="2">
        <v>45088</v>
      </c>
      <c r="E2100" s="8" t="s">
        <v>24</v>
      </c>
      <c r="F2100" s="8" t="s">
        <v>71</v>
      </c>
      <c r="G2100" s="8" t="s">
        <v>72</v>
      </c>
      <c r="H2100" t="s">
        <v>20</v>
      </c>
      <c r="I2100" s="4">
        <v>8902</v>
      </c>
      <c r="J2100" s="8">
        <v>15</v>
      </c>
      <c r="K2100" s="4">
        <v>133530</v>
      </c>
      <c r="L2100" s="4">
        <v>46735.5</v>
      </c>
      <c r="M2100" s="3">
        <v>0.35</v>
      </c>
    </row>
    <row r="2101" spans="2:13" x14ac:dyDescent="0.3">
      <c r="B2101" t="s">
        <v>66</v>
      </c>
      <c r="C2101" s="1" t="s">
        <v>63</v>
      </c>
      <c r="D2101" s="2">
        <v>45095</v>
      </c>
      <c r="E2101" s="8" t="s">
        <v>24</v>
      </c>
      <c r="F2101" s="8" t="s">
        <v>71</v>
      </c>
      <c r="G2101" s="8" t="s">
        <v>72</v>
      </c>
      <c r="H2101" t="s">
        <v>18</v>
      </c>
      <c r="I2101" s="4">
        <v>4600</v>
      </c>
      <c r="J2101" s="8">
        <v>7</v>
      </c>
      <c r="K2101" s="4">
        <v>32200</v>
      </c>
      <c r="L2101" s="4">
        <v>8050</v>
      </c>
      <c r="M2101" s="3">
        <v>0.25</v>
      </c>
    </row>
    <row r="2102" spans="2:13" x14ac:dyDescent="0.3">
      <c r="B2102" t="s">
        <v>65</v>
      </c>
      <c r="C2102" s="1" t="s">
        <v>64</v>
      </c>
      <c r="D2102" s="2">
        <v>45102</v>
      </c>
      <c r="E2102" s="8" t="s">
        <v>24</v>
      </c>
      <c r="F2102" s="8" t="s">
        <v>71</v>
      </c>
      <c r="G2102" s="8" t="s">
        <v>72</v>
      </c>
      <c r="H2102" t="s">
        <v>13</v>
      </c>
      <c r="I2102" s="4">
        <v>3200</v>
      </c>
      <c r="J2102" s="8">
        <v>11</v>
      </c>
      <c r="K2102" s="4">
        <v>35200</v>
      </c>
      <c r="L2102" s="4">
        <v>7040</v>
      </c>
      <c r="M2102" s="3">
        <v>0.2</v>
      </c>
    </row>
    <row r="2103" spans="2:13" x14ac:dyDescent="0.3">
      <c r="B2103" t="s">
        <v>66</v>
      </c>
      <c r="C2103" s="1" t="s">
        <v>63</v>
      </c>
      <c r="D2103" s="2">
        <v>45109</v>
      </c>
      <c r="E2103" s="8" t="s">
        <v>24</v>
      </c>
      <c r="F2103" s="8" t="s">
        <v>71</v>
      </c>
      <c r="G2103" s="8" t="s">
        <v>72</v>
      </c>
      <c r="H2103" t="s">
        <v>13</v>
      </c>
      <c r="I2103" s="4">
        <v>3200</v>
      </c>
      <c r="J2103" s="8">
        <v>9</v>
      </c>
      <c r="K2103" s="4">
        <v>28800</v>
      </c>
      <c r="L2103" s="4">
        <v>5760</v>
      </c>
      <c r="M2103" s="3">
        <v>0.2</v>
      </c>
    </row>
    <row r="2104" spans="2:13" x14ac:dyDescent="0.3">
      <c r="B2104" t="s">
        <v>65</v>
      </c>
      <c r="C2104" s="1" t="s">
        <v>63</v>
      </c>
      <c r="D2104" s="2">
        <v>45116</v>
      </c>
      <c r="E2104" s="8" t="s">
        <v>24</v>
      </c>
      <c r="F2104" s="8" t="s">
        <v>71</v>
      </c>
      <c r="G2104" s="8" t="s">
        <v>72</v>
      </c>
      <c r="H2104" t="s">
        <v>16</v>
      </c>
      <c r="I2104" s="4">
        <v>3400</v>
      </c>
      <c r="J2104" s="8">
        <v>5</v>
      </c>
      <c r="K2104" s="4">
        <v>17000</v>
      </c>
      <c r="L2104" s="4">
        <v>5950</v>
      </c>
      <c r="M2104" s="3">
        <v>0.35</v>
      </c>
    </row>
    <row r="2105" spans="2:13" x14ac:dyDescent="0.3">
      <c r="B2105" t="s">
        <v>65</v>
      </c>
      <c r="C2105" s="1" t="s">
        <v>63</v>
      </c>
      <c r="D2105" s="2">
        <v>45123</v>
      </c>
      <c r="E2105" s="8" t="s">
        <v>24</v>
      </c>
      <c r="F2105" s="8" t="s">
        <v>71</v>
      </c>
      <c r="G2105" s="8" t="s">
        <v>72</v>
      </c>
      <c r="H2105" t="s">
        <v>18</v>
      </c>
      <c r="I2105" s="4">
        <v>4600</v>
      </c>
      <c r="J2105" s="8">
        <v>8</v>
      </c>
      <c r="K2105" s="4">
        <v>36800</v>
      </c>
      <c r="L2105" s="4">
        <v>9200</v>
      </c>
      <c r="M2105" s="3">
        <v>0.25</v>
      </c>
    </row>
    <row r="2106" spans="2:13" x14ac:dyDescent="0.3">
      <c r="B2106" t="s">
        <v>66</v>
      </c>
      <c r="C2106" s="1" t="s">
        <v>64</v>
      </c>
      <c r="D2106" s="2">
        <v>45130</v>
      </c>
      <c r="E2106" s="8" t="s">
        <v>24</v>
      </c>
      <c r="F2106" s="8" t="s">
        <v>71</v>
      </c>
      <c r="G2106" s="8" t="s">
        <v>72</v>
      </c>
      <c r="H2106" t="s">
        <v>18</v>
      </c>
      <c r="I2106" s="4">
        <v>4600</v>
      </c>
      <c r="J2106" s="8">
        <v>7</v>
      </c>
      <c r="K2106" s="4">
        <v>32200</v>
      </c>
      <c r="L2106" s="4">
        <v>8050</v>
      </c>
      <c r="M2106" s="3">
        <v>0.25</v>
      </c>
    </row>
    <row r="2107" spans="2:13" x14ac:dyDescent="0.3">
      <c r="B2107" t="s">
        <v>66</v>
      </c>
      <c r="C2107" s="1" t="s">
        <v>63</v>
      </c>
      <c r="D2107" s="2">
        <v>45137</v>
      </c>
      <c r="E2107" s="8" t="s">
        <v>24</v>
      </c>
      <c r="F2107" s="8" t="s">
        <v>71</v>
      </c>
      <c r="G2107" s="8" t="s">
        <v>72</v>
      </c>
      <c r="H2107" t="s">
        <v>20</v>
      </c>
      <c r="I2107" s="4">
        <v>8902</v>
      </c>
      <c r="J2107" s="8">
        <v>11</v>
      </c>
      <c r="K2107" s="4">
        <v>97922</v>
      </c>
      <c r="L2107" s="4">
        <v>34272.699999999997</v>
      </c>
      <c r="M2107" s="3">
        <v>0.35</v>
      </c>
    </row>
    <row r="2108" spans="2:13" x14ac:dyDescent="0.3">
      <c r="B2108" t="s">
        <v>65</v>
      </c>
      <c r="C2108" s="1" t="s">
        <v>63</v>
      </c>
      <c r="D2108" s="2">
        <v>45144</v>
      </c>
      <c r="E2108" s="8" t="s">
        <v>24</v>
      </c>
      <c r="F2108" s="8" t="s">
        <v>71</v>
      </c>
      <c r="G2108" s="8" t="s">
        <v>72</v>
      </c>
      <c r="H2108" t="s">
        <v>11</v>
      </c>
      <c r="I2108" s="4">
        <v>300</v>
      </c>
      <c r="J2108" s="8">
        <v>7</v>
      </c>
      <c r="K2108" s="4">
        <v>2100</v>
      </c>
      <c r="L2108" s="4">
        <v>315</v>
      </c>
      <c r="M2108" s="3">
        <v>0.15</v>
      </c>
    </row>
    <row r="2109" spans="2:13" x14ac:dyDescent="0.3">
      <c r="B2109" t="s">
        <v>65</v>
      </c>
      <c r="C2109" s="1" t="s">
        <v>64</v>
      </c>
      <c r="D2109" s="2">
        <v>45151</v>
      </c>
      <c r="E2109" s="8" t="s">
        <v>24</v>
      </c>
      <c r="F2109" s="8" t="s">
        <v>71</v>
      </c>
      <c r="G2109" s="8" t="s">
        <v>72</v>
      </c>
      <c r="H2109" t="s">
        <v>12</v>
      </c>
      <c r="I2109" s="4">
        <v>500</v>
      </c>
      <c r="J2109" s="8">
        <v>3</v>
      </c>
      <c r="K2109" s="4">
        <v>1500</v>
      </c>
      <c r="L2109" s="4">
        <v>375</v>
      </c>
      <c r="M2109" s="3">
        <v>0.25</v>
      </c>
    </row>
    <row r="2110" spans="2:13" x14ac:dyDescent="0.3">
      <c r="B2110" t="s">
        <v>62</v>
      </c>
      <c r="C2110" s="1" t="s">
        <v>63</v>
      </c>
      <c r="D2110" s="2">
        <v>45158</v>
      </c>
      <c r="E2110" s="8" t="s">
        <v>24</v>
      </c>
      <c r="F2110" s="8" t="s">
        <v>71</v>
      </c>
      <c r="G2110" s="8" t="s">
        <v>72</v>
      </c>
      <c r="H2110" t="s">
        <v>11</v>
      </c>
      <c r="I2110" s="4">
        <v>300</v>
      </c>
      <c r="J2110" s="8">
        <v>8</v>
      </c>
      <c r="K2110" s="4">
        <v>2400</v>
      </c>
      <c r="L2110" s="4">
        <v>360</v>
      </c>
      <c r="M2110" s="3">
        <v>0.15</v>
      </c>
    </row>
    <row r="2111" spans="2:13" x14ac:dyDescent="0.3">
      <c r="B2111" t="s">
        <v>60</v>
      </c>
      <c r="C2111" s="1" t="s">
        <v>63</v>
      </c>
      <c r="D2111" s="2">
        <v>45165</v>
      </c>
      <c r="E2111" s="8" t="s">
        <v>24</v>
      </c>
      <c r="F2111" s="8" t="s">
        <v>71</v>
      </c>
      <c r="G2111" s="8" t="s">
        <v>72</v>
      </c>
      <c r="H2111" t="s">
        <v>18</v>
      </c>
      <c r="I2111" s="4">
        <v>4600</v>
      </c>
      <c r="J2111" s="8">
        <v>2</v>
      </c>
      <c r="K2111" s="4">
        <v>9200</v>
      </c>
      <c r="L2111" s="4">
        <v>2300</v>
      </c>
      <c r="M2111" s="3">
        <v>0.25</v>
      </c>
    </row>
  </sheetData>
  <autoFilter ref="B6:M2111" xr:uid="{E9A35D48-61FC-490B-98B1-D56267B33684}"/>
  <mergeCells count="1">
    <mergeCell ref="E2:M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5A7D-34A8-4F9F-B84E-1D1C56A22AB4}">
  <dimension ref="A3:B9"/>
  <sheetViews>
    <sheetView workbookViewId="0">
      <selection activeCell="D26" sqref="D26"/>
    </sheetView>
  </sheetViews>
  <sheetFormatPr defaultRowHeight="14.4" x14ac:dyDescent="0.3"/>
  <cols>
    <col min="1" max="1" width="17.21875" bestFit="1" customWidth="1"/>
    <col min="2" max="2" width="20.109375" bestFit="1" customWidth="1"/>
  </cols>
  <sheetData>
    <row r="3" spans="1:2" x14ac:dyDescent="0.3">
      <c r="A3" s="5" t="s">
        <v>37</v>
      </c>
      <c r="B3" t="s">
        <v>36</v>
      </c>
    </row>
    <row r="4" spans="1:2" x14ac:dyDescent="0.3">
      <c r="A4" s="6" t="s">
        <v>65</v>
      </c>
      <c r="B4" s="14">
        <v>22028732</v>
      </c>
    </row>
    <row r="5" spans="1:2" x14ac:dyDescent="0.3">
      <c r="A5" s="6" t="s">
        <v>60</v>
      </c>
      <c r="B5" s="14">
        <v>12942258</v>
      </c>
    </row>
    <row r="6" spans="1:2" x14ac:dyDescent="0.3">
      <c r="A6" s="6" t="s">
        <v>66</v>
      </c>
      <c r="B6" s="14">
        <v>6199402</v>
      </c>
    </row>
    <row r="7" spans="1:2" x14ac:dyDescent="0.3">
      <c r="A7" s="6" t="s">
        <v>62</v>
      </c>
      <c r="B7" s="14">
        <v>6504532</v>
      </c>
    </row>
    <row r="8" spans="1:2" x14ac:dyDescent="0.3">
      <c r="A8" s="6" t="s">
        <v>61</v>
      </c>
      <c r="B8" s="14">
        <v>3980698</v>
      </c>
    </row>
    <row r="9" spans="1:2" x14ac:dyDescent="0.3">
      <c r="A9" s="6" t="s">
        <v>38</v>
      </c>
      <c r="B9" s="14">
        <v>51655622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F5D0-DD43-4797-ABB4-5464161E8BE2}">
  <dimension ref="A3:B6"/>
  <sheetViews>
    <sheetView workbookViewId="0">
      <selection activeCell="M10" sqref="M10"/>
    </sheetView>
  </sheetViews>
  <sheetFormatPr defaultRowHeight="14.4" x14ac:dyDescent="0.3"/>
  <cols>
    <col min="1" max="1" width="17.21875" bestFit="1" customWidth="1"/>
    <col min="2" max="2" width="20.109375" bestFit="1" customWidth="1"/>
  </cols>
  <sheetData>
    <row r="3" spans="1:2" x14ac:dyDescent="0.3">
      <c r="A3" s="5" t="s">
        <v>37</v>
      </c>
      <c r="B3" t="s">
        <v>36</v>
      </c>
    </row>
    <row r="4" spans="1:2" x14ac:dyDescent="0.3">
      <c r="A4" s="6" t="s">
        <v>63</v>
      </c>
      <c r="B4" s="14">
        <v>35668772</v>
      </c>
    </row>
    <row r="5" spans="1:2" x14ac:dyDescent="0.3">
      <c r="A5" s="6" t="s">
        <v>64</v>
      </c>
      <c r="B5" s="14">
        <v>15986850</v>
      </c>
    </row>
    <row r="6" spans="1:2" x14ac:dyDescent="0.3">
      <c r="A6" s="6" t="s">
        <v>38</v>
      </c>
      <c r="B6" s="14">
        <v>51655622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5A21-AC6A-417B-8CAB-550429691E8B}">
  <dimension ref="A3:B26"/>
  <sheetViews>
    <sheetView workbookViewId="0">
      <selection activeCell="I23" sqref="I23"/>
    </sheetView>
  </sheetViews>
  <sheetFormatPr defaultRowHeight="14.4" x14ac:dyDescent="0.3"/>
  <cols>
    <col min="1" max="1" width="17.21875" bestFit="1" customWidth="1"/>
    <col min="2" max="2" width="20.109375" bestFit="1" customWidth="1"/>
  </cols>
  <sheetData>
    <row r="3" spans="1:2" x14ac:dyDescent="0.3">
      <c r="A3" s="5" t="s">
        <v>37</v>
      </c>
      <c r="B3" t="s">
        <v>36</v>
      </c>
    </row>
    <row r="4" spans="1:2" x14ac:dyDescent="0.3">
      <c r="A4" s="6" t="s">
        <v>39</v>
      </c>
      <c r="B4" s="14">
        <v>27510962</v>
      </c>
    </row>
    <row r="5" spans="1:2" x14ac:dyDescent="0.3">
      <c r="A5" s="7" t="s">
        <v>40</v>
      </c>
      <c r="B5" s="14">
        <v>1996256</v>
      </c>
    </row>
    <row r="6" spans="1:2" x14ac:dyDescent="0.3">
      <c r="A6" s="7" t="s">
        <v>41</v>
      </c>
      <c r="B6" s="14">
        <v>2303344</v>
      </c>
    </row>
    <row r="7" spans="1:2" x14ac:dyDescent="0.3">
      <c r="A7" s="7" t="s">
        <v>42</v>
      </c>
      <c r="B7" s="14">
        <v>2488168</v>
      </c>
    </row>
    <row r="8" spans="1:2" x14ac:dyDescent="0.3">
      <c r="A8" s="7" t="s">
        <v>43</v>
      </c>
      <c r="B8" s="14">
        <v>1978018</v>
      </c>
    </row>
    <row r="9" spans="1:2" x14ac:dyDescent="0.3">
      <c r="A9" s="7" t="s">
        <v>44</v>
      </c>
      <c r="B9" s="14">
        <v>2749540</v>
      </c>
    </row>
    <row r="10" spans="1:2" x14ac:dyDescent="0.3">
      <c r="A10" s="7" t="s">
        <v>45</v>
      </c>
      <c r="B10" s="14">
        <v>1925228</v>
      </c>
    </row>
    <row r="11" spans="1:2" x14ac:dyDescent="0.3">
      <c r="A11" s="7" t="s">
        <v>46</v>
      </c>
      <c r="B11" s="14">
        <v>2671054</v>
      </c>
    </row>
    <row r="12" spans="1:2" x14ac:dyDescent="0.3">
      <c r="A12" s="7" t="s">
        <v>47</v>
      </c>
      <c r="B12" s="14">
        <v>2074398</v>
      </c>
    </row>
    <row r="13" spans="1:2" x14ac:dyDescent="0.3">
      <c r="A13" s="7" t="s">
        <v>48</v>
      </c>
      <c r="B13" s="14">
        <v>2139862</v>
      </c>
    </row>
    <row r="14" spans="1:2" x14ac:dyDescent="0.3">
      <c r="A14" s="7" t="s">
        <v>49</v>
      </c>
      <c r="B14" s="14">
        <v>2561866</v>
      </c>
    </row>
    <row r="15" spans="1:2" x14ac:dyDescent="0.3">
      <c r="A15" s="7" t="s">
        <v>50</v>
      </c>
      <c r="B15" s="14">
        <v>2324576</v>
      </c>
    </row>
    <row r="16" spans="1:2" x14ac:dyDescent="0.3">
      <c r="A16" s="7" t="s">
        <v>51</v>
      </c>
      <c r="B16" s="14">
        <v>2298652</v>
      </c>
    </row>
    <row r="17" spans="1:2" x14ac:dyDescent="0.3">
      <c r="A17" s="6" t="s">
        <v>52</v>
      </c>
      <c r="B17" s="14">
        <v>24144660</v>
      </c>
    </row>
    <row r="18" spans="1:2" x14ac:dyDescent="0.3">
      <c r="A18" s="7" t="s">
        <v>40</v>
      </c>
      <c r="B18" s="14">
        <v>3235154</v>
      </c>
    </row>
    <row r="19" spans="1:2" x14ac:dyDescent="0.3">
      <c r="A19" s="7" t="s">
        <v>41</v>
      </c>
      <c r="B19" s="14">
        <v>2340144</v>
      </c>
    </row>
    <row r="20" spans="1:2" x14ac:dyDescent="0.3">
      <c r="A20" s="7" t="s">
        <v>42</v>
      </c>
      <c r="B20" s="14">
        <v>3037194</v>
      </c>
    </row>
    <row r="21" spans="1:2" x14ac:dyDescent="0.3">
      <c r="A21" s="7" t="s">
        <v>43</v>
      </c>
      <c r="B21" s="14">
        <v>2840356</v>
      </c>
    </row>
    <row r="22" spans="1:2" x14ac:dyDescent="0.3">
      <c r="A22" s="7" t="s">
        <v>44</v>
      </c>
      <c r="B22" s="14">
        <v>2236238</v>
      </c>
    </row>
    <row r="23" spans="1:2" x14ac:dyDescent="0.3">
      <c r="A23" s="7" t="s">
        <v>45</v>
      </c>
      <c r="B23" s="14">
        <v>3103942</v>
      </c>
    </row>
    <row r="24" spans="1:2" x14ac:dyDescent="0.3">
      <c r="A24" s="7" t="s">
        <v>46</v>
      </c>
      <c r="B24" s="14">
        <v>2840566</v>
      </c>
    </row>
    <row r="25" spans="1:2" x14ac:dyDescent="0.3">
      <c r="A25" s="7" t="s">
        <v>47</v>
      </c>
      <c r="B25" s="14">
        <v>4511066</v>
      </c>
    </row>
    <row r="26" spans="1:2" x14ac:dyDescent="0.3">
      <c r="A26" s="6" t="s">
        <v>38</v>
      </c>
      <c r="B26" s="14">
        <v>51655622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C24D-C7C6-49F1-BD6E-33A8533DF63C}">
  <dimension ref="A3:E31"/>
  <sheetViews>
    <sheetView workbookViewId="0">
      <selection activeCell="M29" sqref="M29"/>
    </sheetView>
  </sheetViews>
  <sheetFormatPr defaultRowHeight="14.4" x14ac:dyDescent="0.3"/>
  <cols>
    <col min="1" max="1" width="18.21875" bestFit="1" customWidth="1"/>
    <col min="2" max="2" width="20.109375" bestFit="1" customWidth="1"/>
    <col min="4" max="4" width="16.6640625" customWidth="1"/>
  </cols>
  <sheetData>
    <row r="3" spans="1:5" x14ac:dyDescent="0.3">
      <c r="A3" s="5" t="s">
        <v>37</v>
      </c>
      <c r="B3" t="s">
        <v>36</v>
      </c>
    </row>
    <row r="4" spans="1:5" x14ac:dyDescent="0.3">
      <c r="A4" s="6" t="s">
        <v>82</v>
      </c>
      <c r="B4" s="14">
        <v>356820</v>
      </c>
      <c r="D4" t="s">
        <v>82</v>
      </c>
      <c r="E4">
        <f>GETPIVOTDATA("Receita Bruta",$A$3,"Estado","Acre")</f>
        <v>356820</v>
      </c>
    </row>
    <row r="5" spans="1:5" x14ac:dyDescent="0.3">
      <c r="A5" s="6" t="s">
        <v>94</v>
      </c>
      <c r="B5" s="14">
        <v>1600386</v>
      </c>
      <c r="D5" t="s">
        <v>94</v>
      </c>
      <c r="E5">
        <f>GETPIVOTDATA("Receita Bruta",$A$3,"Estado","Alagoas")</f>
        <v>1600386</v>
      </c>
    </row>
    <row r="6" spans="1:5" x14ac:dyDescent="0.3">
      <c r="A6" s="6" t="s">
        <v>103</v>
      </c>
      <c r="B6" s="14">
        <v>176000</v>
      </c>
      <c r="D6" t="s">
        <v>103</v>
      </c>
      <c r="E6">
        <f>GETPIVOTDATA("Receita Bruta",$A$3,"Estado","Amapá")</f>
        <v>176000</v>
      </c>
    </row>
    <row r="7" spans="1:5" x14ac:dyDescent="0.3">
      <c r="A7" s="6" t="s">
        <v>53</v>
      </c>
      <c r="B7" s="14">
        <v>418620</v>
      </c>
      <c r="D7" t="s">
        <v>53</v>
      </c>
      <c r="E7">
        <f>GETPIVOTDATA("Receita Bruta",$A$3,"Estado","Amazonas")</f>
        <v>418620</v>
      </c>
    </row>
    <row r="8" spans="1:5" x14ac:dyDescent="0.3">
      <c r="A8" s="6" t="s">
        <v>54</v>
      </c>
      <c r="B8" s="14">
        <v>1770578</v>
      </c>
      <c r="D8" t="s">
        <v>54</v>
      </c>
      <c r="E8">
        <f>GETPIVOTDATA("Receita Bruta",$A$3,"Estado","Bahia")</f>
        <v>1770578</v>
      </c>
    </row>
    <row r="9" spans="1:5" x14ac:dyDescent="0.3">
      <c r="A9" s="6" t="s">
        <v>68</v>
      </c>
      <c r="B9" s="14">
        <v>2502244</v>
      </c>
      <c r="D9" t="s">
        <v>68</v>
      </c>
      <c r="E9">
        <f>GETPIVOTDATA("Receita Bruta",$A$3,"Estado","Ceará")</f>
        <v>2502244</v>
      </c>
    </row>
    <row r="10" spans="1:5" x14ac:dyDescent="0.3">
      <c r="A10" s="6" t="s">
        <v>55</v>
      </c>
      <c r="B10" s="14">
        <v>2364450</v>
      </c>
      <c r="D10" t="s">
        <v>55</v>
      </c>
      <c r="E10">
        <f>GETPIVOTDATA("Receita Bruta",$A$3,"Estado","Distrito Federal")</f>
        <v>2364450</v>
      </c>
    </row>
    <row r="11" spans="1:5" x14ac:dyDescent="0.3">
      <c r="A11" s="6" t="s">
        <v>76</v>
      </c>
      <c r="B11" s="14">
        <v>1086412</v>
      </c>
      <c r="D11" t="s">
        <v>76</v>
      </c>
      <c r="E11">
        <f>GETPIVOTDATA("Receita Bruta",$A$3,"Estado","Espirito Santo")</f>
        <v>1086412</v>
      </c>
    </row>
    <row r="12" spans="1:5" x14ac:dyDescent="0.3">
      <c r="A12" s="6" t="s">
        <v>74</v>
      </c>
      <c r="B12" s="14">
        <v>2257626</v>
      </c>
      <c r="D12" t="s">
        <v>74</v>
      </c>
      <c r="E12">
        <f>GETPIVOTDATA("Receita Bruta",$A$3,"Estado","Goias")</f>
        <v>2257626</v>
      </c>
    </row>
    <row r="13" spans="1:5" x14ac:dyDescent="0.3">
      <c r="A13" s="6" t="s">
        <v>90</v>
      </c>
      <c r="B13" s="14">
        <v>1671566</v>
      </c>
      <c r="D13" t="s">
        <v>90</v>
      </c>
      <c r="E13">
        <f>GETPIVOTDATA("Receita Bruta",$A$3,"Estado","Maranhão")</f>
        <v>1671566</v>
      </c>
    </row>
    <row r="14" spans="1:5" x14ac:dyDescent="0.3">
      <c r="A14" s="6" t="s">
        <v>100</v>
      </c>
      <c r="B14" s="14">
        <v>3039164</v>
      </c>
      <c r="D14" t="s">
        <v>100</v>
      </c>
      <c r="E14">
        <f>GETPIVOTDATA("Receita Bruta",$A$3,"Estado","Mato Grosso")</f>
        <v>3039164</v>
      </c>
    </row>
    <row r="15" spans="1:5" x14ac:dyDescent="0.3">
      <c r="A15" s="6" t="s">
        <v>101</v>
      </c>
      <c r="B15" s="14">
        <v>1582912</v>
      </c>
      <c r="D15" t="s">
        <v>101</v>
      </c>
      <c r="E15">
        <f>GETPIVOTDATA("Receita Bruta",$A$3,"Estado","Mato Grosso do Sul")</f>
        <v>1582912</v>
      </c>
    </row>
    <row r="16" spans="1:5" x14ac:dyDescent="0.3">
      <c r="A16" s="6" t="s">
        <v>56</v>
      </c>
      <c r="B16" s="14">
        <v>1896230</v>
      </c>
      <c r="D16" t="s">
        <v>56</v>
      </c>
      <c r="E16">
        <f>GETPIVOTDATA("Receita Bruta",$A$3,"Estado","Minas Gerais")</f>
        <v>1896230</v>
      </c>
    </row>
    <row r="17" spans="1:5" x14ac:dyDescent="0.3">
      <c r="A17" s="6" t="s">
        <v>73</v>
      </c>
      <c r="B17" s="14">
        <v>1272972</v>
      </c>
      <c r="D17" t="s">
        <v>73</v>
      </c>
      <c r="E17">
        <f>GETPIVOTDATA("Receita Bruta",$A$3,"Estado","Pará")</f>
        <v>1272972</v>
      </c>
    </row>
    <row r="18" spans="1:5" x14ac:dyDescent="0.3">
      <c r="A18" s="6" t="s">
        <v>92</v>
      </c>
      <c r="B18" s="14">
        <v>1056110</v>
      </c>
      <c r="D18" t="s">
        <v>92</v>
      </c>
      <c r="E18">
        <f>GETPIVOTDATA("Receita Bruta",$A$3,"Estado","Paraiba")</f>
        <v>1056110</v>
      </c>
    </row>
    <row r="19" spans="1:5" x14ac:dyDescent="0.3">
      <c r="A19" s="6" t="s">
        <v>69</v>
      </c>
      <c r="B19" s="14">
        <v>2344620</v>
      </c>
      <c r="D19" t="s">
        <v>69</v>
      </c>
      <c r="E19">
        <f>GETPIVOTDATA("Receita Bruta",$A$3,"Estado","Paraná")</f>
        <v>2344620</v>
      </c>
    </row>
    <row r="20" spans="1:5" x14ac:dyDescent="0.3">
      <c r="A20" s="6" t="s">
        <v>57</v>
      </c>
      <c r="B20" s="14">
        <v>1977720</v>
      </c>
      <c r="D20" t="s">
        <v>57</v>
      </c>
      <c r="E20">
        <f>GETPIVOTDATA("Receita Bruta",$A$3,"Estado","Pernambuco")</f>
        <v>1977720</v>
      </c>
    </row>
    <row r="21" spans="1:5" x14ac:dyDescent="0.3">
      <c r="A21" s="6" t="s">
        <v>88</v>
      </c>
      <c r="B21" s="14">
        <v>718260</v>
      </c>
      <c r="D21" t="s">
        <v>88</v>
      </c>
      <c r="E21">
        <f>GETPIVOTDATA("Receita Bruta",$A$3,"Estado","Piaui")</f>
        <v>718260</v>
      </c>
    </row>
    <row r="22" spans="1:5" x14ac:dyDescent="0.3">
      <c r="A22" s="6" t="s">
        <v>21</v>
      </c>
      <c r="B22" s="14">
        <v>5889550</v>
      </c>
      <c r="D22" t="s">
        <v>21</v>
      </c>
      <c r="E22">
        <f>GETPIVOTDATA("Receita Bruta",$A$3,"Estado","Rio de Janeiro")</f>
        <v>5889550</v>
      </c>
    </row>
    <row r="23" spans="1:5" x14ac:dyDescent="0.3">
      <c r="A23" s="6" t="s">
        <v>96</v>
      </c>
      <c r="B23" s="14">
        <v>2167542</v>
      </c>
      <c r="D23" t="s">
        <v>96</v>
      </c>
      <c r="E23">
        <f>GETPIVOTDATA("Receita Bruta",$A$3,"Estado","Rio Grande Do Norte")</f>
        <v>2167542</v>
      </c>
    </row>
    <row r="24" spans="1:5" x14ac:dyDescent="0.3">
      <c r="A24" s="6" t="s">
        <v>58</v>
      </c>
      <c r="B24" s="14">
        <v>1970112</v>
      </c>
      <c r="D24" t="s">
        <v>58</v>
      </c>
      <c r="E24">
        <f>GETPIVOTDATA("Receita Bruta",$A$3,"Estado","Rio Grande do Sul")</f>
        <v>1970112</v>
      </c>
    </row>
    <row r="25" spans="1:5" x14ac:dyDescent="0.3">
      <c r="A25" s="6" t="s">
        <v>99</v>
      </c>
      <c r="B25" s="14">
        <v>174740</v>
      </c>
      <c r="D25" t="s">
        <v>99</v>
      </c>
      <c r="E25">
        <f>GETPIVOTDATA("Receita Bruta",$A$3,"Estado","Rondonia")</f>
        <v>174740</v>
      </c>
    </row>
    <row r="26" spans="1:5" x14ac:dyDescent="0.3">
      <c r="A26" s="6" t="s">
        <v>84</v>
      </c>
      <c r="B26" s="14">
        <v>203320</v>
      </c>
      <c r="D26" t="s">
        <v>84</v>
      </c>
      <c r="E26">
        <f>GETPIVOTDATA("Receita Bruta",$A$3,"Estado","Roraima")</f>
        <v>203320</v>
      </c>
    </row>
    <row r="27" spans="1:5" x14ac:dyDescent="0.3">
      <c r="A27" s="6" t="s">
        <v>71</v>
      </c>
      <c r="B27" s="14">
        <v>4314732</v>
      </c>
      <c r="D27" t="s">
        <v>71</v>
      </c>
      <c r="E27">
        <f>GETPIVOTDATA("Receita Bruta",$A$3,"Estado","Santa Catarina")</f>
        <v>4314732</v>
      </c>
    </row>
    <row r="28" spans="1:5" x14ac:dyDescent="0.3">
      <c r="A28" s="6" t="s">
        <v>7</v>
      </c>
      <c r="B28" s="14">
        <v>8027026</v>
      </c>
      <c r="D28" t="s">
        <v>7</v>
      </c>
      <c r="E28">
        <f>GETPIVOTDATA("Receita Bruta",$A$3,"Estado","São Paulo")</f>
        <v>8027026</v>
      </c>
    </row>
    <row r="29" spans="1:5" x14ac:dyDescent="0.3">
      <c r="A29" s="6" t="s">
        <v>86</v>
      </c>
      <c r="B29" s="14">
        <v>470930</v>
      </c>
      <c r="D29" t="s">
        <v>86</v>
      </c>
      <c r="E29">
        <f>GETPIVOTDATA("Receita Bruta",$A$3,"Estado","Sergipe")</f>
        <v>470930</v>
      </c>
    </row>
    <row r="30" spans="1:5" x14ac:dyDescent="0.3">
      <c r="A30" s="6" t="s">
        <v>80</v>
      </c>
      <c r="B30" s="14">
        <v>344980</v>
      </c>
      <c r="D30" t="s">
        <v>80</v>
      </c>
      <c r="E30">
        <f>GETPIVOTDATA("Receita Bruta",$A$3,"Estado","Tocantins")</f>
        <v>344980</v>
      </c>
    </row>
    <row r="31" spans="1:5" x14ac:dyDescent="0.3">
      <c r="A31" s="6" t="s">
        <v>38</v>
      </c>
      <c r="B31" s="14">
        <v>51655622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77EC-B221-4078-A31B-15107E3277BB}">
  <dimension ref="A1:Z35"/>
  <sheetViews>
    <sheetView showGridLines="0" tabSelected="1" zoomScaleNormal="100" workbookViewId="0">
      <selection activeCell="F37" sqref="F37"/>
    </sheetView>
  </sheetViews>
  <sheetFormatPr defaultRowHeight="14.4" x14ac:dyDescent="0.3"/>
  <cols>
    <col min="1" max="26" width="7.88671875" customWidth="1"/>
  </cols>
  <sheetData>
    <row r="1" spans="1:26" ht="12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2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2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" customHeight="1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" customHeight="1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" customHeight="1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" customHeight="1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" customHeight="1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" customHeight="1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" customHeight="1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" customHeight="1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" customHeigh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" customHeigh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" customHeight="1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" customHeight="1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" customHeight="1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" customHeight="1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" customHeight="1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" customHeigh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</sheetData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02E35380FB0E45B0CD960263BB4887" ma:contentTypeVersion="14" ma:contentTypeDescription="Create a new document." ma:contentTypeScope="" ma:versionID="7ec392622f753b6876be555e33c373ef">
  <xsd:schema xmlns:xsd="http://www.w3.org/2001/XMLSchema" xmlns:xs="http://www.w3.org/2001/XMLSchema" xmlns:p="http://schemas.microsoft.com/office/2006/metadata/properties" xmlns:ns3="37cdbe14-897c-4f08-a463-d0e30bb08377" xmlns:ns4="244b09b2-2206-4c48-a0b7-1e4a05a5caab" targetNamespace="http://schemas.microsoft.com/office/2006/metadata/properties" ma:root="true" ma:fieldsID="afca76b0d8adfacc943e3b1a7adad174" ns3:_="" ns4:_="">
    <xsd:import namespace="37cdbe14-897c-4f08-a463-d0e30bb08377"/>
    <xsd:import namespace="244b09b2-2206-4c48-a0b7-1e4a05a5ca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dbe14-897c-4f08-a463-d0e30bb08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b09b2-2206-4c48-a0b7-1e4a05a5caa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cdbe14-897c-4f08-a463-d0e30bb08377" xsi:nil="true"/>
  </documentManagement>
</p:properties>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14D353C8-75CC-49F6-9107-C2CBADF9F2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99CC1A-B98D-40A9-A11A-736BEB3F23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cdbe14-897c-4f08-a463-d0e30bb08377"/>
    <ds:schemaRef ds:uri="244b09b2-2206-4c48-a0b7-1e4a05a5ca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46DC2C-E387-46B4-AF9F-AE710D56A6DD}">
  <ds:schemaRefs>
    <ds:schemaRef ds:uri="http://www.w3.org/XML/1998/namespace"/>
    <ds:schemaRef ds:uri="http://purl.org/dc/terms/"/>
    <ds:schemaRef ds:uri="http://purl.org/dc/dcmitype/"/>
    <ds:schemaRef ds:uri="37cdbe14-897c-4f08-a463-d0e30bb08377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44b09b2-2206-4c48-a0b7-1e4a05a5caab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42260198-1E4F-4BB4-8C00-503A820B4888}">
  <ds:schemaRefs>
    <ds:schemaRef ds:uri="http://www.w3.org/2001/XMLSchema"/>
    <ds:schemaRef ds:uri="http://microsoft.data.visualization.engine.tours/1.0"/>
  </ds:schemaRefs>
</ds:datastoreItem>
</file>

<file path=customXml/itemProps5.xml><?xml version="1.0" encoding="utf-8"?>
<ds:datastoreItem xmlns:ds="http://schemas.openxmlformats.org/officeDocument/2006/customXml" ds:itemID="{4FB97BE9-E7D0-4D25-9009-A190E6BED947}">
  <ds:schemaRefs>
    <ds:schemaRef ds:uri="http://www.w3.org/2001/XMLSchema"/>
    <ds:schemaRef ds:uri="http://microsoft.data.visualization.Client.Excel/1.0"/>
  </ds:schemaRefs>
</ds:datastoreItem>
</file>

<file path=customXml/itemProps6.xml><?xml version="1.0" encoding="utf-8"?>
<ds:datastoreItem xmlns:ds="http://schemas.openxmlformats.org/officeDocument/2006/customXml" ds:itemID="{7F64C5EF-1D1A-4193-B24E-22FA7D09AE4C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ExtraçãoDados</vt:lpstr>
      <vt:lpstr>Planilha1</vt:lpstr>
      <vt:lpstr>Planilha2</vt:lpstr>
      <vt:lpstr>Planilha3</vt:lpstr>
      <vt:lpstr>Planilha4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Fantin</dc:creator>
  <cp:lastModifiedBy>Raphael</cp:lastModifiedBy>
  <dcterms:created xsi:type="dcterms:W3CDTF">2023-02-08T12:38:23Z</dcterms:created>
  <dcterms:modified xsi:type="dcterms:W3CDTF">2023-02-27T02:33:18Z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0x0101002702E35380FB0E45B0CD960263BB4887</vt:lpwstr>
  </property>
</Properties>
</file>